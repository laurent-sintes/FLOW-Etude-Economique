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chartsheets/sheet1.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trlProps/ctrlProp1.xml" ContentType="application/vnd.ms-excel.controlproperties+xml"/>
  <Override PartName="/xl/ctrlProps/ctrlProp2.xml" ContentType="application/vnd.ms-excel.controlproperties+xml"/>
  <Override PartName="/xl/drawings/drawing6.xml" ContentType="application/vnd.openxmlformats-officedocument.drawing+xml"/>
  <Override PartName="/xl/ctrlProps/ctrlProp3.xml" ContentType="application/vnd.ms-excel.controlproperties+xml"/>
  <Override PartName="/xl/ctrlProps/ctrlProp4.xml" ContentType="application/vnd.ms-excel.controlproperties+xml"/>
  <Override PartName="/xl/drawings/drawing7.xml" ContentType="application/vnd.openxmlformats-officedocument.drawing+xml"/>
  <Override PartName="/xl/ctrlProps/ctrlProp5.xml" ContentType="application/vnd.ms-excel.controlproperties+xml"/>
  <Override PartName="/xl/ctrlProps/ctrlProp6.xml" ContentType="application/vnd.ms-excel.controlproperties+xml"/>
  <Override PartName="/xl/drawings/drawing8.xml" ContentType="application/vnd.openxmlformats-officedocument.drawing+xml"/>
  <Override PartName="/xl/ctrlProps/ctrlProp7.xml" ContentType="application/vnd.ms-excel.controlproperties+xml"/>
  <Override PartName="/xl/ctrlProps/ctrlProp8.xml" ContentType="application/vnd.ms-excel.controlproperties+xml"/>
  <Override PartName="/xl/drawings/drawing9.xml" ContentType="application/vnd.openxmlformats-officedocument.drawing+xml"/>
  <Override PartName="/xl/ctrlProps/ctrlProp9.xml" ContentType="application/vnd.ms-excel.controlproperties+xml"/>
  <Override PartName="/xl/ctrlProps/ctrlProp10.xml" ContentType="application/vnd.ms-excel.controlproperti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12"/>
  <workbookPr codeName="ThisWorkbook"/>
  <mc:AlternateContent xmlns:mc="http://schemas.openxmlformats.org/markup-compatibility/2006">
    <mc:Choice Requires="x15">
      <x15ac:absPath xmlns:x15ac="http://schemas.microsoft.com/office/spreadsheetml/2010/11/ac" url="/Users/emily.reacher/Documents/MICHAEL SHEENAN/"/>
    </mc:Choice>
  </mc:AlternateContent>
  <xr:revisionPtr revIDLastSave="0" documentId="8_{899C6241-8CF4-C847-8C14-0178B1378854}" xr6:coauthVersionLast="36" xr6:coauthVersionMax="36" xr10:uidLastSave="{00000000-0000-0000-0000-000000000000}"/>
  <bookViews>
    <workbookView xWindow="0" yWindow="460" windowWidth="28800" windowHeight="15940" tabRatio="693" xr2:uid="{00000000-000D-0000-FFFF-FFFF00000000}"/>
  </bookViews>
  <sheets>
    <sheet name="CoverPage" sheetId="73" r:id="rId1"/>
    <sheet name="Introduction" sheetId="75" r:id="rId2"/>
    <sheet name="Contents" sheetId="12" r:id="rId3"/>
    <sheet name="Inputs&gt;&gt;" sheetId="30" r:id="rId4"/>
    <sheet name="iControl" sheetId="67" r:id="rId5"/>
    <sheet name="iOptions" sheetId="61" r:id="rId6"/>
    <sheet name="iIndices" sheetId="62" r:id="rId7"/>
    <sheet name="Calcs&gt;&gt;" sheetId="41" r:id="rId8"/>
    <sheet name="cFactors" sheetId="64" r:id="rId9"/>
    <sheet name="cVolumetrics" sheetId="65" r:id="rId10"/>
    <sheet name="cCosts" sheetId="68" r:id="rId11"/>
    <sheet name="cOutputs" sheetId="72" r:id="rId12"/>
    <sheet name="Output&gt;&gt;" sheetId="42" r:id="rId13"/>
    <sheet name="oFinancials" sheetId="71" r:id="rId14"/>
    <sheet name="oDashboard" sheetId="74" r:id="rId15"/>
    <sheet name="Admin&gt;&gt;" sheetId="57" r:id="rId16"/>
    <sheet name="SysConfig" sheetId="59" r:id="rId17"/>
    <sheet name="SysTime" sheetId="3" r:id="rId18"/>
  </sheets>
  <definedNames>
    <definedName name="ActiveCallVolumeScenarioIndex">iControl!$I$14</definedName>
    <definedName name="ActiveCostScenarioIndex">iControl!$I$24</definedName>
    <definedName name="cstArea">SysConfig!$G$40</definedName>
    <definedName name="cstConstantUnit">SysConfig!$G$37</definedName>
    <definedName name="cstDaysInWk">SysConfig!$G$30</definedName>
    <definedName name="cstFlag">SysConfig!$G$46</definedName>
    <definedName name="cstFTE">SysConfig!$G$41</definedName>
    <definedName name="cstHours">SysConfig!$G$45</definedName>
    <definedName name="cstMil">SysConfig!$G$29</definedName>
    <definedName name="cstMonthsInQtr">SysConfig!$G$32</definedName>
    <definedName name="cstMonthsInYr">SysConfig!$G$33</definedName>
    <definedName name="cstNominalUnit">SysConfig!$G$38</definedName>
    <definedName name="cstNum">SysConfig!$G$42</definedName>
    <definedName name="cstPercent">SysConfig!$G$43</definedName>
    <definedName name="cstProjectName">SysConfig!$G$12</definedName>
    <definedName name="cstProtectiveMarking">SysConfig!$G$18</definedName>
    <definedName name="cstRealUnit">SysConfig!$G$39</definedName>
    <definedName name="cstThou">SysConfig!$G$28</definedName>
    <definedName name="cstWeeksInYr">SysConfig!$G$31</definedName>
    <definedName name="cstYears">SysConfig!$G$44</definedName>
    <definedName name="eTol">SysConfig!$G$50</definedName>
    <definedName name="Heading1" localSheetId="10">MAX(cCosts!A$1:A1048576)+1</definedName>
    <definedName name="Heading1" localSheetId="8">MAX(cFactors!A$1:A1048576)+1</definedName>
    <definedName name="Heading1" localSheetId="11">MAX(cOutputs!A$1:A1048576)+1</definedName>
    <definedName name="Heading1" localSheetId="9">MAX(cVolumetrics!A$1:A1048576)+1</definedName>
    <definedName name="Heading1" localSheetId="4">MAX(iControl!A$1:A1048576)+1</definedName>
    <definedName name="Heading1" localSheetId="6">MAX(iIndices!A$1:A1048576)+1</definedName>
    <definedName name="Heading1" localSheetId="1">MAX(Introduction!A$1:A1048576)+1</definedName>
    <definedName name="Heading1" localSheetId="5">MAX(iOptions!A$1:A1048576)+1</definedName>
    <definedName name="Heading1" localSheetId="14">MAX(oDashboard!A$1:A1048576)+1</definedName>
    <definedName name="Heading1" localSheetId="13">MAX(oFinancials!A$1:A1048576)+1</definedName>
    <definedName name="Heading1" localSheetId="16">MAX(SysConfig!A$1:A1048576)+1</definedName>
    <definedName name="Heading1" localSheetId="17">MAX(SysTime!A$1:A1048576)+1</definedName>
    <definedName name="Heading2" localSheetId="10">MAX(cCosts!XFD$1:XFD1)&amp;"."&amp;COUNTIFS(cCosts!A$1:A1048576,MAX(cCosts!XFD$1:XFD1)&amp;".*")+1</definedName>
    <definedName name="Heading2" localSheetId="8">MAX(cFactors!XFD$1:XFD1)&amp;"."&amp;COUNTIFS(cFactors!A$1:A1048576,MAX(cFactors!XFD$1:XFD1)&amp;".*")+1</definedName>
    <definedName name="Heading2" localSheetId="11">MAX(cOutputs!XFD$1:XFD1)&amp;"."&amp;COUNTIFS(cOutputs!A$1:A1048576,MAX(cOutputs!XFD$1:XFD1)&amp;".*")+1</definedName>
    <definedName name="Heading2" localSheetId="9">MAX(cVolumetrics!XFD$1:XFD1)&amp;"."&amp;COUNTIFS(cVolumetrics!A$1:A1048576,MAX(cVolumetrics!XFD$1:XFD1)&amp;".*")+1</definedName>
    <definedName name="Heading2" localSheetId="4">MAX(iControl!XFD$1:XFD1)&amp;"."&amp;COUNTIFS(iControl!A$1:A1048576,MAX(iControl!XFD$1:XFD1)&amp;".*")+1</definedName>
    <definedName name="Heading2" localSheetId="6">MAX(iIndices!XFD$1:XFD1)&amp;"."&amp;COUNTIFS(iIndices!A$1:A1048576,MAX(iIndices!XFD$1:XFD1)&amp;".*")+1</definedName>
    <definedName name="Heading2" localSheetId="1">MAX(Introduction!XFD$1:XFD1)&amp;"."&amp;COUNTIFS(Introduction!A$1:A1048576,MAX(Introduction!XFD$1:XFD1)&amp;".*")+1</definedName>
    <definedName name="Heading2" localSheetId="5">MAX(iOptions!XFD$1:XFD1)&amp;"."&amp;COUNTIFS(iOptions!A$1:A1048576,MAX(iOptions!XFD$1:XFD1)&amp;".*")+1</definedName>
    <definedName name="Heading2" localSheetId="14">MAX(oDashboard!XFD$1:XFD1)&amp;"."&amp;COUNTIFS(oDashboard!A$1:A1048576,MAX(oDashboard!XFD$1:XFD1)&amp;".*")+1</definedName>
    <definedName name="Heading2" localSheetId="13">MAX(oFinancials!XFD$1:XFD1)&amp;"."&amp;COUNTIFS(oFinancials!A$1:A1048576,MAX(oFinancials!XFD$1:XFD1)&amp;".*")+1</definedName>
    <definedName name="Heading2" localSheetId="16">MAX(SysConfig!XFD$1:XFD1)&amp;"."&amp;COUNTIFS(SysConfig!A$1:A1048576,MAX(SysConfig!XFD$1:XFD1)&amp;".*")+1</definedName>
    <definedName name="Heading2" localSheetId="17">MAX(SysTime!XFD$1:XFD1)&amp;"."&amp;COUNTIFS(SysTime!A$1:A1048576,MAX(SysTime!XFD$1:XFD1)&amp;".*")+1</definedName>
    <definedName name="lstInflationRates">iIndices!$F$16:$F$20</definedName>
    <definedName name="lstScenariosCallVolume">SysConfig!$F$95:$F$97</definedName>
    <definedName name="lstScenariosCost">SysConfig!$F$101:$F$103</definedName>
    <definedName name="_xlnm.Print_Area" localSheetId="10">cCosts!$A$9:$BN$484</definedName>
    <definedName name="_xlnm.Print_Area" localSheetId="8">cFactors!$A$9:$BN$48</definedName>
    <definedName name="_xlnm.Print_Area" localSheetId="2">Contents!$A$9:$L$54</definedName>
    <definedName name="_xlnm.Print_Area" localSheetId="11">cOutputs!$A$9:$BN$197</definedName>
    <definedName name="_xlnm.Print_Area" localSheetId="9">cVolumetrics!$A$9:$BN$101</definedName>
    <definedName name="_xlnm.Print_Area" localSheetId="4">iControl!$A$9:$Z$26</definedName>
    <definedName name="_xlnm.Print_Area" localSheetId="6">iIndices!$A$9:$BN$29</definedName>
    <definedName name="_xlnm.Print_Area" localSheetId="1">Introduction!$A$9:$X$11</definedName>
    <definedName name="_xlnm.Print_Area" localSheetId="5">iOptions!$A$9:$U$179</definedName>
    <definedName name="_xlnm.Print_Area" localSheetId="14">oDashboard!$A$9:$AA$38</definedName>
    <definedName name="_xlnm.Print_Area" localSheetId="13">oFinancials!$A$9:$BN$178</definedName>
    <definedName name="_xlnm.Print_Area" localSheetId="16">SysConfig!$A$9:$X$105</definedName>
    <definedName name="_xlnm.Print_Titles" localSheetId="10">cCosts!$1:$8</definedName>
    <definedName name="_xlnm.Print_Titles" localSheetId="8">cFactors!$1:$8</definedName>
    <definedName name="_xlnm.Print_Titles" localSheetId="2">Contents!$1:$8</definedName>
    <definedName name="_xlnm.Print_Titles" localSheetId="11">cOutputs!$1:$8</definedName>
    <definedName name="_xlnm.Print_Titles" localSheetId="9">cVolumetrics!$1:$8</definedName>
    <definedName name="_xlnm.Print_Titles" localSheetId="4">iControl!$1:$8</definedName>
    <definedName name="_xlnm.Print_Titles" localSheetId="6">iIndices!$1:$8</definedName>
    <definedName name="_xlnm.Print_Titles" localSheetId="1">Introduction!$1:$8</definedName>
    <definedName name="_xlnm.Print_Titles" localSheetId="5">iOptions!$1:$8</definedName>
    <definedName name="_xlnm.Print_Titles" localSheetId="14">oDashboard!$1:$8</definedName>
    <definedName name="_xlnm.Print_Titles" localSheetId="13">oFinancials!$1:$8</definedName>
    <definedName name="_xlnm.Print_Titles" localSheetId="16">SysConfig!$1:$8</definedName>
    <definedName name="rngBoA">#REF!</definedName>
    <definedName name="rngChangeLog">#REF!</definedName>
    <definedName name="rngContents">Contents!$E$12:$I$25</definedName>
    <definedName name="rngNamedRanges">SysConfig!$F$56:$H$89</definedName>
    <definedName name="rngNewChange">#REF!</definedName>
    <definedName name="sysChk">Contents!$H$27</definedName>
    <definedName name="sysChkWord">SysConfig!$G$52</definedName>
    <definedName name="sysWarn">Contents!$I$27</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18" i="3" l="1"/>
  <c r="AC17" i="64" l="1"/>
  <c r="A96" i="61" l="1"/>
  <c r="A82" i="61"/>
  <c r="A76" i="61"/>
  <c r="A70" i="61"/>
  <c r="G141" i="61" l="1"/>
  <c r="K34" i="65" l="1" a="1"/>
  <c r="K34" i="65" s="1"/>
  <c r="F179" i="72" l="1"/>
  <c r="F177" i="72"/>
  <c r="F175" i="72"/>
  <c r="G179" i="72"/>
  <c r="G177" i="72"/>
  <c r="G175" i="72"/>
  <c r="F171" i="72"/>
  <c r="F169" i="72"/>
  <c r="F167" i="72"/>
  <c r="G240" i="68" l="1"/>
  <c r="G238" i="68"/>
  <c r="G26" i="65" l="1"/>
  <c r="K18" i="3"/>
  <c r="G28" i="3"/>
  <c r="G212" i="68"/>
  <c r="G210" i="68"/>
  <c r="G177" i="68" l="1"/>
  <c r="G175" i="68"/>
  <c r="G173" i="68"/>
  <c r="G169" i="68"/>
  <c r="G167" i="68"/>
  <c r="G176" i="71" l="1"/>
  <c r="G174" i="71"/>
  <c r="G172" i="71"/>
  <c r="G161" i="72"/>
  <c r="G171" i="72" s="1"/>
  <c r="G159" i="72"/>
  <c r="G169" i="72" s="1"/>
  <c r="G157" i="72"/>
  <c r="G167" i="72" s="1"/>
  <c r="G164" i="71"/>
  <c r="G162" i="71"/>
  <c r="G160" i="71"/>
  <c r="G152" i="71"/>
  <c r="G151" i="71"/>
  <c r="G150" i="71"/>
  <c r="G149" i="71"/>
  <c r="G148" i="71"/>
  <c r="G147" i="71"/>
  <c r="G143" i="71"/>
  <c r="G142" i="71"/>
  <c r="G141" i="71"/>
  <c r="G140" i="71"/>
  <c r="G139" i="71"/>
  <c r="G138" i="71"/>
  <c r="G134" i="71"/>
  <c r="G133" i="71"/>
  <c r="G132" i="71"/>
  <c r="G131" i="71"/>
  <c r="G130" i="71"/>
  <c r="G129" i="71"/>
  <c r="G121" i="71"/>
  <c r="G120" i="71"/>
  <c r="G119" i="71"/>
  <c r="G118" i="71"/>
  <c r="G117" i="71"/>
  <c r="G116" i="71"/>
  <c r="G112" i="71"/>
  <c r="G111" i="71"/>
  <c r="G110" i="71"/>
  <c r="G109" i="71"/>
  <c r="G108" i="71"/>
  <c r="G107" i="71"/>
  <c r="G103" i="71"/>
  <c r="G102" i="71"/>
  <c r="G101" i="71"/>
  <c r="G100" i="71"/>
  <c r="G99" i="71"/>
  <c r="G98" i="71"/>
  <c r="I55" i="68"/>
  <c r="A24" i="67"/>
  <c r="A14" i="67"/>
  <c r="A26" i="61"/>
  <c r="A34" i="61"/>
  <c r="A28" i="61"/>
  <c r="B8" i="61"/>
  <c r="G62" i="65"/>
  <c r="F35" i="68" l="1"/>
  <c r="I68" i="61" l="1"/>
  <c r="I69" i="61" l="1"/>
  <c r="I70" i="61" l="1"/>
  <c r="I74" i="61" s="1"/>
  <c r="I75" i="61" l="1"/>
  <c r="I76" i="61" l="1"/>
  <c r="I80" i="61" l="1"/>
  <c r="I81" i="61" l="1"/>
  <c r="I82" i="61" s="1"/>
  <c r="I84" i="61" l="1"/>
  <c r="I90" i="61" l="1"/>
  <c r="I94" i="61" l="1"/>
  <c r="I95" i="61" l="1"/>
  <c r="I96" i="61" l="1"/>
  <c r="I100" i="61" s="1"/>
  <c r="I106" i="61" s="1"/>
  <c r="I107" i="61" s="1"/>
  <c r="I115" i="61" s="1"/>
  <c r="I123" i="61" l="1"/>
  <c r="I131" i="61" l="1"/>
  <c r="I137" i="61" s="1"/>
  <c r="I141" i="61" l="1"/>
  <c r="I142" i="61" s="1"/>
  <c r="I143" i="61" s="1"/>
  <c r="I144" i="61" s="1"/>
  <c r="I145" i="61" s="1"/>
  <c r="I146" i="61" s="1"/>
  <c r="I147" i="61" s="1"/>
  <c r="I148" i="61" s="1"/>
  <c r="I149" i="61" s="1"/>
  <c r="I150" i="61" s="1"/>
  <c r="I151" i="61" s="1"/>
  <c r="I152" i="61" s="1"/>
  <c r="I153" i="61" s="1"/>
  <c r="I154" i="61" s="1"/>
  <c r="I155" i="61" s="1"/>
  <c r="I156" i="61" s="1"/>
  <c r="I157" i="61" s="1"/>
  <c r="I158" i="61" s="1"/>
  <c r="I159" i="61" s="1"/>
  <c r="I160" i="61" s="1"/>
  <c r="I161" i="61" s="1"/>
  <c r="I162" i="61" s="1"/>
  <c r="I163" i="61" s="1"/>
  <c r="I164" i="61" s="1"/>
  <c r="I169" i="61" l="1"/>
  <c r="G187" i="72" l="1"/>
  <c r="G185" i="72"/>
  <c r="G183" i="72"/>
  <c r="G475" i="68"/>
  <c r="G480" i="68"/>
  <c r="G478" i="68"/>
  <c r="G477" i="68"/>
  <c r="G476" i="68"/>
  <c r="G293" i="68"/>
  <c r="G291" i="68"/>
  <c r="G290" i="68"/>
  <c r="G289" i="68"/>
  <c r="G288" i="68"/>
  <c r="G287" i="68"/>
  <c r="G286" i="68"/>
  <c r="G285" i="68"/>
  <c r="G284" i="68"/>
  <c r="G283" i="68"/>
  <c r="G282" i="68"/>
  <c r="G133" i="68"/>
  <c r="G131" i="68"/>
  <c r="G130" i="68"/>
  <c r="G129" i="68"/>
  <c r="G457" i="68"/>
  <c r="G455" i="68"/>
  <c r="G454" i="68"/>
  <c r="G453" i="68"/>
  <c r="G452" i="68"/>
  <c r="G451" i="68"/>
  <c r="G445" i="68"/>
  <c r="G444" i="68"/>
  <c r="G443" i="68"/>
  <c r="G442" i="68"/>
  <c r="G441" i="68"/>
  <c r="G429" i="68"/>
  <c r="G427" i="68"/>
  <c r="G423" i="68"/>
  <c r="G383" i="68"/>
  <c r="G379" i="68"/>
  <c r="G377" i="68"/>
  <c r="G376" i="68"/>
  <c r="G375" i="68"/>
  <c r="G374" i="68"/>
  <c r="G373" i="68"/>
  <c r="G372" i="68"/>
  <c r="G371" i="68"/>
  <c r="G370" i="68"/>
  <c r="G369" i="68"/>
  <c r="G368" i="68"/>
  <c r="G367" i="68"/>
  <c r="G366" i="68"/>
  <c r="G365" i="68"/>
  <c r="G364" i="68"/>
  <c r="G363" i="68"/>
  <c r="G362" i="68"/>
  <c r="G361" i="68"/>
  <c r="G360" i="68"/>
  <c r="G359" i="68"/>
  <c r="G358" i="68"/>
  <c r="G357" i="68"/>
  <c r="G356" i="68"/>
  <c r="G355" i="68"/>
  <c r="G354" i="68"/>
  <c r="G353" i="68"/>
  <c r="G349" i="68"/>
  <c r="G345" i="68"/>
  <c r="G344" i="68"/>
  <c r="G343" i="68"/>
  <c r="G342" i="68"/>
  <c r="G341" i="68"/>
  <c r="G340" i="68"/>
  <c r="G339" i="68"/>
  <c r="G338" i="68"/>
  <c r="G337" i="68"/>
  <c r="G336" i="68"/>
  <c r="G335" i="68"/>
  <c r="G334" i="68"/>
  <c r="G333" i="68"/>
  <c r="G332" i="68"/>
  <c r="G331" i="68"/>
  <c r="G330" i="68"/>
  <c r="G329" i="68"/>
  <c r="G328" i="68"/>
  <c r="G327" i="68"/>
  <c r="G326" i="68"/>
  <c r="G325" i="68"/>
  <c r="G324" i="68"/>
  <c r="G323" i="68"/>
  <c r="G322" i="68"/>
  <c r="G321" i="68"/>
  <c r="G309" i="68"/>
  <c r="G305" i="68"/>
  <c r="G303" i="68"/>
  <c r="G274" i="68"/>
  <c r="G270" i="68"/>
  <c r="G268" i="68"/>
  <c r="G258" i="68"/>
  <c r="G254" i="68"/>
  <c r="G252" i="68"/>
  <c r="G242" i="68"/>
  <c r="G232" i="68"/>
  <c r="G230" i="68"/>
  <c r="G228" i="68"/>
  <c r="G216" i="68"/>
  <c r="G214" i="68"/>
  <c r="G201" i="68"/>
  <c r="G199" i="68"/>
  <c r="G197" i="68"/>
  <c r="G179" i="68"/>
  <c r="G171" i="68"/>
  <c r="G163" i="68"/>
  <c r="G161" i="68"/>
  <c r="G159" i="68"/>
  <c r="G153" i="68"/>
  <c r="G149" i="68"/>
  <c r="G145" i="68"/>
  <c r="G143" i="68"/>
  <c r="G112" i="68"/>
  <c r="G110" i="68"/>
  <c r="G109" i="68"/>
  <c r="G108" i="68"/>
  <c r="G107" i="68"/>
  <c r="G103" i="68"/>
  <c r="G102" i="68"/>
  <c r="G101" i="68"/>
  <c r="G100" i="68"/>
  <c r="G85" i="68"/>
  <c r="G81" i="68"/>
  <c r="G69" i="68"/>
  <c r="G65" i="68"/>
  <c r="G51" i="68"/>
  <c r="G46" i="68"/>
  <c r="G179" i="61"/>
  <c r="G178" i="61"/>
  <c r="G177" i="61"/>
  <c r="G176" i="61"/>
  <c r="G175" i="61"/>
  <c r="G169" i="61"/>
  <c r="G165" i="61"/>
  <c r="G164" i="61"/>
  <c r="G163" i="61"/>
  <c r="G162" i="61"/>
  <c r="G161" i="61"/>
  <c r="G160" i="61"/>
  <c r="G159" i="61"/>
  <c r="G158" i="61"/>
  <c r="G157" i="61"/>
  <c r="G156" i="61"/>
  <c r="G155" i="61"/>
  <c r="G154" i="61"/>
  <c r="G153" i="61"/>
  <c r="G152" i="61"/>
  <c r="G151" i="61"/>
  <c r="G150" i="61"/>
  <c r="G149" i="61"/>
  <c r="G148" i="61"/>
  <c r="G147" i="61"/>
  <c r="G146" i="61"/>
  <c r="G145" i="61"/>
  <c r="G144" i="61"/>
  <c r="G143" i="61"/>
  <c r="G142" i="61"/>
  <c r="G123" i="61"/>
  <c r="G115" i="61"/>
  <c r="G106" i="61"/>
  <c r="G100" i="61"/>
  <c r="G94" i="61"/>
  <c r="G90" i="61"/>
  <c r="G84" i="61"/>
  <c r="G80" i="61"/>
  <c r="G74" i="61"/>
  <c r="G68" i="61"/>
  <c r="G64" i="61"/>
  <c r="G62" i="61"/>
  <c r="G54" i="61"/>
  <c r="G53" i="61"/>
  <c r="G52" i="61"/>
  <c r="G51" i="61"/>
  <c r="G50" i="61"/>
  <c r="G49" i="61"/>
  <c r="A63" i="61"/>
  <c r="C6" i="75"/>
  <c r="C4" i="75"/>
  <c r="C3" i="75"/>
  <c r="C2" i="75"/>
  <c r="A179" i="61" l="1"/>
  <c r="A178" i="61"/>
  <c r="A177" i="61"/>
  <c r="A176" i="61"/>
  <c r="A175" i="61"/>
  <c r="A169" i="61"/>
  <c r="A165" i="61"/>
  <c r="A164" i="61"/>
  <c r="A163" i="61"/>
  <c r="A162" i="61"/>
  <c r="A161" i="61"/>
  <c r="A160" i="61"/>
  <c r="A159" i="61"/>
  <c r="A158" i="61"/>
  <c r="A157" i="61"/>
  <c r="A156" i="61"/>
  <c r="A155" i="61"/>
  <c r="A154" i="61"/>
  <c r="A153" i="61"/>
  <c r="A152" i="61"/>
  <c r="A151" i="61"/>
  <c r="A150" i="61"/>
  <c r="A149" i="61"/>
  <c r="A148" i="61"/>
  <c r="A147" i="61"/>
  <c r="A146" i="61"/>
  <c r="A145" i="61"/>
  <c r="A144" i="61"/>
  <c r="A143" i="61"/>
  <c r="A142" i="61"/>
  <c r="A141" i="61"/>
  <c r="A123" i="61"/>
  <c r="A115" i="61"/>
  <c r="A106" i="61"/>
  <c r="A100" i="61"/>
  <c r="A94" i="61"/>
  <c r="A90" i="61"/>
  <c r="A84" i="61"/>
  <c r="A80" i="61"/>
  <c r="A74" i="61"/>
  <c r="A68" i="61"/>
  <c r="A62" i="61"/>
  <c r="A54" i="61"/>
  <c r="A53" i="61"/>
  <c r="A52" i="61"/>
  <c r="A51" i="61"/>
  <c r="A50" i="61"/>
  <c r="A49" i="61"/>
  <c r="G26" i="68" l="1"/>
  <c r="G236" i="68"/>
  <c r="G208" i="68"/>
  <c r="G165" i="68"/>
  <c r="F36" i="68"/>
  <c r="F37" i="68"/>
  <c r="F38" i="68"/>
  <c r="F34" i="68"/>
  <c r="K442" i="68" a="1"/>
  <c r="K442" i="68" s="1"/>
  <c r="K443" i="68" a="1"/>
  <c r="K443" i="68" s="1"/>
  <c r="K444" i="68" a="1"/>
  <c r="K444" i="68" s="1"/>
  <c r="K445" i="68" a="1"/>
  <c r="K445" i="68" s="1"/>
  <c r="K441" i="68" a="1"/>
  <c r="K441" i="68" s="1"/>
  <c r="K423" i="68" a="1"/>
  <c r="K423" i="68" s="1"/>
  <c r="K349" i="68" a="1"/>
  <c r="K349" i="68" s="1"/>
  <c r="K322" i="68" a="1"/>
  <c r="K322" i="68" s="1"/>
  <c r="K323" i="68" a="1"/>
  <c r="K323" i="68" s="1"/>
  <c r="K324" i="68" a="1"/>
  <c r="K324" i="68" s="1"/>
  <c r="K325" i="68" a="1"/>
  <c r="K325" i="68" s="1"/>
  <c r="K326" i="68" a="1"/>
  <c r="K326" i="68" s="1"/>
  <c r="K327" i="68" a="1"/>
  <c r="K327" i="68" s="1"/>
  <c r="K328" i="68" a="1"/>
  <c r="K328" i="68" s="1"/>
  <c r="K329" i="68" a="1"/>
  <c r="K329" i="68" s="1"/>
  <c r="K330" i="68" a="1"/>
  <c r="K330" i="68" s="1"/>
  <c r="K331" i="68" a="1"/>
  <c r="K331" i="68" s="1"/>
  <c r="K332" i="68" a="1"/>
  <c r="K332" i="68" s="1"/>
  <c r="K333" i="68" a="1"/>
  <c r="K333" i="68" s="1"/>
  <c r="K334" i="68" a="1"/>
  <c r="K334" i="68" s="1"/>
  <c r="K335" i="68" a="1"/>
  <c r="K335" i="68" s="1"/>
  <c r="K336" i="68" a="1"/>
  <c r="K336" i="68" s="1"/>
  <c r="K337" i="68" a="1"/>
  <c r="K337" i="68" s="1"/>
  <c r="K338" i="68" a="1"/>
  <c r="K338" i="68" s="1"/>
  <c r="K339" i="68" a="1"/>
  <c r="K339" i="68" s="1"/>
  <c r="K340" i="68" a="1"/>
  <c r="K340" i="68" s="1"/>
  <c r="K341" i="68" a="1"/>
  <c r="K341" i="68" s="1"/>
  <c r="K342" i="68" a="1"/>
  <c r="K342" i="68" s="1"/>
  <c r="K343" i="68" a="1"/>
  <c r="K343" i="68" s="1"/>
  <c r="K344" i="68" a="1"/>
  <c r="K344" i="68" s="1"/>
  <c r="K345" i="68" a="1"/>
  <c r="K345" i="68" s="1"/>
  <c r="K321" i="68" a="1"/>
  <c r="K321" i="68" s="1"/>
  <c r="K303" i="68" a="1"/>
  <c r="K303" i="68" s="1"/>
  <c r="K268" i="68" a="1"/>
  <c r="K268" i="68" s="1"/>
  <c r="K252" i="68" a="1"/>
  <c r="K252" i="68" s="1"/>
  <c r="K228" i="68" a="1"/>
  <c r="K228" i="68" s="1"/>
  <c r="K201" i="68" a="1"/>
  <c r="K201" i="68" s="1"/>
  <c r="K197" i="68" a="1"/>
  <c r="K197" i="68" s="1"/>
  <c r="K153" i="68" a="1"/>
  <c r="K153" i="68" s="1"/>
  <c r="K149" i="68" a="1"/>
  <c r="K149" i="68" s="1"/>
  <c r="K145" i="68" a="1"/>
  <c r="K145" i="68" s="1"/>
  <c r="K144" i="68" a="1"/>
  <c r="K144" i="68" s="1"/>
  <c r="K143" i="68" a="1"/>
  <c r="K143" i="68" s="1"/>
  <c r="K101" i="68" a="1"/>
  <c r="K101" i="68" s="1"/>
  <c r="K102" i="68" a="1"/>
  <c r="K102" i="68" s="1"/>
  <c r="K103" i="68" a="1"/>
  <c r="K103" i="68" s="1"/>
  <c r="K100" i="68" a="1"/>
  <c r="K100" i="68" s="1"/>
  <c r="K81" i="68" a="1"/>
  <c r="K81" i="68" s="1"/>
  <c r="K65" i="68" a="1"/>
  <c r="K65" i="68" s="1"/>
  <c r="K46" i="68" a="1"/>
  <c r="K46" i="68" s="1"/>
  <c r="K95" i="65" a="1"/>
  <c r="K95" i="65" s="1"/>
  <c r="K62" i="65" a="1"/>
  <c r="K62" i="65" s="1"/>
  <c r="K48" i="65" a="1"/>
  <c r="K48" i="65" s="1"/>
  <c r="G149" i="72"/>
  <c r="G147" i="72"/>
  <c r="G145" i="72"/>
  <c r="G135" i="72"/>
  <c r="G134" i="72"/>
  <c r="G133" i="72"/>
  <c r="G132" i="72"/>
  <c r="G131" i="72"/>
  <c r="G130" i="72"/>
  <c r="G128" i="72"/>
  <c r="G127" i="72"/>
  <c r="G126" i="72"/>
  <c r="G125" i="72"/>
  <c r="G124" i="72"/>
  <c r="G123" i="72"/>
  <c r="G121" i="72"/>
  <c r="G120" i="72"/>
  <c r="G119" i="72"/>
  <c r="G118" i="72"/>
  <c r="G117" i="72"/>
  <c r="G116" i="72"/>
  <c r="G110" i="72"/>
  <c r="G109" i="72"/>
  <c r="G108" i="72"/>
  <c r="G107" i="72"/>
  <c r="G106" i="72"/>
  <c r="G105" i="72"/>
  <c r="G103" i="72"/>
  <c r="G102" i="72"/>
  <c r="G101" i="72"/>
  <c r="G100" i="72"/>
  <c r="G99" i="72"/>
  <c r="G98" i="72"/>
  <c r="G96" i="72"/>
  <c r="G95" i="72"/>
  <c r="G94" i="72"/>
  <c r="G93" i="72"/>
  <c r="G92" i="72"/>
  <c r="G91" i="72"/>
  <c r="A137" i="61"/>
  <c r="A107" i="61"/>
  <c r="A95" i="61"/>
  <c r="A81" i="61"/>
  <c r="A75" i="61"/>
  <c r="A69" i="61"/>
  <c r="A8" i="61" l="1"/>
  <c r="B8" i="74"/>
  <c r="I22" i="12" s="1"/>
  <c r="A8" i="74"/>
  <c r="H22" i="12" s="1"/>
  <c r="C6" i="74"/>
  <c r="C4" i="74"/>
  <c r="C3" i="74"/>
  <c r="C2" i="74"/>
  <c r="G18" i="67"/>
  <c r="G16" i="67"/>
  <c r="G54" i="65"/>
  <c r="K230" i="68"/>
  <c r="K229" i="68"/>
  <c r="K199" i="68"/>
  <c r="K198" i="68"/>
  <c r="K151" i="68"/>
  <c r="K150" i="68"/>
  <c r="K155" i="68"/>
  <c r="K154" i="68"/>
  <c r="BE47" i="71"/>
  <c r="BD47" i="71"/>
  <c r="BC47" i="71"/>
  <c r="BB47" i="71"/>
  <c r="BA47" i="71"/>
  <c r="AZ47" i="71"/>
  <c r="AY47" i="71"/>
  <c r="AX47" i="71"/>
  <c r="AW47" i="71"/>
  <c r="AV47" i="71"/>
  <c r="AU47" i="71"/>
  <c r="AT47" i="71"/>
  <c r="AS47" i="71"/>
  <c r="AR47" i="71"/>
  <c r="AQ47" i="71"/>
  <c r="AP47" i="71"/>
  <c r="AO47" i="71"/>
  <c r="AN47" i="71"/>
  <c r="AM47" i="71"/>
  <c r="AL47" i="71"/>
  <c r="AK47" i="71"/>
  <c r="AJ47" i="71"/>
  <c r="AI47" i="71"/>
  <c r="AH47" i="71"/>
  <c r="AG47" i="71"/>
  <c r="AF47" i="71"/>
  <c r="AE47" i="71"/>
  <c r="AD47" i="71"/>
  <c r="AC47" i="71"/>
  <c r="AB47" i="71"/>
  <c r="AA47" i="71"/>
  <c r="BE46" i="71"/>
  <c r="BD46" i="71"/>
  <c r="BC46" i="71"/>
  <c r="BB46" i="71"/>
  <c r="BA46" i="71"/>
  <c r="AZ46" i="71"/>
  <c r="AY46" i="71"/>
  <c r="AX46" i="71"/>
  <c r="AW46" i="71"/>
  <c r="AV46" i="71"/>
  <c r="AU46" i="71"/>
  <c r="AT46" i="71"/>
  <c r="AS46" i="71"/>
  <c r="AR46" i="71"/>
  <c r="AQ46" i="71"/>
  <c r="AP46" i="71"/>
  <c r="AO46" i="71"/>
  <c r="AN46" i="71"/>
  <c r="AM46" i="71"/>
  <c r="AL46" i="71"/>
  <c r="AK46" i="71"/>
  <c r="AJ46" i="71"/>
  <c r="AI46" i="71"/>
  <c r="AH46" i="71"/>
  <c r="AG46" i="71"/>
  <c r="AF46" i="71"/>
  <c r="AE46" i="71"/>
  <c r="AD46" i="71"/>
  <c r="AC46" i="71"/>
  <c r="AB46" i="71"/>
  <c r="AA46" i="71"/>
  <c r="BE45" i="71"/>
  <c r="BD45" i="71"/>
  <c r="BC45" i="71"/>
  <c r="BB45" i="71"/>
  <c r="BA45" i="71"/>
  <c r="AZ45" i="71"/>
  <c r="AY45" i="71"/>
  <c r="AX45" i="71"/>
  <c r="AW45" i="71"/>
  <c r="AV45" i="71"/>
  <c r="AU45" i="71"/>
  <c r="AT45" i="71"/>
  <c r="AS45" i="71"/>
  <c r="AR45" i="71"/>
  <c r="AQ45" i="71"/>
  <c r="AP45" i="71"/>
  <c r="AO45" i="71"/>
  <c r="AN45" i="71"/>
  <c r="AM45" i="71"/>
  <c r="AL45" i="71"/>
  <c r="AK45" i="71"/>
  <c r="AJ45" i="71"/>
  <c r="AI45" i="71"/>
  <c r="AH45" i="71"/>
  <c r="AG45" i="71"/>
  <c r="AF45" i="71"/>
  <c r="AE45" i="71"/>
  <c r="AD45" i="71"/>
  <c r="AC45" i="71"/>
  <c r="AB45" i="71"/>
  <c r="AA45" i="71"/>
  <c r="BE44" i="71"/>
  <c r="BD44" i="71"/>
  <c r="BC44" i="71"/>
  <c r="BB44" i="71"/>
  <c r="BA44" i="71"/>
  <c r="AZ44" i="71"/>
  <c r="AY44" i="71"/>
  <c r="AX44" i="71"/>
  <c r="AW44" i="71"/>
  <c r="AV44" i="71"/>
  <c r="AU44" i="71"/>
  <c r="AT44" i="71"/>
  <c r="AS44" i="71"/>
  <c r="AR44" i="71"/>
  <c r="AQ44" i="71"/>
  <c r="AP44" i="71"/>
  <c r="AO44" i="71"/>
  <c r="AN44" i="71"/>
  <c r="AM44" i="71"/>
  <c r="AL44" i="71"/>
  <c r="AK44" i="71"/>
  <c r="AJ44" i="71"/>
  <c r="AI44" i="71"/>
  <c r="AH44" i="71"/>
  <c r="AG44" i="71"/>
  <c r="AF44" i="71"/>
  <c r="AE44" i="71"/>
  <c r="AD44" i="71"/>
  <c r="AC44" i="71"/>
  <c r="AB44" i="71"/>
  <c r="AA44" i="71"/>
  <c r="BE38" i="71"/>
  <c r="BD38" i="71"/>
  <c r="BC38" i="71"/>
  <c r="BB38" i="71"/>
  <c r="BA38" i="71"/>
  <c r="AZ38" i="71"/>
  <c r="AY38" i="71"/>
  <c r="AX38" i="71"/>
  <c r="AW38" i="71"/>
  <c r="AV38" i="71"/>
  <c r="AU38" i="71"/>
  <c r="AT38" i="71"/>
  <c r="AS38" i="71"/>
  <c r="AR38" i="71"/>
  <c r="AQ38" i="71"/>
  <c r="AP38" i="71"/>
  <c r="AO38" i="71"/>
  <c r="AN38" i="71"/>
  <c r="AM38" i="71"/>
  <c r="AL38" i="71"/>
  <c r="AK38" i="71"/>
  <c r="AJ38" i="71"/>
  <c r="AI38" i="71"/>
  <c r="AH38" i="71"/>
  <c r="AG38" i="71"/>
  <c r="AF38" i="71"/>
  <c r="AE38" i="71"/>
  <c r="AD38" i="71"/>
  <c r="AC38" i="71"/>
  <c r="AB38" i="71"/>
  <c r="AA38" i="71"/>
  <c r="BE34" i="71"/>
  <c r="BD34" i="71"/>
  <c r="BC34" i="71"/>
  <c r="BB34" i="71"/>
  <c r="BA34" i="71"/>
  <c r="AZ34" i="71"/>
  <c r="AY34" i="71"/>
  <c r="AX34" i="71"/>
  <c r="AW34" i="71"/>
  <c r="AV34" i="71"/>
  <c r="AU34" i="71"/>
  <c r="AT34" i="71"/>
  <c r="AS34" i="71"/>
  <c r="AR34" i="71"/>
  <c r="AQ34" i="71"/>
  <c r="AP34" i="71"/>
  <c r="AO34" i="71"/>
  <c r="AN34" i="71"/>
  <c r="AM34" i="71"/>
  <c r="AL34" i="71"/>
  <c r="AK34" i="71"/>
  <c r="AJ34" i="71"/>
  <c r="AI34" i="71"/>
  <c r="AH34" i="71"/>
  <c r="AG34" i="71"/>
  <c r="AF34" i="71"/>
  <c r="AE34" i="71"/>
  <c r="AD34" i="71"/>
  <c r="AC34" i="71"/>
  <c r="AB34" i="71"/>
  <c r="AA34" i="71"/>
  <c r="BE28" i="71"/>
  <c r="BD28" i="71"/>
  <c r="BC28" i="71"/>
  <c r="BB28" i="71"/>
  <c r="BA28" i="71"/>
  <c r="AZ28" i="71"/>
  <c r="AY28" i="71"/>
  <c r="AX28" i="71"/>
  <c r="AW28" i="71"/>
  <c r="AV28" i="71"/>
  <c r="AU28" i="71"/>
  <c r="AT28" i="71"/>
  <c r="AS28" i="71"/>
  <c r="AR28" i="71"/>
  <c r="AQ28" i="71"/>
  <c r="AP28" i="71"/>
  <c r="AO28" i="71"/>
  <c r="AN28" i="71"/>
  <c r="AM28" i="71"/>
  <c r="AL28" i="71"/>
  <c r="AK28" i="71"/>
  <c r="AJ28" i="71"/>
  <c r="AI28" i="71"/>
  <c r="AH28" i="71"/>
  <c r="AG28" i="71"/>
  <c r="AF28" i="71"/>
  <c r="AE28" i="71"/>
  <c r="AD28" i="71"/>
  <c r="AC28" i="71"/>
  <c r="AB28" i="71"/>
  <c r="AA28" i="71"/>
  <c r="BE25" i="71"/>
  <c r="BD25" i="71"/>
  <c r="BC25" i="71"/>
  <c r="BB25" i="71"/>
  <c r="BA25" i="71"/>
  <c r="AZ25" i="71"/>
  <c r="AY25" i="71"/>
  <c r="AX25" i="71"/>
  <c r="AW25" i="71"/>
  <c r="AV25" i="71"/>
  <c r="AU25" i="71"/>
  <c r="AT25" i="71"/>
  <c r="AS25" i="71"/>
  <c r="AR25" i="71"/>
  <c r="AQ25" i="71"/>
  <c r="AP25" i="71"/>
  <c r="AO25" i="71"/>
  <c r="AN25" i="71"/>
  <c r="AM25" i="71"/>
  <c r="AL25" i="71"/>
  <c r="AK25" i="71"/>
  <c r="AJ25" i="71"/>
  <c r="AI25" i="71"/>
  <c r="AH25" i="71"/>
  <c r="AG25" i="71"/>
  <c r="AF25" i="71"/>
  <c r="AE25" i="71"/>
  <c r="AD25" i="71"/>
  <c r="AC25" i="71"/>
  <c r="AB25" i="71"/>
  <c r="AA25" i="71"/>
  <c r="G141" i="72"/>
  <c r="G83" i="72"/>
  <c r="G81" i="72"/>
  <c r="G79" i="72"/>
  <c r="G75" i="72"/>
  <c r="AA69" i="72"/>
  <c r="AB69" i="72" s="1"/>
  <c r="AC69" i="72" s="1"/>
  <c r="AC78" i="71" s="1"/>
  <c r="G69" i="72"/>
  <c r="AA68" i="72"/>
  <c r="AB68" i="72" s="1"/>
  <c r="AC68" i="72" s="1"/>
  <c r="AD68" i="72" s="1"/>
  <c r="AE68" i="72" s="1"/>
  <c r="AF68" i="72" s="1"/>
  <c r="AG68" i="72" s="1"/>
  <c r="AH68" i="72" s="1"/>
  <c r="AI68" i="72" s="1"/>
  <c r="AJ68" i="72" s="1"/>
  <c r="AK68" i="72" s="1"/>
  <c r="AL68" i="72" s="1"/>
  <c r="AM68" i="72" s="1"/>
  <c r="AN68" i="72" s="1"/>
  <c r="AO68" i="72" s="1"/>
  <c r="AP68" i="72" s="1"/>
  <c r="AQ68" i="72" s="1"/>
  <c r="AR68" i="72" s="1"/>
  <c r="AS68" i="72" s="1"/>
  <c r="AT68" i="72" s="1"/>
  <c r="AU68" i="72" s="1"/>
  <c r="AV68" i="72" s="1"/>
  <c r="AW68" i="72" s="1"/>
  <c r="AX68" i="72" s="1"/>
  <c r="AY68" i="72" s="1"/>
  <c r="AZ68" i="72" s="1"/>
  <c r="BA68" i="72" s="1"/>
  <c r="BB68" i="72" s="1"/>
  <c r="BC68" i="72" s="1"/>
  <c r="BD68" i="72" s="1"/>
  <c r="BE68" i="72" s="1"/>
  <c r="BE77" i="71" s="1"/>
  <c r="G68" i="72"/>
  <c r="AA67" i="72"/>
  <c r="AB67" i="72" s="1"/>
  <c r="AC67" i="72" s="1"/>
  <c r="AD67" i="72" s="1"/>
  <c r="AE67" i="72" s="1"/>
  <c r="AF67" i="72" s="1"/>
  <c r="AG67" i="72" s="1"/>
  <c r="AH67" i="72" s="1"/>
  <c r="AI67" i="72" s="1"/>
  <c r="AJ67" i="72" s="1"/>
  <c r="AK67" i="72" s="1"/>
  <c r="AL67" i="72" s="1"/>
  <c r="AM67" i="72" s="1"/>
  <c r="AN67" i="72" s="1"/>
  <c r="AO67" i="72" s="1"/>
  <c r="AP67" i="72" s="1"/>
  <c r="AQ67" i="72" s="1"/>
  <c r="AR67" i="72" s="1"/>
  <c r="AS67" i="72" s="1"/>
  <c r="AT67" i="72" s="1"/>
  <c r="AU67" i="72" s="1"/>
  <c r="AV67" i="72" s="1"/>
  <c r="AW67" i="72" s="1"/>
  <c r="AX67" i="72" s="1"/>
  <c r="AY67" i="72" s="1"/>
  <c r="AZ67" i="72" s="1"/>
  <c r="BA67" i="72" s="1"/>
  <c r="BB67" i="72" s="1"/>
  <c r="BC67" i="72" s="1"/>
  <c r="BD67" i="72" s="1"/>
  <c r="BE67" i="72" s="1"/>
  <c r="BE76" i="71" s="1"/>
  <c r="G67" i="72"/>
  <c r="AA66" i="72"/>
  <c r="AB66" i="72" s="1"/>
  <c r="AC66" i="72" s="1"/>
  <c r="AD66" i="72" s="1"/>
  <c r="G66" i="72"/>
  <c r="G65" i="72"/>
  <c r="G64" i="72"/>
  <c r="AA62" i="72"/>
  <c r="AB62" i="72" s="1"/>
  <c r="AC62" i="72" s="1"/>
  <c r="AD62" i="72" s="1"/>
  <c r="AE62" i="72" s="1"/>
  <c r="AF62" i="72" s="1"/>
  <c r="AG62" i="72" s="1"/>
  <c r="AH62" i="72" s="1"/>
  <c r="AI62" i="72" s="1"/>
  <c r="AJ62" i="72" s="1"/>
  <c r="AK62" i="72" s="1"/>
  <c r="AL62" i="72" s="1"/>
  <c r="AM62" i="72" s="1"/>
  <c r="AN62" i="72" s="1"/>
  <c r="AO62" i="72" s="1"/>
  <c r="AP62" i="72" s="1"/>
  <c r="AQ62" i="72" s="1"/>
  <c r="AR62" i="72" s="1"/>
  <c r="AS62" i="72" s="1"/>
  <c r="AT62" i="72" s="1"/>
  <c r="AU62" i="72" s="1"/>
  <c r="AV62" i="72" s="1"/>
  <c r="AW62" i="72" s="1"/>
  <c r="AX62" i="72" s="1"/>
  <c r="AY62" i="72" s="1"/>
  <c r="AZ62" i="72" s="1"/>
  <c r="BA62" i="72" s="1"/>
  <c r="BB62" i="72" s="1"/>
  <c r="BC62" i="72" s="1"/>
  <c r="BD62" i="72" s="1"/>
  <c r="BE62" i="72" s="1"/>
  <c r="BE69" i="71" s="1"/>
  <c r="G62" i="72"/>
  <c r="G61" i="72"/>
  <c r="G60" i="72"/>
  <c r="G59" i="72"/>
  <c r="AA58" i="72"/>
  <c r="G58" i="72"/>
  <c r="G57" i="72"/>
  <c r="G55" i="72"/>
  <c r="AA54" i="72"/>
  <c r="AB54" i="72" s="1"/>
  <c r="AC54" i="72" s="1"/>
  <c r="AD54" i="72" s="1"/>
  <c r="AE54" i="72" s="1"/>
  <c r="AF54" i="72" s="1"/>
  <c r="AG54" i="72" s="1"/>
  <c r="AH54" i="72" s="1"/>
  <c r="AI54" i="72" s="1"/>
  <c r="AJ54" i="72" s="1"/>
  <c r="AK54" i="72" s="1"/>
  <c r="AL54" i="72" s="1"/>
  <c r="AM54" i="72" s="1"/>
  <c r="AN54" i="72" s="1"/>
  <c r="AO54" i="72" s="1"/>
  <c r="AP54" i="72" s="1"/>
  <c r="AQ54" i="72" s="1"/>
  <c r="AR54" i="72" s="1"/>
  <c r="AS54" i="72" s="1"/>
  <c r="AT54" i="72" s="1"/>
  <c r="AU54" i="72" s="1"/>
  <c r="AV54" i="72" s="1"/>
  <c r="AW54" i="72" s="1"/>
  <c r="AX54" i="72" s="1"/>
  <c r="AY54" i="72" s="1"/>
  <c r="AZ54" i="72" s="1"/>
  <c r="BA54" i="72" s="1"/>
  <c r="BB54" i="72" s="1"/>
  <c r="BC54" i="72" s="1"/>
  <c r="BD54" i="72" s="1"/>
  <c r="BE54" i="72" s="1"/>
  <c r="BE59" i="71" s="1"/>
  <c r="G54" i="72"/>
  <c r="G53" i="72"/>
  <c r="G52" i="72"/>
  <c r="AA51" i="72"/>
  <c r="AB51" i="72" s="1"/>
  <c r="AC51" i="72" s="1"/>
  <c r="AD51" i="72" s="1"/>
  <c r="AD56" i="71" s="1"/>
  <c r="G51" i="72"/>
  <c r="G50" i="72"/>
  <c r="I44" i="72"/>
  <c r="I47" i="71" s="1"/>
  <c r="G44" i="72"/>
  <c r="I43" i="72"/>
  <c r="I46" i="71" s="1"/>
  <c r="G43" i="72"/>
  <c r="I42" i="72"/>
  <c r="I45" i="71" s="1"/>
  <c r="G42" i="72"/>
  <c r="I41" i="72"/>
  <c r="I44" i="71" s="1"/>
  <c r="G41" i="72"/>
  <c r="G40" i="72"/>
  <c r="G39" i="72"/>
  <c r="I37" i="72"/>
  <c r="I38" i="71" s="1"/>
  <c r="G37" i="72"/>
  <c r="G36" i="72"/>
  <c r="G35" i="72"/>
  <c r="G34" i="72"/>
  <c r="I33" i="72"/>
  <c r="I34" i="71" s="1"/>
  <c r="G33" i="72"/>
  <c r="G32" i="72"/>
  <c r="G30" i="72"/>
  <c r="I29" i="72"/>
  <c r="I28" i="71" s="1"/>
  <c r="G29" i="72"/>
  <c r="G28" i="72"/>
  <c r="G27" i="72"/>
  <c r="I26" i="72"/>
  <c r="I25" i="71" s="1"/>
  <c r="G26" i="72"/>
  <c r="G25" i="72"/>
  <c r="B8" i="72"/>
  <c r="I20" i="12" s="1"/>
  <c r="A8" i="72"/>
  <c r="H20" i="12" s="1"/>
  <c r="Z7" i="72"/>
  <c r="BM6" i="72"/>
  <c r="BL6" i="72"/>
  <c r="BK6" i="72"/>
  <c r="BJ6" i="72"/>
  <c r="BI6" i="72"/>
  <c r="BH6" i="72"/>
  <c r="BG6" i="72"/>
  <c r="Z6" i="72"/>
  <c r="C6" i="72"/>
  <c r="Z5" i="72"/>
  <c r="BG4" i="72"/>
  <c r="BE4" i="72"/>
  <c r="BD4" i="72"/>
  <c r="BC4" i="72"/>
  <c r="BB4" i="72"/>
  <c r="BA4" i="72"/>
  <c r="AZ4" i="72"/>
  <c r="AY4" i="72"/>
  <c r="AX4" i="72"/>
  <c r="AW4" i="72"/>
  <c r="AV4" i="72"/>
  <c r="AU4" i="72"/>
  <c r="AT4" i="72"/>
  <c r="AS4" i="72"/>
  <c r="AR4" i="72"/>
  <c r="AQ4" i="72"/>
  <c r="AP4" i="72"/>
  <c r="AO4" i="72"/>
  <c r="AN4" i="72"/>
  <c r="AM4" i="72"/>
  <c r="AL4" i="72"/>
  <c r="AK4" i="72"/>
  <c r="AJ4" i="72"/>
  <c r="AI4" i="72"/>
  <c r="AH4" i="72"/>
  <c r="AG4" i="72"/>
  <c r="AF4" i="72"/>
  <c r="AE4" i="72"/>
  <c r="AD4" i="72"/>
  <c r="AC4" i="72"/>
  <c r="AB4" i="72"/>
  <c r="AA4" i="72"/>
  <c r="Z4" i="72"/>
  <c r="C4" i="72"/>
  <c r="Z3" i="72"/>
  <c r="C3" i="72"/>
  <c r="Z2" i="72"/>
  <c r="C2" i="72"/>
  <c r="G90" i="71"/>
  <c r="G88" i="71"/>
  <c r="G86" i="71"/>
  <c r="G78" i="71"/>
  <c r="G77" i="71"/>
  <c r="G76" i="71"/>
  <c r="G75" i="71"/>
  <c r="G74" i="71"/>
  <c r="G73" i="71"/>
  <c r="G69" i="71"/>
  <c r="G68" i="71"/>
  <c r="G67" i="71"/>
  <c r="G66" i="71"/>
  <c r="G65" i="71"/>
  <c r="G64" i="71"/>
  <c r="G60" i="71"/>
  <c r="G59" i="71"/>
  <c r="G58" i="71"/>
  <c r="G57" i="71"/>
  <c r="G56" i="71"/>
  <c r="G55" i="71"/>
  <c r="G47" i="71"/>
  <c r="G46" i="71"/>
  <c r="G45" i="71"/>
  <c r="G44" i="71"/>
  <c r="G43" i="71"/>
  <c r="G42" i="71"/>
  <c r="AP59" i="71" l="1"/>
  <c r="AR59" i="71"/>
  <c r="AS77" i="71"/>
  <c r="AR69" i="71"/>
  <c r="AY77" i="71"/>
  <c r="AT69" i="71"/>
  <c r="AT76" i="71"/>
  <c r="AV76" i="71"/>
  <c r="AX59" i="71"/>
  <c r="AZ69" i="71"/>
  <c r="BB76" i="71"/>
  <c r="BA77" i="71"/>
  <c r="AZ59" i="71"/>
  <c r="BB69" i="71"/>
  <c r="BD76" i="71"/>
  <c r="AA77" i="71"/>
  <c r="AA56" i="71"/>
  <c r="AB69" i="71"/>
  <c r="AD76" i="71"/>
  <c r="AC77" i="71"/>
  <c r="AB59" i="71"/>
  <c r="AD69" i="71"/>
  <c r="AF76" i="71"/>
  <c r="AI77" i="71"/>
  <c r="AH59" i="71"/>
  <c r="AJ69" i="71"/>
  <c r="AL76" i="71"/>
  <c r="AK77" i="71"/>
  <c r="AJ59" i="71"/>
  <c r="AL69" i="71"/>
  <c r="AN76" i="71"/>
  <c r="AQ77" i="71"/>
  <c r="AB58" i="72"/>
  <c r="AB65" i="71" s="1"/>
  <c r="AA65" i="71"/>
  <c r="AE66" i="72"/>
  <c r="AD75" i="71"/>
  <c r="AB56" i="71"/>
  <c r="AC59" i="71"/>
  <c r="AK59" i="71"/>
  <c r="AS59" i="71"/>
  <c r="BA59" i="71"/>
  <c r="AE69" i="71"/>
  <c r="AM69" i="71"/>
  <c r="AU69" i="71"/>
  <c r="BC69" i="71"/>
  <c r="AG76" i="71"/>
  <c r="AO76" i="71"/>
  <c r="AW76" i="71"/>
  <c r="AD77" i="71"/>
  <c r="AL77" i="71"/>
  <c r="AT77" i="71"/>
  <c r="BB77" i="71"/>
  <c r="AC56" i="71"/>
  <c r="AD59" i="71"/>
  <c r="AL59" i="71"/>
  <c r="AT59" i="71"/>
  <c r="BB59" i="71"/>
  <c r="AF69" i="71"/>
  <c r="AN69" i="71"/>
  <c r="AV69" i="71"/>
  <c r="BD69" i="71"/>
  <c r="AH76" i="71"/>
  <c r="AP76" i="71"/>
  <c r="AX76" i="71"/>
  <c r="AE77" i="71"/>
  <c r="AM77" i="71"/>
  <c r="AU77" i="71"/>
  <c r="BC77" i="71"/>
  <c r="AE59" i="71"/>
  <c r="AM59" i="71"/>
  <c r="AU59" i="71"/>
  <c r="BC59" i="71"/>
  <c r="AG69" i="71"/>
  <c r="AO69" i="71"/>
  <c r="AW69" i="71"/>
  <c r="AA76" i="71"/>
  <c r="AI76" i="71"/>
  <c r="AQ76" i="71"/>
  <c r="AY76" i="71"/>
  <c r="AF77" i="71"/>
  <c r="AN77" i="71"/>
  <c r="AV77" i="71"/>
  <c r="BD77" i="71"/>
  <c r="AF59" i="71"/>
  <c r="AN59" i="71"/>
  <c r="AV59" i="71"/>
  <c r="BD59" i="71"/>
  <c r="AH69" i="71"/>
  <c r="AP69" i="71"/>
  <c r="AX69" i="71"/>
  <c r="AA75" i="71"/>
  <c r="AB76" i="71"/>
  <c r="AJ76" i="71"/>
  <c r="AR76" i="71"/>
  <c r="AZ76" i="71"/>
  <c r="AG77" i="71"/>
  <c r="AO77" i="71"/>
  <c r="AW77" i="71"/>
  <c r="AG59" i="71"/>
  <c r="AO59" i="71"/>
  <c r="AW59" i="71"/>
  <c r="AA69" i="71"/>
  <c r="AI69" i="71"/>
  <c r="AQ69" i="71"/>
  <c r="AY69" i="71"/>
  <c r="AB75" i="71"/>
  <c r="AC76" i="71"/>
  <c r="AK76" i="71"/>
  <c r="AS76" i="71"/>
  <c r="BA76" i="71"/>
  <c r="AH77" i="71"/>
  <c r="AP77" i="71"/>
  <c r="AX77" i="71"/>
  <c r="AA78" i="71"/>
  <c r="AC75" i="71"/>
  <c r="AB78" i="71"/>
  <c r="AD69" i="72"/>
  <c r="AA59" i="71"/>
  <c r="AI59" i="71"/>
  <c r="AQ59" i="71"/>
  <c r="AY59" i="71"/>
  <c r="AC69" i="71"/>
  <c r="AK69" i="71"/>
  <c r="AS69" i="71"/>
  <c r="BA69" i="71"/>
  <c r="AE76" i="71"/>
  <c r="AM76" i="71"/>
  <c r="AU76" i="71"/>
  <c r="BC76" i="71"/>
  <c r="AB77" i="71"/>
  <c r="AJ77" i="71"/>
  <c r="AR77" i="71"/>
  <c r="AZ77" i="71"/>
  <c r="AE51" i="72"/>
  <c r="AE56" i="71" s="1"/>
  <c r="G38" i="71"/>
  <c r="G37" i="71"/>
  <c r="G36" i="71"/>
  <c r="G35" i="71"/>
  <c r="G34" i="71"/>
  <c r="G33" i="71"/>
  <c r="G25" i="71"/>
  <c r="G26" i="71"/>
  <c r="G27" i="71"/>
  <c r="G28" i="71"/>
  <c r="G29" i="71"/>
  <c r="G24" i="71"/>
  <c r="B8" i="71"/>
  <c r="I21" i="12" s="1"/>
  <c r="Z7" i="71"/>
  <c r="BM6" i="71"/>
  <c r="BL6" i="71"/>
  <c r="BK6" i="71"/>
  <c r="BJ6" i="71"/>
  <c r="BI6" i="71"/>
  <c r="BH6" i="71"/>
  <c r="BG6" i="71"/>
  <c r="Z6" i="71"/>
  <c r="C6" i="71"/>
  <c r="Z5" i="71"/>
  <c r="BG4" i="71"/>
  <c r="BE4" i="71"/>
  <c r="BD4" i="71"/>
  <c r="BC4" i="71"/>
  <c r="BB4" i="71"/>
  <c r="BA4" i="71"/>
  <c r="AZ4" i="71"/>
  <c r="AY4" i="71"/>
  <c r="AX4" i="71"/>
  <c r="AW4" i="71"/>
  <c r="AV4" i="71"/>
  <c r="AU4" i="71"/>
  <c r="AT4" i="71"/>
  <c r="AS4" i="71"/>
  <c r="AR4" i="71"/>
  <c r="AQ4" i="71"/>
  <c r="AP4" i="71"/>
  <c r="AO4" i="71"/>
  <c r="AN4" i="71"/>
  <c r="AM4" i="71"/>
  <c r="AL4" i="71"/>
  <c r="AK4" i="71"/>
  <c r="AJ4" i="71"/>
  <c r="AI4" i="71"/>
  <c r="AH4" i="71"/>
  <c r="AG4" i="71"/>
  <c r="AF4" i="71"/>
  <c r="AE4" i="71"/>
  <c r="AD4" i="71"/>
  <c r="AC4" i="71"/>
  <c r="AB4" i="71"/>
  <c r="AA4" i="71"/>
  <c r="Z4" i="71"/>
  <c r="C4" i="71"/>
  <c r="Z3" i="71"/>
  <c r="C3" i="71"/>
  <c r="Z2" i="71"/>
  <c r="C2" i="71"/>
  <c r="BM4" i="3"/>
  <c r="BL4" i="3"/>
  <c r="BK4" i="3"/>
  <c r="BJ4" i="3"/>
  <c r="BI4" i="3"/>
  <c r="BH4" i="3"/>
  <c r="AC58" i="72" l="1"/>
  <c r="AE69" i="72"/>
  <c r="AD78" i="71"/>
  <c r="AF66" i="72"/>
  <c r="AE75" i="71"/>
  <c r="AF51" i="72"/>
  <c r="AF56" i="71" s="1"/>
  <c r="BL4" i="71"/>
  <c r="BL4" i="72"/>
  <c r="BK4" i="71"/>
  <c r="BK4" i="72"/>
  <c r="BM4" i="71"/>
  <c r="BM4" i="72"/>
  <c r="BH4" i="71"/>
  <c r="BH4" i="72"/>
  <c r="BI4" i="71"/>
  <c r="BI4" i="72"/>
  <c r="BJ4" i="71"/>
  <c r="BJ4" i="72"/>
  <c r="AD58" i="72" l="1"/>
  <c r="AC65" i="71"/>
  <c r="AG66" i="72"/>
  <c r="AF75" i="71"/>
  <c r="AF69" i="72"/>
  <c r="AE78" i="71"/>
  <c r="AG51" i="72"/>
  <c r="AG56" i="71" s="1"/>
  <c r="AD65" i="71" l="1"/>
  <c r="AE58" i="72"/>
  <c r="AH66" i="72"/>
  <c r="AG75" i="71"/>
  <c r="AG69" i="72"/>
  <c r="AF78" i="71"/>
  <c r="AH51" i="72"/>
  <c r="AH56" i="71" s="1"/>
  <c r="AE65" i="71" l="1"/>
  <c r="AF58" i="72"/>
  <c r="AH69" i="72"/>
  <c r="AG78" i="71"/>
  <c r="AI66" i="72"/>
  <c r="AH75" i="71"/>
  <c r="AI51" i="72"/>
  <c r="AI56" i="71" s="1"/>
  <c r="AF65" i="71" l="1"/>
  <c r="AG58" i="72"/>
  <c r="AJ66" i="72"/>
  <c r="AI75" i="71"/>
  <c r="AI69" i="72"/>
  <c r="AH78" i="71"/>
  <c r="AJ51" i="72"/>
  <c r="AJ56" i="71" s="1"/>
  <c r="AG65" i="71" l="1"/>
  <c r="AH58" i="72"/>
  <c r="AJ69" i="72"/>
  <c r="AI78" i="71"/>
  <c r="AK66" i="72"/>
  <c r="AJ75" i="71"/>
  <c r="AK51" i="72"/>
  <c r="AK56" i="71" s="1"/>
  <c r="AH65" i="71" l="1"/>
  <c r="AI58" i="72"/>
  <c r="AL66" i="72"/>
  <c r="AK75" i="71"/>
  <c r="AK69" i="72"/>
  <c r="AJ78" i="71"/>
  <c r="AL51" i="72"/>
  <c r="AL56" i="71" s="1"/>
  <c r="AI65" i="71" l="1"/>
  <c r="AJ58" i="72"/>
  <c r="AM66" i="72"/>
  <c r="AL75" i="71"/>
  <c r="AL69" i="72"/>
  <c r="AK78" i="71"/>
  <c r="AM51" i="72"/>
  <c r="AM56" i="71" s="1"/>
  <c r="AJ65" i="71" l="1"/>
  <c r="AK58" i="72"/>
  <c r="AN66" i="72"/>
  <c r="AM75" i="71"/>
  <c r="AM69" i="72"/>
  <c r="AL78" i="71"/>
  <c r="AN51" i="72"/>
  <c r="AN56" i="71" s="1"/>
  <c r="AK65" i="71" l="1"/>
  <c r="AL58" i="72"/>
  <c r="AO66" i="72"/>
  <c r="AN75" i="71"/>
  <c r="AN69" i="72"/>
  <c r="AM78" i="71"/>
  <c r="AO51" i="72"/>
  <c r="AO56" i="71" s="1"/>
  <c r="AL65" i="71" l="1"/>
  <c r="AM58" i="72"/>
  <c r="AO69" i="72"/>
  <c r="AN78" i="71"/>
  <c r="AP66" i="72"/>
  <c r="AO75" i="71"/>
  <c r="AP51" i="72"/>
  <c r="AP56" i="71" s="1"/>
  <c r="AM65" i="71" l="1"/>
  <c r="AN58" i="72"/>
  <c r="AQ66" i="72"/>
  <c r="AP75" i="71"/>
  <c r="AP69" i="72"/>
  <c r="AO78" i="71"/>
  <c r="AQ51" i="72"/>
  <c r="AQ56" i="71" s="1"/>
  <c r="AN65" i="71" l="1"/>
  <c r="AO58" i="72"/>
  <c r="AQ69" i="72"/>
  <c r="AP78" i="71"/>
  <c r="AR66" i="72"/>
  <c r="AQ75" i="71"/>
  <c r="AR51" i="72"/>
  <c r="AR56" i="71" s="1"/>
  <c r="AO65" i="71" l="1"/>
  <c r="AP58" i="72"/>
  <c r="AS66" i="72"/>
  <c r="AR75" i="71"/>
  <c r="AR69" i="72"/>
  <c r="AQ78" i="71"/>
  <c r="AS51" i="72"/>
  <c r="AS56" i="71" s="1"/>
  <c r="AP65" i="71" l="1"/>
  <c r="AQ58" i="72"/>
  <c r="AS69" i="72"/>
  <c r="AR78" i="71"/>
  <c r="AT66" i="72"/>
  <c r="AS75" i="71"/>
  <c r="AT51" i="72"/>
  <c r="AT56" i="71" s="1"/>
  <c r="AQ65" i="71" l="1"/>
  <c r="AR58" i="72"/>
  <c r="AU66" i="72"/>
  <c r="AT75" i="71"/>
  <c r="AT69" i="72"/>
  <c r="AS78" i="71"/>
  <c r="AU51" i="72"/>
  <c r="AU56" i="71" s="1"/>
  <c r="AR65" i="71" l="1"/>
  <c r="AS58" i="72"/>
  <c r="AV66" i="72"/>
  <c r="AU75" i="71"/>
  <c r="AU69" i="72"/>
  <c r="AT78" i="71"/>
  <c r="AV51" i="72"/>
  <c r="AV56" i="71" s="1"/>
  <c r="AS65" i="71" l="1"/>
  <c r="AT58" i="72"/>
  <c r="AW66" i="72"/>
  <c r="AV75" i="71"/>
  <c r="AV69" i="72"/>
  <c r="AU78" i="71"/>
  <c r="AW51" i="72"/>
  <c r="AW56" i="71" s="1"/>
  <c r="AT65" i="71" l="1"/>
  <c r="AU58" i="72"/>
  <c r="AX66" i="72"/>
  <c r="AW75" i="71"/>
  <c r="AW69" i="72"/>
  <c r="AV78" i="71"/>
  <c r="AX51" i="72"/>
  <c r="AX56" i="71" s="1"/>
  <c r="AU65" i="71" l="1"/>
  <c r="AV58" i="72"/>
  <c r="AY66" i="72"/>
  <c r="AX75" i="71"/>
  <c r="AX69" i="72"/>
  <c r="AW78" i="71"/>
  <c r="AY51" i="72"/>
  <c r="AY56" i="71" s="1"/>
  <c r="AV65" i="71" l="1"/>
  <c r="AW58" i="72"/>
  <c r="AY69" i="72"/>
  <c r="AX78" i="71"/>
  <c r="AZ66" i="72"/>
  <c r="AY75" i="71"/>
  <c r="AZ51" i="72"/>
  <c r="AZ56" i="71" s="1"/>
  <c r="AW65" i="71" l="1"/>
  <c r="AX58" i="72"/>
  <c r="BA66" i="72"/>
  <c r="AZ75" i="71"/>
  <c r="AZ69" i="72"/>
  <c r="AY78" i="71"/>
  <c r="BA51" i="72"/>
  <c r="BA56" i="71" s="1"/>
  <c r="AX65" i="71" l="1"/>
  <c r="AY58" i="72"/>
  <c r="BA69" i="72"/>
  <c r="AZ78" i="71"/>
  <c r="BB66" i="72"/>
  <c r="BA75" i="71"/>
  <c r="BB51" i="72"/>
  <c r="BB56" i="71" s="1"/>
  <c r="AY65" i="71" l="1"/>
  <c r="AZ58" i="72"/>
  <c r="BC66" i="72"/>
  <c r="BB75" i="71"/>
  <c r="BB69" i="72"/>
  <c r="BA78" i="71"/>
  <c r="BC51" i="72"/>
  <c r="BC56" i="71" s="1"/>
  <c r="AZ65" i="71" l="1"/>
  <c r="BA58" i="72"/>
  <c r="BC69" i="72"/>
  <c r="BB78" i="71"/>
  <c r="BD66" i="72"/>
  <c r="BC75" i="71"/>
  <c r="BD51" i="72"/>
  <c r="BD56" i="71" s="1"/>
  <c r="BA65" i="71" l="1"/>
  <c r="BB58" i="72"/>
  <c r="BE66" i="72"/>
  <c r="BE75" i="71" s="1"/>
  <c r="BD75" i="71"/>
  <c r="BD69" i="72"/>
  <c r="BC78" i="71"/>
  <c r="BE51" i="72"/>
  <c r="BE56" i="71" s="1"/>
  <c r="BB65" i="71" l="1"/>
  <c r="BC58" i="72"/>
  <c r="BE69" i="72"/>
  <c r="BE78" i="71" s="1"/>
  <c r="BD78" i="71"/>
  <c r="BC65" i="71" l="1"/>
  <c r="BD58" i="72"/>
  <c r="G313" i="68"/>
  <c r="G278" i="68"/>
  <c r="G262" i="68"/>
  <c r="G246" i="68"/>
  <c r="G222" i="68"/>
  <c r="G220" i="68"/>
  <c r="G191" i="68"/>
  <c r="G189" i="68"/>
  <c r="G187" i="68"/>
  <c r="G185" i="68"/>
  <c r="G183" i="68"/>
  <c r="G123" i="68"/>
  <c r="G121" i="68"/>
  <c r="G120" i="68"/>
  <c r="G119" i="68"/>
  <c r="G118" i="68"/>
  <c r="G89" i="68"/>
  <c r="G73" i="68"/>
  <c r="G55" i="68"/>
  <c r="I467" i="68"/>
  <c r="I466" i="68"/>
  <c r="I465" i="68"/>
  <c r="I464" i="68"/>
  <c r="I463" i="68"/>
  <c r="G347" i="68"/>
  <c r="G447" i="68"/>
  <c r="F445" i="68"/>
  <c r="F455" i="68" s="1"/>
  <c r="F467" i="68" s="1"/>
  <c r="F444" i="68"/>
  <c r="F454" i="68" s="1"/>
  <c r="F466" i="68" s="1"/>
  <c r="F443" i="68"/>
  <c r="F453" i="68" s="1"/>
  <c r="F465" i="68" s="1"/>
  <c r="F442" i="68"/>
  <c r="F452" i="68" s="1"/>
  <c r="F464" i="68" s="1"/>
  <c r="F441" i="68"/>
  <c r="F451" i="68" s="1"/>
  <c r="F463" i="68" s="1"/>
  <c r="G469" i="68"/>
  <c r="G467" i="68"/>
  <c r="G466" i="68"/>
  <c r="G465" i="68"/>
  <c r="G464" i="68"/>
  <c r="G463" i="68"/>
  <c r="G435" i="68"/>
  <c r="G433" i="68"/>
  <c r="I417" i="68"/>
  <c r="G417" i="68"/>
  <c r="F383" i="68"/>
  <c r="F417" i="68" s="1"/>
  <c r="G413" i="68"/>
  <c r="I411" i="68"/>
  <c r="I410" i="68"/>
  <c r="I409" i="68"/>
  <c r="I408" i="68"/>
  <c r="I407" i="68"/>
  <c r="I406" i="68"/>
  <c r="I405" i="68"/>
  <c r="I404" i="68"/>
  <c r="I403" i="68"/>
  <c r="I402" i="68"/>
  <c r="I401" i="68"/>
  <c r="I400" i="68"/>
  <c r="I399" i="68"/>
  <c r="I398" i="68"/>
  <c r="I397" i="68"/>
  <c r="I396" i="68"/>
  <c r="I395" i="68"/>
  <c r="I394" i="68"/>
  <c r="I393" i="68"/>
  <c r="I392" i="68"/>
  <c r="I391" i="68"/>
  <c r="I390" i="68"/>
  <c r="I389" i="68"/>
  <c r="I388" i="68"/>
  <c r="I387" i="68"/>
  <c r="G411" i="68"/>
  <c r="G410" i="68"/>
  <c r="G409" i="68"/>
  <c r="G408" i="68"/>
  <c r="G407" i="68"/>
  <c r="G406" i="68"/>
  <c r="G405" i="68"/>
  <c r="G404" i="68"/>
  <c r="G403" i="68"/>
  <c r="G402" i="68"/>
  <c r="G401" i="68"/>
  <c r="G400" i="68"/>
  <c r="G399" i="68"/>
  <c r="G398" i="68"/>
  <c r="G397" i="68"/>
  <c r="G396" i="68"/>
  <c r="G395" i="68"/>
  <c r="G394" i="68"/>
  <c r="G393" i="68"/>
  <c r="G392" i="68"/>
  <c r="G391" i="68"/>
  <c r="G390" i="68"/>
  <c r="G389" i="68"/>
  <c r="G388" i="68"/>
  <c r="G387" i="68"/>
  <c r="F345" i="68"/>
  <c r="F377" i="68" s="1"/>
  <c r="F411" i="68" s="1"/>
  <c r="F344" i="68"/>
  <c r="F376" i="68" s="1"/>
  <c r="F410" i="68" s="1"/>
  <c r="F343" i="68"/>
  <c r="F375" i="68" s="1"/>
  <c r="F409" i="68" s="1"/>
  <c r="F342" i="68"/>
  <c r="F374" i="68" s="1"/>
  <c r="F408" i="68" s="1"/>
  <c r="F341" i="68"/>
  <c r="F373" i="68" s="1"/>
  <c r="F407" i="68" s="1"/>
  <c r="F340" i="68"/>
  <c r="F372" i="68" s="1"/>
  <c r="F406" i="68" s="1"/>
  <c r="F339" i="68"/>
  <c r="F371" i="68" s="1"/>
  <c r="F405" i="68" s="1"/>
  <c r="F338" i="68"/>
  <c r="F370" i="68" s="1"/>
  <c r="F404" i="68" s="1"/>
  <c r="F337" i="68"/>
  <c r="F369" i="68" s="1"/>
  <c r="F403" i="68" s="1"/>
  <c r="F336" i="68"/>
  <c r="F368" i="68" s="1"/>
  <c r="F402" i="68" s="1"/>
  <c r="F335" i="68"/>
  <c r="F367" i="68" s="1"/>
  <c r="F401" i="68" s="1"/>
  <c r="F334" i="68"/>
  <c r="F366" i="68" s="1"/>
  <c r="F400" i="68" s="1"/>
  <c r="F333" i="68"/>
  <c r="F365" i="68" s="1"/>
  <c r="F399" i="68" s="1"/>
  <c r="F332" i="68"/>
  <c r="F364" i="68" s="1"/>
  <c r="F398" i="68" s="1"/>
  <c r="F331" i="68"/>
  <c r="F363" i="68" s="1"/>
  <c r="F397" i="68" s="1"/>
  <c r="F330" i="68"/>
  <c r="F362" i="68" s="1"/>
  <c r="F396" i="68" s="1"/>
  <c r="F329" i="68"/>
  <c r="F361" i="68" s="1"/>
  <c r="F395" i="68" s="1"/>
  <c r="F328" i="68"/>
  <c r="F360" i="68" s="1"/>
  <c r="F394" i="68" s="1"/>
  <c r="F327" i="68"/>
  <c r="F359" i="68" s="1"/>
  <c r="F393" i="68" s="1"/>
  <c r="F326" i="68"/>
  <c r="F358" i="68" s="1"/>
  <c r="F392" i="68" s="1"/>
  <c r="F325" i="68"/>
  <c r="F357" i="68" s="1"/>
  <c r="F391" i="68" s="1"/>
  <c r="F324" i="68"/>
  <c r="F356" i="68" s="1"/>
  <c r="F390" i="68" s="1"/>
  <c r="F323" i="68"/>
  <c r="F355" i="68" s="1"/>
  <c r="F389" i="68" s="1"/>
  <c r="F322" i="68"/>
  <c r="F354" i="68" s="1"/>
  <c r="F388" i="68" s="1"/>
  <c r="F321" i="68"/>
  <c r="F353" i="68" s="1"/>
  <c r="F387" i="68" s="1"/>
  <c r="I313" i="68"/>
  <c r="I278" i="68"/>
  <c r="I262" i="68"/>
  <c r="I246" i="68"/>
  <c r="G229" i="68"/>
  <c r="I222" i="68"/>
  <c r="I220" i="68"/>
  <c r="G204" i="68"/>
  <c r="G203" i="68"/>
  <c r="G198" i="68"/>
  <c r="I191" i="68"/>
  <c r="I189" i="68"/>
  <c r="I187" i="68"/>
  <c r="I185" i="68"/>
  <c r="I183" i="68"/>
  <c r="I73" i="68"/>
  <c r="I89" i="68"/>
  <c r="I119" i="68"/>
  <c r="I120" i="68"/>
  <c r="I121" i="68"/>
  <c r="I118" i="68"/>
  <c r="G155" i="68"/>
  <c r="G154" i="68"/>
  <c r="G147" i="68"/>
  <c r="G151" i="68"/>
  <c r="G150" i="68"/>
  <c r="G144" i="68"/>
  <c r="G79" i="68"/>
  <c r="G63" i="68"/>
  <c r="G98" i="68"/>
  <c r="G97" i="68"/>
  <c r="G96" i="68"/>
  <c r="G95" i="68"/>
  <c r="BM6" i="62"/>
  <c r="BL6" i="62"/>
  <c r="BK6" i="62"/>
  <c r="BJ6" i="62"/>
  <c r="BI6" i="62"/>
  <c r="BH6" i="62"/>
  <c r="BM4" i="62"/>
  <c r="BM6" i="68"/>
  <c r="BL6" i="68"/>
  <c r="BK6" i="68"/>
  <c r="BJ6" i="68"/>
  <c r="BI6" i="68"/>
  <c r="BH6" i="68"/>
  <c r="BI4" i="68"/>
  <c r="G47" i="68"/>
  <c r="B8" i="68"/>
  <c r="I19" i="12" s="1"/>
  <c r="Z7" i="68"/>
  <c r="BG6" i="68"/>
  <c r="Z6" i="68"/>
  <c r="C6" i="68"/>
  <c r="Z5" i="68"/>
  <c r="BG4" i="68"/>
  <c r="BE4" i="68"/>
  <c r="BD4" i="68"/>
  <c r="BC4" i="68"/>
  <c r="BB4" i="68"/>
  <c r="BA4" i="68"/>
  <c r="AZ4" i="68"/>
  <c r="AY4" i="68"/>
  <c r="AX4" i="68"/>
  <c r="AW4" i="68"/>
  <c r="AV4" i="68"/>
  <c r="AU4" i="68"/>
  <c r="AT4" i="68"/>
  <c r="AS4" i="68"/>
  <c r="AR4" i="68"/>
  <c r="AQ4" i="68"/>
  <c r="AP4" i="68"/>
  <c r="AO4" i="68"/>
  <c r="AN4" i="68"/>
  <c r="AM4" i="68"/>
  <c r="AL4" i="68"/>
  <c r="AK4" i="68"/>
  <c r="AJ4" i="68"/>
  <c r="AI4" i="68"/>
  <c r="AH4" i="68"/>
  <c r="AG4" i="68"/>
  <c r="AF4" i="68"/>
  <c r="AE4" i="68"/>
  <c r="AD4" i="68"/>
  <c r="AC4" i="68"/>
  <c r="AB4" i="68"/>
  <c r="AA4" i="68"/>
  <c r="Z4" i="68"/>
  <c r="C4" i="68"/>
  <c r="Z3" i="68"/>
  <c r="C3" i="68"/>
  <c r="Z2" i="68"/>
  <c r="C2" i="68"/>
  <c r="G87" i="65"/>
  <c r="G81" i="65"/>
  <c r="G74" i="65"/>
  <c r="G75" i="65"/>
  <c r="G76" i="65"/>
  <c r="G77" i="65"/>
  <c r="G99" i="65"/>
  <c r="G95" i="65" a="1"/>
  <c r="G95" i="65" s="1"/>
  <c r="K77" i="65"/>
  <c r="K98" i="68" s="1"/>
  <c r="K110" i="68" s="1"/>
  <c r="K76" i="65"/>
  <c r="K97" i="68" s="1"/>
  <c r="K109" i="68" s="1"/>
  <c r="K75" i="65"/>
  <c r="K96" i="68" s="1"/>
  <c r="K108" i="68" s="1"/>
  <c r="K74" i="65"/>
  <c r="G66" i="65"/>
  <c r="G68" i="65"/>
  <c r="G52" i="65"/>
  <c r="G56" i="65"/>
  <c r="O8" i="61"/>
  <c r="N8" i="61"/>
  <c r="M8" i="61"/>
  <c r="K47" i="65"/>
  <c r="G47" i="65"/>
  <c r="G48" i="65"/>
  <c r="K35" i="65"/>
  <c r="BM6" i="65"/>
  <c r="BL6" i="65"/>
  <c r="BK6" i="65"/>
  <c r="BJ6" i="65"/>
  <c r="BI6" i="65"/>
  <c r="BH6" i="65"/>
  <c r="BI4" i="65"/>
  <c r="BM6" i="64"/>
  <c r="BL6" i="64"/>
  <c r="BK6" i="64"/>
  <c r="BJ6" i="64"/>
  <c r="BI6" i="64"/>
  <c r="BH6" i="64"/>
  <c r="G39" i="65"/>
  <c r="G35" i="65"/>
  <c r="G34" i="65"/>
  <c r="F17" i="61"/>
  <c r="F18" i="61"/>
  <c r="F16" i="61"/>
  <c r="BG2" i="3"/>
  <c r="BG2" i="72" s="1"/>
  <c r="BG7" i="3"/>
  <c r="BG7" i="72" s="1"/>
  <c r="BG5" i="3"/>
  <c r="BG5" i="72" s="1"/>
  <c r="BM4" i="65"/>
  <c r="BL4" i="62"/>
  <c r="BK4" i="62"/>
  <c r="BJ4" i="62"/>
  <c r="BI4" i="64"/>
  <c r="BH4" i="68"/>
  <c r="AA2" i="3"/>
  <c r="AA7" i="3"/>
  <c r="AA7" i="72" s="1"/>
  <c r="AA6" i="3"/>
  <c r="AA6" i="72" s="1"/>
  <c r="AA5" i="3"/>
  <c r="AA5" i="72" s="1"/>
  <c r="B8" i="67"/>
  <c r="I14" i="12" s="1"/>
  <c r="A8" i="67"/>
  <c r="H14" i="12" s="1"/>
  <c r="C6" i="67"/>
  <c r="C4" i="67"/>
  <c r="C3" i="67"/>
  <c r="C2" i="67"/>
  <c r="G131" i="61" a="1"/>
  <c r="G131" i="61" s="1"/>
  <c r="G96" i="61"/>
  <c r="G82" i="61"/>
  <c r="G76" i="61"/>
  <c r="G70" i="61"/>
  <c r="G43" i="61"/>
  <c r="G42" i="61"/>
  <c r="G41" i="61"/>
  <c r="G40" i="61"/>
  <c r="G34" i="61"/>
  <c r="G137" i="61"/>
  <c r="G107" i="61"/>
  <c r="G95" i="61"/>
  <c r="G81" i="61"/>
  <c r="G75" i="61"/>
  <c r="G69" i="61"/>
  <c r="G63" i="61"/>
  <c r="G28" i="61"/>
  <c r="G26" i="61"/>
  <c r="G18" i="61"/>
  <c r="G17" i="61"/>
  <c r="G16" i="61"/>
  <c r="B8" i="65"/>
  <c r="I18" i="12" s="1"/>
  <c r="Z7" i="65"/>
  <c r="Z6" i="65"/>
  <c r="C6" i="65"/>
  <c r="Z5" i="65"/>
  <c r="BG4" i="65"/>
  <c r="BE4" i="65"/>
  <c r="BD4" i="65"/>
  <c r="BC4" i="65"/>
  <c r="BB4" i="65"/>
  <c r="BA4" i="65"/>
  <c r="AZ4" i="65"/>
  <c r="AY4" i="65"/>
  <c r="AX4" i="65"/>
  <c r="AW4" i="65"/>
  <c r="AV4" i="65"/>
  <c r="AU4" i="65"/>
  <c r="AT4" i="65"/>
  <c r="AS4" i="65"/>
  <c r="AR4" i="65"/>
  <c r="AQ4" i="65"/>
  <c r="AP4" i="65"/>
  <c r="AO4" i="65"/>
  <c r="AN4" i="65"/>
  <c r="AM4" i="65"/>
  <c r="AL4" i="65"/>
  <c r="AK4" i="65"/>
  <c r="AJ4" i="65"/>
  <c r="AI4" i="65"/>
  <c r="AH4" i="65"/>
  <c r="AG4" i="65"/>
  <c r="AF4" i="65"/>
  <c r="AE4" i="65"/>
  <c r="AD4" i="65"/>
  <c r="AC4" i="65"/>
  <c r="AB4" i="65"/>
  <c r="AA4" i="65"/>
  <c r="Z4" i="65"/>
  <c r="C4" i="65"/>
  <c r="Z3" i="65"/>
  <c r="C3" i="65"/>
  <c r="Z2" i="65"/>
  <c r="C2" i="65"/>
  <c r="BE27" i="64"/>
  <c r="BD27" i="64"/>
  <c r="BC27" i="64"/>
  <c r="BB27" i="64"/>
  <c r="BA27" i="64"/>
  <c r="AZ27" i="64"/>
  <c r="AY27" i="64"/>
  <c r="AX27" i="64"/>
  <c r="AW27" i="64"/>
  <c r="AV27" i="64"/>
  <c r="AU27" i="64"/>
  <c r="AT27" i="64"/>
  <c r="AS27" i="64"/>
  <c r="AR27" i="64"/>
  <c r="AQ27" i="64"/>
  <c r="AP27" i="64"/>
  <c r="AO27" i="64"/>
  <c r="AN27" i="64"/>
  <c r="AM27" i="64"/>
  <c r="AL27" i="64"/>
  <c r="AK27" i="64"/>
  <c r="AJ27" i="64"/>
  <c r="AI27" i="64"/>
  <c r="AH27" i="64"/>
  <c r="AG27" i="64"/>
  <c r="AF27" i="64"/>
  <c r="AE27" i="64"/>
  <c r="AD27" i="64"/>
  <c r="AC27" i="64"/>
  <c r="AB27" i="64"/>
  <c r="AA27" i="64"/>
  <c r="BE26" i="64"/>
  <c r="BD26" i="64"/>
  <c r="BC26" i="64"/>
  <c r="BB26" i="64"/>
  <c r="BA26" i="64"/>
  <c r="AZ26" i="64"/>
  <c r="AY26" i="64"/>
  <c r="AX26" i="64"/>
  <c r="AW26" i="64"/>
  <c r="AV26" i="64"/>
  <c r="AU26" i="64"/>
  <c r="AT26" i="64"/>
  <c r="AS26" i="64"/>
  <c r="AR26" i="64"/>
  <c r="AQ26" i="64"/>
  <c r="AP26" i="64"/>
  <c r="AO26" i="64"/>
  <c r="AN26" i="64"/>
  <c r="AM26" i="64"/>
  <c r="AL26" i="64"/>
  <c r="AK26" i="64"/>
  <c r="AJ26" i="64"/>
  <c r="AI26" i="64"/>
  <c r="AH26" i="64"/>
  <c r="AG26" i="64"/>
  <c r="AF26" i="64"/>
  <c r="AE26" i="64"/>
  <c r="AD26" i="64"/>
  <c r="AC26" i="64"/>
  <c r="AB26" i="64"/>
  <c r="AA26" i="64"/>
  <c r="BE20" i="64"/>
  <c r="BD20" i="64"/>
  <c r="BC20" i="64"/>
  <c r="BB20" i="64"/>
  <c r="BA20" i="64"/>
  <c r="AZ20" i="64"/>
  <c r="AY20" i="64"/>
  <c r="AX20" i="64"/>
  <c r="AW20" i="64"/>
  <c r="AV20" i="64"/>
  <c r="AU20" i="64"/>
  <c r="AT20" i="64"/>
  <c r="AS20" i="64"/>
  <c r="AR20" i="64"/>
  <c r="AQ20" i="64"/>
  <c r="AP20" i="64"/>
  <c r="AO20" i="64"/>
  <c r="AN20" i="64"/>
  <c r="AM20" i="64"/>
  <c r="AL20" i="64"/>
  <c r="AK20" i="64"/>
  <c r="AJ20" i="64"/>
  <c r="AI20" i="64"/>
  <c r="AH20" i="64"/>
  <c r="AG20" i="64"/>
  <c r="AF20" i="64"/>
  <c r="AE20" i="64"/>
  <c r="AD20" i="64"/>
  <c r="AC20" i="64"/>
  <c r="AB20" i="64"/>
  <c r="AA20" i="64"/>
  <c r="BE19" i="64"/>
  <c r="BD19" i="64"/>
  <c r="BC19" i="64"/>
  <c r="BB19" i="64"/>
  <c r="BA19" i="64"/>
  <c r="AZ19" i="64"/>
  <c r="AY19" i="64"/>
  <c r="AX19" i="64"/>
  <c r="AW19" i="64"/>
  <c r="AV19" i="64"/>
  <c r="AU19" i="64"/>
  <c r="AT19" i="64"/>
  <c r="AS19" i="64"/>
  <c r="AR19" i="64"/>
  <c r="AQ19" i="64"/>
  <c r="AP19" i="64"/>
  <c r="AO19" i="64"/>
  <c r="AN19" i="64"/>
  <c r="AM19" i="64"/>
  <c r="AL19" i="64"/>
  <c r="AK19" i="64"/>
  <c r="AJ19" i="64"/>
  <c r="AI19" i="64"/>
  <c r="AH19" i="64"/>
  <c r="AG19" i="64"/>
  <c r="AF19" i="64"/>
  <c r="AE19" i="64"/>
  <c r="AD19" i="64"/>
  <c r="AC19" i="64"/>
  <c r="AB19" i="64"/>
  <c r="AA19" i="64"/>
  <c r="BE18" i="64"/>
  <c r="BD18" i="64"/>
  <c r="BC18" i="64"/>
  <c r="BB18" i="64"/>
  <c r="BA18" i="64"/>
  <c r="AZ18" i="64"/>
  <c r="AY18" i="64"/>
  <c r="AX18" i="64"/>
  <c r="AW18" i="64"/>
  <c r="AV18" i="64"/>
  <c r="AU18" i="64"/>
  <c r="AT18" i="64"/>
  <c r="AS18" i="64"/>
  <c r="AR18" i="64"/>
  <c r="AQ18" i="64"/>
  <c r="AP18" i="64"/>
  <c r="AO18" i="64"/>
  <c r="AN18" i="64"/>
  <c r="AM18" i="64"/>
  <c r="AL18" i="64"/>
  <c r="AK18" i="64"/>
  <c r="AJ18" i="64"/>
  <c r="AI18" i="64"/>
  <c r="AH18" i="64"/>
  <c r="AG18" i="64"/>
  <c r="AF18" i="64"/>
  <c r="AE18" i="64"/>
  <c r="AD18" i="64"/>
  <c r="AC18" i="64"/>
  <c r="AB18" i="64"/>
  <c r="AA18" i="64"/>
  <c r="BE17" i="64"/>
  <c r="BD17" i="64"/>
  <c r="BC17" i="64"/>
  <c r="BB17" i="64"/>
  <c r="BA17" i="64"/>
  <c r="AZ17" i="64"/>
  <c r="AY17" i="64"/>
  <c r="AX17" i="64"/>
  <c r="AW17" i="64"/>
  <c r="AV17" i="64"/>
  <c r="AU17" i="64"/>
  <c r="AT17" i="64"/>
  <c r="AS17" i="64"/>
  <c r="AR17" i="64"/>
  <c r="AQ17" i="64"/>
  <c r="AP17" i="64"/>
  <c r="AO17" i="64"/>
  <c r="AN17" i="64"/>
  <c r="AM17" i="64"/>
  <c r="AL17" i="64"/>
  <c r="AK17" i="64"/>
  <c r="AJ17" i="64"/>
  <c r="AI17" i="64"/>
  <c r="AH17" i="64"/>
  <c r="AG17" i="64"/>
  <c r="AF17" i="64"/>
  <c r="AE17" i="64"/>
  <c r="AD17" i="64"/>
  <c r="AB17" i="64"/>
  <c r="AA17" i="64"/>
  <c r="BE16" i="64"/>
  <c r="BD16" i="64"/>
  <c r="BC16" i="64"/>
  <c r="BB16" i="64"/>
  <c r="BA16" i="64"/>
  <c r="AZ16" i="64"/>
  <c r="AY16" i="64"/>
  <c r="AX16" i="64"/>
  <c r="AW16" i="64"/>
  <c r="AV16" i="64"/>
  <c r="AU16" i="64"/>
  <c r="AT16" i="64"/>
  <c r="AS16" i="64"/>
  <c r="AR16" i="64"/>
  <c r="AQ16" i="64"/>
  <c r="AP16" i="64"/>
  <c r="AO16" i="64"/>
  <c r="AN16" i="64"/>
  <c r="AM16" i="64"/>
  <c r="AL16" i="64"/>
  <c r="AK16" i="64"/>
  <c r="AJ16" i="64"/>
  <c r="AI16" i="64"/>
  <c r="AH16" i="64"/>
  <c r="AG16" i="64"/>
  <c r="AF16" i="64"/>
  <c r="AE16" i="64"/>
  <c r="AD16" i="64"/>
  <c r="AC16" i="64"/>
  <c r="AB16" i="64"/>
  <c r="AA16" i="64"/>
  <c r="B8" i="64"/>
  <c r="I17" i="12" s="1"/>
  <c r="Z7" i="64"/>
  <c r="Z6" i="64"/>
  <c r="C6" i="64"/>
  <c r="Z5" i="64"/>
  <c r="BG4" i="64"/>
  <c r="BE4" i="64"/>
  <c r="BD4" i="64"/>
  <c r="BC4" i="64"/>
  <c r="BB4" i="64"/>
  <c r="BA4" i="64"/>
  <c r="AZ4" i="64"/>
  <c r="AY4" i="64"/>
  <c r="AX4" i="64"/>
  <c r="AW4" i="64"/>
  <c r="AV4" i="64"/>
  <c r="AU4" i="64"/>
  <c r="AT4" i="64"/>
  <c r="AS4" i="64"/>
  <c r="AR4" i="64"/>
  <c r="AQ4" i="64"/>
  <c r="AP4" i="64"/>
  <c r="AO4" i="64"/>
  <c r="AN4" i="64"/>
  <c r="AM4" i="64"/>
  <c r="AL4" i="64"/>
  <c r="AK4" i="64"/>
  <c r="AJ4" i="64"/>
  <c r="AI4" i="64"/>
  <c r="AH4" i="64"/>
  <c r="AG4" i="64"/>
  <c r="AF4" i="64"/>
  <c r="AE4" i="64"/>
  <c r="AD4" i="64"/>
  <c r="AC4" i="64"/>
  <c r="AB4" i="64"/>
  <c r="AA4" i="64"/>
  <c r="Z4" i="64"/>
  <c r="C4" i="64"/>
  <c r="Z3" i="64"/>
  <c r="C3" i="64"/>
  <c r="Z2" i="64"/>
  <c r="C2" i="64"/>
  <c r="B8" i="62"/>
  <c r="I16" i="12" s="1"/>
  <c r="A8" i="62"/>
  <c r="H16" i="12" s="1"/>
  <c r="Z7" i="62"/>
  <c r="Z6" i="62"/>
  <c r="C6" i="62"/>
  <c r="Z5" i="62"/>
  <c r="BG4" i="62"/>
  <c r="BE4" i="62"/>
  <c r="BD4" i="62"/>
  <c r="BC4" i="62"/>
  <c r="BB4" i="62"/>
  <c r="BA4" i="62"/>
  <c r="AZ4" i="62"/>
  <c r="AY4" i="62"/>
  <c r="AX4" i="62"/>
  <c r="AW4" i="62"/>
  <c r="AV4" i="62"/>
  <c r="AU4" i="62"/>
  <c r="AT4" i="62"/>
  <c r="AS4" i="62"/>
  <c r="AR4" i="62"/>
  <c r="AQ4" i="62"/>
  <c r="AP4" i="62"/>
  <c r="AO4" i="62"/>
  <c r="AN4" i="62"/>
  <c r="AM4" i="62"/>
  <c r="AL4" i="62"/>
  <c r="AK4" i="62"/>
  <c r="AJ4" i="62"/>
  <c r="AI4" i="62"/>
  <c r="AH4" i="62"/>
  <c r="AG4" i="62"/>
  <c r="AF4" i="62"/>
  <c r="AE4" i="62"/>
  <c r="AD4" i="62"/>
  <c r="AC4" i="62"/>
  <c r="AB4" i="62"/>
  <c r="AA4" i="62"/>
  <c r="Z4" i="62"/>
  <c r="C4" i="62"/>
  <c r="Z3" i="62"/>
  <c r="C3" i="62"/>
  <c r="Z2" i="62"/>
  <c r="C2" i="62"/>
  <c r="I191" i="72" l="1" a="1"/>
  <c r="I191" i="72" s="1"/>
  <c r="I195" i="72" s="1"/>
  <c r="I193" i="72" a="1"/>
  <c r="I193" i="72" s="1"/>
  <c r="AA2" i="72"/>
  <c r="AA22" i="3"/>
  <c r="BB52" i="65"/>
  <c r="AT52" i="65"/>
  <c r="AL52" i="65"/>
  <c r="AD52" i="65"/>
  <c r="AP52" i="65"/>
  <c r="AH52" i="65"/>
  <c r="BE52" i="65"/>
  <c r="AO52" i="65"/>
  <c r="AG52" i="65"/>
  <c r="BA52" i="65"/>
  <c r="AS52" i="65"/>
  <c r="AK52" i="65"/>
  <c r="AC52" i="65"/>
  <c r="AX52" i="65"/>
  <c r="AZ52" i="65"/>
  <c r="AR52" i="65"/>
  <c r="AJ52" i="65"/>
  <c r="AA52" i="65"/>
  <c r="AW52" i="65"/>
  <c r="AY52" i="65"/>
  <c r="AQ52" i="65"/>
  <c r="AI52" i="65"/>
  <c r="AB52" i="65"/>
  <c r="BD52" i="65"/>
  <c r="AV52" i="65"/>
  <c r="AN52" i="65"/>
  <c r="AF52" i="65"/>
  <c r="BC52" i="65"/>
  <c r="AU52" i="65"/>
  <c r="AM52" i="65"/>
  <c r="AE52" i="65"/>
  <c r="K95" i="68"/>
  <c r="K107" i="68" s="1"/>
  <c r="BD65" i="71"/>
  <c r="BE58" i="72"/>
  <c r="AB5" i="3"/>
  <c r="AB5" i="72" s="1"/>
  <c r="AA5" i="71"/>
  <c r="AB6" i="3"/>
  <c r="AA6" i="71"/>
  <c r="AB7" i="3"/>
  <c r="AA7" i="71"/>
  <c r="BH5" i="3"/>
  <c r="BG5" i="71"/>
  <c r="AA3" i="3"/>
  <c r="AB2" i="3" s="1"/>
  <c r="AA2" i="71"/>
  <c r="BH7" i="3"/>
  <c r="BH7" i="64" s="1"/>
  <c r="BG7" i="71"/>
  <c r="BG3" i="3"/>
  <c r="BH2" i="3" s="1"/>
  <c r="BG2" i="71"/>
  <c r="BJ4" i="64"/>
  <c r="BK4" i="64"/>
  <c r="BJ4" i="68"/>
  <c r="BL4" i="64"/>
  <c r="BH4" i="65"/>
  <c r="BK4" i="68"/>
  <c r="BL4" i="68"/>
  <c r="BH4" i="62"/>
  <c r="BJ4" i="65"/>
  <c r="BM4" i="68"/>
  <c r="BI4" i="62"/>
  <c r="BM4" i="64"/>
  <c r="BK4" i="65"/>
  <c r="BH4" i="64"/>
  <c r="BL4" i="65"/>
  <c r="BG2" i="68"/>
  <c r="BG5" i="68"/>
  <c r="AA2" i="68"/>
  <c r="BG7" i="68"/>
  <c r="AA5" i="68"/>
  <c r="AA6" i="68"/>
  <c r="AA7" i="68"/>
  <c r="AA3" i="72" l="1"/>
  <c r="D20" i="74"/>
  <c r="Q20" i="74"/>
  <c r="J20" i="74"/>
  <c r="AA28" i="3"/>
  <c r="AA20" i="68"/>
  <c r="AA161" i="68" s="1"/>
  <c r="AA20" i="65"/>
  <c r="AA81" i="65" s="1"/>
  <c r="AA24" i="3"/>
  <c r="AB5" i="68"/>
  <c r="AA3" i="68"/>
  <c r="BE65" i="71"/>
  <c r="K39" i="65"/>
  <c r="BH5" i="68"/>
  <c r="BH5" i="72"/>
  <c r="BG3" i="71"/>
  <c r="BG3" i="72"/>
  <c r="AB7" i="68"/>
  <c r="AB7" i="72"/>
  <c r="BH7" i="65"/>
  <c r="BH7" i="72"/>
  <c r="AB6" i="68"/>
  <c r="AB6" i="72"/>
  <c r="BH7" i="62"/>
  <c r="BH7" i="68"/>
  <c r="BG3" i="68"/>
  <c r="BH5" i="62"/>
  <c r="BH5" i="64"/>
  <c r="BH5" i="65"/>
  <c r="BI5" i="3"/>
  <c r="BI5" i="72" s="1"/>
  <c r="BH5" i="71"/>
  <c r="AC7" i="3"/>
  <c r="AC7" i="72" s="1"/>
  <c r="AB7" i="71"/>
  <c r="BI7" i="3"/>
  <c r="BI7" i="72" s="1"/>
  <c r="BH7" i="71"/>
  <c r="AC6" i="3"/>
  <c r="AC6" i="72" s="1"/>
  <c r="AB6" i="71"/>
  <c r="AA3" i="71"/>
  <c r="AC5" i="3"/>
  <c r="AC5" i="72" s="1"/>
  <c r="AB5" i="71"/>
  <c r="AA22" i="68" l="1"/>
  <c r="AA175" i="68" s="1"/>
  <c r="AA22" i="65"/>
  <c r="AA26" i="68"/>
  <c r="AA26" i="65"/>
  <c r="AA39" i="65"/>
  <c r="AA47" i="68" s="1"/>
  <c r="AA51" i="68" s="1"/>
  <c r="AB2" i="72"/>
  <c r="AB22" i="3"/>
  <c r="AA109" i="68"/>
  <c r="AA108" i="68"/>
  <c r="AA383" i="68"/>
  <c r="AA107" i="68"/>
  <c r="AA110" i="68"/>
  <c r="I18" i="67"/>
  <c r="BH2" i="65"/>
  <c r="BH2" i="72"/>
  <c r="BH2" i="62"/>
  <c r="BH3" i="3"/>
  <c r="BI2" i="3" s="1"/>
  <c r="BJ7" i="3"/>
  <c r="BJ7" i="72" s="1"/>
  <c r="BI7" i="71"/>
  <c r="BI7" i="64"/>
  <c r="BI7" i="62"/>
  <c r="BI7" i="68"/>
  <c r="BI7" i="65"/>
  <c r="BH2" i="71"/>
  <c r="BH2" i="64"/>
  <c r="AD5" i="3"/>
  <c r="AD5" i="72" s="1"/>
  <c r="AC5" i="71"/>
  <c r="AC5" i="68"/>
  <c r="AD7" i="3"/>
  <c r="AD7" i="72" s="1"/>
  <c r="AC7" i="71"/>
  <c r="AC7" i="68"/>
  <c r="AB2" i="68"/>
  <c r="AB2" i="71"/>
  <c r="AB3" i="3"/>
  <c r="AC2" i="3" s="1"/>
  <c r="BH2" i="68"/>
  <c r="AD6" i="3"/>
  <c r="AD6" i="72" s="1"/>
  <c r="AC6" i="71"/>
  <c r="AC6" i="68"/>
  <c r="BJ5" i="3"/>
  <c r="BJ5" i="72" s="1"/>
  <c r="BI5" i="71"/>
  <c r="BI5" i="68"/>
  <c r="BI5" i="64"/>
  <c r="BI5" i="65"/>
  <c r="BI5" i="62"/>
  <c r="AA167" i="68" l="1"/>
  <c r="AA210" i="68"/>
  <c r="AB3" i="72"/>
  <c r="AA159" i="68"/>
  <c r="AB28" i="3"/>
  <c r="AB20" i="68"/>
  <c r="AB161" i="68" s="1"/>
  <c r="AB20" i="65"/>
  <c r="AB24" i="3"/>
  <c r="AA112" i="68"/>
  <c r="AA54" i="65"/>
  <c r="BH3" i="68"/>
  <c r="BH3" i="72"/>
  <c r="BH3" i="71"/>
  <c r="BH3" i="62"/>
  <c r="BI2" i="72"/>
  <c r="BH3" i="64"/>
  <c r="BH3" i="65"/>
  <c r="AE6" i="3"/>
  <c r="AE6" i="72" s="1"/>
  <c r="AD6" i="71"/>
  <c r="AD6" i="68"/>
  <c r="AB3" i="68"/>
  <c r="AB3" i="71"/>
  <c r="AE5" i="3"/>
  <c r="AE5" i="72" s="1"/>
  <c r="AD5" i="71"/>
  <c r="AD5" i="68"/>
  <c r="AE7" i="3"/>
  <c r="AE7" i="72" s="1"/>
  <c r="AD7" i="71"/>
  <c r="AD7" i="68"/>
  <c r="BK7" i="3"/>
  <c r="BK7" i="72" s="1"/>
  <c r="BJ7" i="71"/>
  <c r="BJ7" i="65"/>
  <c r="BJ7" i="62"/>
  <c r="BJ7" i="68"/>
  <c r="BJ7" i="64"/>
  <c r="BK5" i="3"/>
  <c r="BK5" i="72" s="1"/>
  <c r="BJ5" i="71"/>
  <c r="BJ5" i="68"/>
  <c r="BJ5" i="62"/>
  <c r="BJ5" i="64"/>
  <c r="BJ5" i="65"/>
  <c r="AB81" i="65" l="1"/>
  <c r="AB39" i="65"/>
  <c r="AB54" i="65" s="1"/>
  <c r="AB22" i="68"/>
  <c r="AB22" i="65"/>
  <c r="AB26" i="68"/>
  <c r="AB26" i="65"/>
  <c r="AC2" i="72"/>
  <c r="AC22" i="3"/>
  <c r="AB109" i="68"/>
  <c r="AB107" i="68"/>
  <c r="AB108" i="68"/>
  <c r="AB110" i="68"/>
  <c r="AA56" i="65"/>
  <c r="AA147" i="68"/>
  <c r="AA163" i="68" s="1"/>
  <c r="AA66" i="65"/>
  <c r="AA87" i="65" s="1"/>
  <c r="BI2" i="68"/>
  <c r="BI2" i="62"/>
  <c r="BI3" i="3"/>
  <c r="BI2" i="71"/>
  <c r="BI2" i="64"/>
  <c r="BI2" i="65"/>
  <c r="AF5" i="3"/>
  <c r="AF5" i="72" s="1"/>
  <c r="AE5" i="71"/>
  <c r="AE5" i="68"/>
  <c r="AC2" i="71"/>
  <c r="AC3" i="3"/>
  <c r="AD2" i="3" s="1"/>
  <c r="AC2" i="68"/>
  <c r="BL5" i="3"/>
  <c r="BL5" i="72" s="1"/>
  <c r="BK5" i="71"/>
  <c r="BK5" i="62"/>
  <c r="BK5" i="68"/>
  <c r="BK5" i="64"/>
  <c r="BK5" i="65"/>
  <c r="BL7" i="3"/>
  <c r="BL7" i="72" s="1"/>
  <c r="BK7" i="71"/>
  <c r="BK7" i="64"/>
  <c r="BK7" i="65"/>
  <c r="BK7" i="62"/>
  <c r="BK7" i="68"/>
  <c r="AF7" i="3"/>
  <c r="AF7" i="72" s="1"/>
  <c r="AE7" i="71"/>
  <c r="AE7" i="68"/>
  <c r="AF6" i="3"/>
  <c r="AF6" i="72" s="1"/>
  <c r="AE6" i="71"/>
  <c r="AE6" i="68"/>
  <c r="BI3" i="72" l="1"/>
  <c r="BJ2" i="3"/>
  <c r="AC3" i="72"/>
  <c r="AC28" i="3"/>
  <c r="AC20" i="68"/>
  <c r="AC20" i="65"/>
  <c r="AB47" i="68"/>
  <c r="AB51" i="68" s="1"/>
  <c r="AC24" i="3"/>
  <c r="AB159" i="68"/>
  <c r="AB210" i="68"/>
  <c r="AB175" i="68"/>
  <c r="AB167" i="68"/>
  <c r="AB112" i="68"/>
  <c r="AB383" i="68"/>
  <c r="AC109" i="68"/>
  <c r="AA203" i="68"/>
  <c r="AA63" i="68"/>
  <c r="AA69" i="68" s="1"/>
  <c r="AA68" i="65"/>
  <c r="BI3" i="71"/>
  <c r="BJ2" i="72"/>
  <c r="BI3" i="68"/>
  <c r="BI3" i="62"/>
  <c r="BI3" i="65"/>
  <c r="BI3" i="64"/>
  <c r="AG6" i="3"/>
  <c r="AG6" i="72" s="1"/>
  <c r="AF6" i="71"/>
  <c r="AF6" i="68"/>
  <c r="BM5" i="3"/>
  <c r="BM5" i="72" s="1"/>
  <c r="BL5" i="71"/>
  <c r="BL5" i="68"/>
  <c r="BL5" i="65"/>
  <c r="BL5" i="62"/>
  <c r="BL5" i="64"/>
  <c r="BM7" i="3"/>
  <c r="BM7" i="72" s="1"/>
  <c r="BL7" i="71"/>
  <c r="BL7" i="68"/>
  <c r="BL7" i="65"/>
  <c r="BL7" i="64"/>
  <c r="BL7" i="62"/>
  <c r="AC3" i="68"/>
  <c r="AC3" i="71"/>
  <c r="AG7" i="3"/>
  <c r="AG7" i="72" s="1"/>
  <c r="AF7" i="71"/>
  <c r="AF7" i="68"/>
  <c r="AG5" i="3"/>
  <c r="AG5" i="72" s="1"/>
  <c r="AF5" i="71"/>
  <c r="AF5" i="68"/>
  <c r="AC22" i="68" l="1"/>
  <c r="AC167" i="68" s="1"/>
  <c r="AC22" i="65"/>
  <c r="AB56" i="65"/>
  <c r="AB147" i="68"/>
  <c r="AB163" i="68" s="1"/>
  <c r="AB66" i="65"/>
  <c r="AC81" i="65"/>
  <c r="AC39" i="65"/>
  <c r="AC26" i="68"/>
  <c r="AC26" i="65"/>
  <c r="AD2" i="72"/>
  <c r="AD22" i="3"/>
  <c r="AC107" i="68"/>
  <c r="AC108" i="68"/>
  <c r="AC161" i="68"/>
  <c r="AC110" i="68"/>
  <c r="AA204" i="68"/>
  <c r="AA216" i="68" s="1"/>
  <c r="AA79" i="68"/>
  <c r="AA85" i="68" s="1"/>
  <c r="AA232" i="68"/>
  <c r="AA305" i="68"/>
  <c r="AA309" i="68" s="1"/>
  <c r="AA270" i="68"/>
  <c r="AA274" i="68" s="1"/>
  <c r="AA254" i="68"/>
  <c r="AA258" i="68" s="1"/>
  <c r="BJ2" i="71"/>
  <c r="BJ2" i="65"/>
  <c r="BJ2" i="64"/>
  <c r="BJ2" i="68"/>
  <c r="BJ3" i="3"/>
  <c r="BJ2" i="62"/>
  <c r="AD2" i="71"/>
  <c r="AD3" i="3"/>
  <c r="AE2" i="3" s="1"/>
  <c r="AD2" i="68"/>
  <c r="BM5" i="64"/>
  <c r="BM5" i="71"/>
  <c r="BM5" i="68"/>
  <c r="BM5" i="62"/>
  <c r="BM5" i="65"/>
  <c r="BM7" i="65"/>
  <c r="BM7" i="71"/>
  <c r="BM7" i="62"/>
  <c r="BM7" i="68"/>
  <c r="BM7" i="64"/>
  <c r="AH5" i="3"/>
  <c r="AH5" i="72" s="1"/>
  <c r="AG5" i="71"/>
  <c r="AG5" i="68"/>
  <c r="AH6" i="3"/>
  <c r="AH6" i="72" s="1"/>
  <c r="AG6" i="71"/>
  <c r="AG6" i="68"/>
  <c r="AH7" i="3"/>
  <c r="AH7" i="72" s="1"/>
  <c r="AG7" i="71"/>
  <c r="AG7" i="68"/>
  <c r="BJ3" i="72" l="1"/>
  <c r="BK2" i="3"/>
  <c r="AC175" i="68"/>
  <c r="AD3" i="72"/>
  <c r="AC159" i="68"/>
  <c r="AC210" i="68"/>
  <c r="AB87" i="65"/>
  <c r="AC47" i="68"/>
  <c r="AC51" i="68" s="1"/>
  <c r="AC54" i="65"/>
  <c r="AB203" i="68"/>
  <c r="AB63" i="68"/>
  <c r="AB69" i="68" s="1"/>
  <c r="AB68" i="65"/>
  <c r="AD28" i="3"/>
  <c r="AD20" i="65"/>
  <c r="AD20" i="68"/>
  <c r="AA238" i="68"/>
  <c r="AD24" i="3"/>
  <c r="AC383" i="68"/>
  <c r="AC112" i="68"/>
  <c r="BJ3" i="68"/>
  <c r="BJ3" i="62"/>
  <c r="BJ3" i="71"/>
  <c r="BK2" i="72"/>
  <c r="BJ3" i="64"/>
  <c r="BJ3" i="65"/>
  <c r="AI7" i="3"/>
  <c r="AI7" i="72" s="1"/>
  <c r="AH7" i="71"/>
  <c r="AH7" i="68"/>
  <c r="AI5" i="3"/>
  <c r="AI5" i="72" s="1"/>
  <c r="AH5" i="71"/>
  <c r="AH5" i="68"/>
  <c r="AI6" i="3"/>
  <c r="AI6" i="72" s="1"/>
  <c r="AH6" i="71"/>
  <c r="AH6" i="68"/>
  <c r="AD3" i="71"/>
  <c r="AD3" i="68"/>
  <c r="AD22" i="68" l="1"/>
  <c r="AD210" i="68" s="1"/>
  <c r="AD22" i="65"/>
  <c r="AC56" i="65"/>
  <c r="AC147" i="68"/>
  <c r="AC163" i="68" s="1"/>
  <c r="AC66" i="65"/>
  <c r="AD81" i="65"/>
  <c r="AD39" i="65"/>
  <c r="AD26" i="68"/>
  <c r="AD383" i="68" s="1"/>
  <c r="AD26" i="65"/>
  <c r="AB232" i="68"/>
  <c r="AB305" i="68"/>
  <c r="AB309" i="68" s="1"/>
  <c r="AB254" i="68"/>
  <c r="AB258" i="68" s="1"/>
  <c r="AB270" i="68"/>
  <c r="AB274" i="68" s="1"/>
  <c r="AB204" i="68"/>
  <c r="AB216" i="68" s="1"/>
  <c r="AB79" i="68"/>
  <c r="AB85" i="68" s="1"/>
  <c r="AE2" i="72"/>
  <c r="AE22" i="3"/>
  <c r="AD109" i="68"/>
  <c r="AD110" i="68"/>
  <c r="AD108" i="68"/>
  <c r="AD107" i="68"/>
  <c r="AD161" i="68"/>
  <c r="BK2" i="68"/>
  <c r="BK2" i="65"/>
  <c r="BK2" i="64"/>
  <c r="BK2" i="62"/>
  <c r="BK3" i="3"/>
  <c r="BK2" i="71"/>
  <c r="AJ6" i="3"/>
  <c r="AJ6" i="72" s="1"/>
  <c r="AI6" i="71"/>
  <c r="AI6" i="68"/>
  <c r="AE2" i="71"/>
  <c r="AE2" i="68"/>
  <c r="AE3" i="3"/>
  <c r="AF2" i="3" s="1"/>
  <c r="AJ5" i="3"/>
  <c r="AJ5" i="72" s="1"/>
  <c r="AI5" i="71"/>
  <c r="AI5" i="68"/>
  <c r="AJ7" i="3"/>
  <c r="AJ7" i="72" s="1"/>
  <c r="AI7" i="71"/>
  <c r="AI7" i="68"/>
  <c r="BK3" i="72" l="1"/>
  <c r="BL2" i="3"/>
  <c r="AE3" i="72"/>
  <c r="AD167" i="68"/>
  <c r="AD159" i="68"/>
  <c r="AD175" i="68"/>
  <c r="AD54" i="65"/>
  <c r="AD47" i="68"/>
  <c r="AD51" i="68" s="1"/>
  <c r="AC87" i="65"/>
  <c r="AE28" i="3"/>
  <c r="AE20" i="65"/>
  <c r="AE20" i="68"/>
  <c r="AB240" i="68"/>
  <c r="AB238" i="68"/>
  <c r="AC203" i="68"/>
  <c r="AC68" i="65"/>
  <c r="AC63" i="68"/>
  <c r="AC69" i="68" s="1"/>
  <c r="AD112" i="68"/>
  <c r="AE24" i="3"/>
  <c r="BK3" i="71"/>
  <c r="BK3" i="65"/>
  <c r="BK3" i="64"/>
  <c r="BL2" i="72"/>
  <c r="BK3" i="62"/>
  <c r="BK3" i="68"/>
  <c r="AE3" i="71"/>
  <c r="AE3" i="68"/>
  <c r="AK7" i="3"/>
  <c r="AK7" i="72" s="1"/>
  <c r="AJ7" i="71"/>
  <c r="AJ7" i="68"/>
  <c r="AK5" i="3"/>
  <c r="AK5" i="72" s="1"/>
  <c r="AJ5" i="71"/>
  <c r="AJ5" i="68"/>
  <c r="AK6" i="3"/>
  <c r="AK6" i="72" s="1"/>
  <c r="AJ6" i="71"/>
  <c r="AJ6" i="68"/>
  <c r="AB242" i="68" l="1"/>
  <c r="AE26" i="68"/>
  <c r="AE26" i="65"/>
  <c r="AC204" i="68"/>
  <c r="AC216" i="68" s="1"/>
  <c r="AC79" i="68"/>
  <c r="AC85" i="68" s="1"/>
  <c r="AC232" i="68"/>
  <c r="AC238" i="68" s="1"/>
  <c r="AC270" i="68"/>
  <c r="AC274" i="68" s="1"/>
  <c r="AC305" i="68"/>
  <c r="AC309" i="68" s="1"/>
  <c r="AC254" i="68"/>
  <c r="AC258" i="68" s="1"/>
  <c r="AE22" i="65"/>
  <c r="AE22" i="68"/>
  <c r="AE81" i="65"/>
  <c r="AE39" i="65"/>
  <c r="AD56" i="65"/>
  <c r="AD66" i="65"/>
  <c r="AD87" i="65"/>
  <c r="AD147" i="68"/>
  <c r="AD163" i="68" s="1"/>
  <c r="AF2" i="72"/>
  <c r="AF22" i="3"/>
  <c r="AE107" i="68"/>
  <c r="AE108" i="68"/>
  <c r="AE210" i="68"/>
  <c r="AE110" i="68"/>
  <c r="AE175" i="68"/>
  <c r="AE383" i="68"/>
  <c r="AE109" i="68"/>
  <c r="AE159" i="68"/>
  <c r="AE167" i="68"/>
  <c r="AE161" i="68"/>
  <c r="BL2" i="65"/>
  <c r="BL2" i="62"/>
  <c r="BL3" i="3"/>
  <c r="BL2" i="71"/>
  <c r="BL2" i="64"/>
  <c r="BL2" i="68"/>
  <c r="AL5" i="3"/>
  <c r="AL5" i="72" s="1"/>
  <c r="AK5" i="71"/>
  <c r="AK5" i="68"/>
  <c r="AL6" i="3"/>
  <c r="AL6" i="72" s="1"/>
  <c r="AK6" i="71"/>
  <c r="AK6" i="68"/>
  <c r="AL7" i="3"/>
  <c r="AL7" i="72" s="1"/>
  <c r="AK7" i="71"/>
  <c r="AK7" i="68"/>
  <c r="AF2" i="71"/>
  <c r="AF3" i="3"/>
  <c r="AG2" i="3" s="1"/>
  <c r="AF2" i="68"/>
  <c r="BL3" i="72" l="1"/>
  <c r="BM2" i="3"/>
  <c r="BM2" i="72" s="1"/>
  <c r="AF3" i="72"/>
  <c r="AF28" i="3"/>
  <c r="AF20" i="65"/>
  <c r="AF20" i="68"/>
  <c r="AE47" i="68"/>
  <c r="AE51" i="68" s="1"/>
  <c r="AE54" i="65"/>
  <c r="AD270" i="68"/>
  <c r="AD274" i="68" s="1"/>
  <c r="AD305" i="68"/>
  <c r="AD309" i="68" s="1"/>
  <c r="AD232" i="68"/>
  <c r="AD238" i="68" s="1"/>
  <c r="AD254" i="68"/>
  <c r="AD258" i="68" s="1"/>
  <c r="AD203" i="68"/>
  <c r="AD63" i="68"/>
  <c r="AD69" i="68" s="1"/>
  <c r="AD68" i="65"/>
  <c r="AF24" i="3"/>
  <c r="AE112" i="68"/>
  <c r="BL3" i="71"/>
  <c r="BL3" i="64"/>
  <c r="BL3" i="62"/>
  <c r="BL3" i="65"/>
  <c r="BL3" i="68"/>
  <c r="AM7" i="3"/>
  <c r="AM7" i="72" s="1"/>
  <c r="AL7" i="71"/>
  <c r="AL7" i="68"/>
  <c r="AM6" i="3"/>
  <c r="AM6" i="72" s="1"/>
  <c r="AL6" i="71"/>
  <c r="AL6" i="68"/>
  <c r="AF3" i="71"/>
  <c r="AF3" i="68"/>
  <c r="AM5" i="3"/>
  <c r="AM5" i="72" s="1"/>
  <c r="AL5" i="71"/>
  <c r="AL5" i="68"/>
  <c r="AD204" i="68" l="1"/>
  <c r="AD216" i="68" s="1"/>
  <c r="AD79" i="68"/>
  <c r="AD85" i="68" s="1"/>
  <c r="AE56" i="65"/>
  <c r="AE66" i="65"/>
  <c r="AE87" i="65" s="1"/>
  <c r="AE147" i="68"/>
  <c r="AE163" i="68" s="1"/>
  <c r="AF22" i="65"/>
  <c r="AF22" i="68"/>
  <c r="AF167" i="68" s="1"/>
  <c r="AF81" i="65"/>
  <c r="AF39" i="65"/>
  <c r="AF26" i="68"/>
  <c r="AF26" i="65"/>
  <c r="AG2" i="72"/>
  <c r="AG22" i="3"/>
  <c r="AF108" i="68"/>
  <c r="AF110" i="68"/>
  <c r="AF107" i="68"/>
  <c r="AF109" i="68"/>
  <c r="AF161" i="68"/>
  <c r="BM2" i="62"/>
  <c r="BM2" i="64"/>
  <c r="BM3" i="3"/>
  <c r="BM3" i="72" s="1"/>
  <c r="BM2" i="68"/>
  <c r="BM2" i="71"/>
  <c r="BM2" i="65"/>
  <c r="AN7" i="3"/>
  <c r="AN7" i="72" s="1"/>
  <c r="AM7" i="71"/>
  <c r="AM7" i="68"/>
  <c r="AN5" i="3"/>
  <c r="AN5" i="72" s="1"/>
  <c r="AM5" i="71"/>
  <c r="AM5" i="68"/>
  <c r="AN6" i="3"/>
  <c r="AN6" i="72" s="1"/>
  <c r="AM6" i="71"/>
  <c r="AM6" i="68"/>
  <c r="AG2" i="71"/>
  <c r="AG3" i="3"/>
  <c r="AH2" i="3" s="1"/>
  <c r="AG2" i="68"/>
  <c r="AG3" i="72" l="1"/>
  <c r="AF210" i="68"/>
  <c r="AF175" i="68"/>
  <c r="AF159" i="68"/>
  <c r="AE305" i="68"/>
  <c r="AE309" i="68" s="1"/>
  <c r="AE254" i="68"/>
  <c r="AE258" i="68" s="1"/>
  <c r="AE270" i="68"/>
  <c r="AE274" i="68" s="1"/>
  <c r="AE232" i="68"/>
  <c r="AE238" i="68" s="1"/>
  <c r="AF47" i="68"/>
  <c r="AF51" i="68" s="1"/>
  <c r="AF54" i="65"/>
  <c r="AE203" i="68"/>
  <c r="AE63" i="68"/>
  <c r="AE69" i="68" s="1"/>
  <c r="AE68" i="65"/>
  <c r="AG28" i="3"/>
  <c r="AG20" i="65"/>
  <c r="AG20" i="68"/>
  <c r="AG24" i="3"/>
  <c r="AF383" i="68"/>
  <c r="AF112" i="68"/>
  <c r="BM3" i="71"/>
  <c r="BM3" i="64"/>
  <c r="BM3" i="65"/>
  <c r="BM3" i="62"/>
  <c r="BM3" i="68"/>
  <c r="AO6" i="3"/>
  <c r="AO6" i="72" s="1"/>
  <c r="AN6" i="71"/>
  <c r="AN6" i="68"/>
  <c r="AG3" i="71"/>
  <c r="AG3" i="68"/>
  <c r="AO5" i="3"/>
  <c r="AO5" i="72" s="1"/>
  <c r="AN5" i="71"/>
  <c r="AN5" i="68"/>
  <c r="AO7" i="3"/>
  <c r="AO7" i="72" s="1"/>
  <c r="AN7" i="71"/>
  <c r="AN7" i="68"/>
  <c r="AG26" i="65" l="1"/>
  <c r="AG26" i="68"/>
  <c r="AG81" i="65"/>
  <c r="AG39" i="65"/>
  <c r="AE204" i="68"/>
  <c r="AE216" i="68" s="1"/>
  <c r="AE79" i="68"/>
  <c r="AE85" i="68" s="1"/>
  <c r="AG22" i="65"/>
  <c r="AG22" i="68"/>
  <c r="AG210" i="68" s="1"/>
  <c r="AF56" i="65"/>
  <c r="AF66" i="65"/>
  <c r="AF87" i="65" s="1"/>
  <c r="AF147" i="68"/>
  <c r="AF163" i="68" s="1"/>
  <c r="AH2" i="72"/>
  <c r="AH22" i="3"/>
  <c r="AG110" i="68"/>
  <c r="AG107" i="68"/>
  <c r="AG109" i="68"/>
  <c r="AG108" i="68"/>
  <c r="AG161" i="68"/>
  <c r="AP6" i="3"/>
  <c r="AP6" i="72" s="1"/>
  <c r="AO6" i="71"/>
  <c r="AO6" i="68"/>
  <c r="AP5" i="3"/>
  <c r="AP5" i="72" s="1"/>
  <c r="AO5" i="71"/>
  <c r="AO5" i="68"/>
  <c r="AH2" i="71"/>
  <c r="AH2" i="68"/>
  <c r="AH3" i="3"/>
  <c r="AI2" i="3" s="1"/>
  <c r="AP7" i="3"/>
  <c r="AP7" i="72" s="1"/>
  <c r="AO7" i="71"/>
  <c r="AO7" i="68"/>
  <c r="AH3" i="72" l="1"/>
  <c r="AG167" i="68"/>
  <c r="AG175" i="68"/>
  <c r="AG159" i="68"/>
  <c r="AH28" i="3"/>
  <c r="AH20" i="65"/>
  <c r="AH20" i="68"/>
  <c r="AG47" i="68"/>
  <c r="AG51" i="68" s="1"/>
  <c r="AG54" i="65"/>
  <c r="AF270" i="68"/>
  <c r="AF274" i="68" s="1"/>
  <c r="AF254" i="68"/>
  <c r="AF258" i="68" s="1"/>
  <c r="AF232" i="68"/>
  <c r="AF238" i="68" s="1"/>
  <c r="AF305" i="68"/>
  <c r="AF309" i="68" s="1"/>
  <c r="AF203" i="68"/>
  <c r="AF63" i="68"/>
  <c r="AF69" i="68" s="1"/>
  <c r="AF68" i="65"/>
  <c r="AH24" i="3"/>
  <c r="AG383" i="68"/>
  <c r="AG112" i="68"/>
  <c r="AQ5" i="3"/>
  <c r="AQ5" i="72" s="1"/>
  <c r="AP5" i="71"/>
  <c r="AP5" i="68"/>
  <c r="AQ7" i="3"/>
  <c r="AQ7" i="72" s="1"/>
  <c r="AP7" i="71"/>
  <c r="AP7" i="68"/>
  <c r="AH3" i="71"/>
  <c r="AH3" i="68"/>
  <c r="AQ6" i="3"/>
  <c r="AQ6" i="72" s="1"/>
  <c r="AP6" i="71"/>
  <c r="AP6" i="68"/>
  <c r="AF204" i="68" l="1"/>
  <c r="AF216" i="68" s="1"/>
  <c r="AF79" i="68"/>
  <c r="AF85" i="68" s="1"/>
  <c r="AG56" i="65"/>
  <c r="AG147" i="68"/>
  <c r="AG163" i="68" s="1"/>
  <c r="AG66" i="65"/>
  <c r="AG87" i="65" s="1"/>
  <c r="AH22" i="65"/>
  <c r="AH22" i="68"/>
  <c r="AH175" i="68" s="1"/>
  <c r="AH81" i="65"/>
  <c r="AH39" i="65"/>
  <c r="AH26" i="68"/>
  <c r="AH383" i="68" s="1"/>
  <c r="AH26" i="65"/>
  <c r="AI2" i="72"/>
  <c r="AI22" i="3"/>
  <c r="AH108" i="68"/>
  <c r="AH109" i="68"/>
  <c r="AH107" i="68"/>
  <c r="AH110" i="68"/>
  <c r="AH161" i="68"/>
  <c r="AR7" i="3"/>
  <c r="AR7" i="72" s="1"/>
  <c r="AQ7" i="71"/>
  <c r="AQ7" i="68"/>
  <c r="AR6" i="3"/>
  <c r="AR6" i="72" s="1"/>
  <c r="AQ6" i="71"/>
  <c r="AQ6" i="68"/>
  <c r="AI2" i="71"/>
  <c r="AI3" i="3"/>
  <c r="AJ2" i="3" s="1"/>
  <c r="AI2" i="68"/>
  <c r="AR5" i="3"/>
  <c r="AR5" i="72" s="1"/>
  <c r="AQ5" i="71"/>
  <c r="AQ5" i="68"/>
  <c r="AI3" i="72" l="1"/>
  <c r="AH159" i="68"/>
  <c r="AH167" i="68"/>
  <c r="AI28" i="3"/>
  <c r="AI20" i="68"/>
  <c r="AI108" i="68" s="1"/>
  <c r="AI20" i="65"/>
  <c r="AG305" i="68"/>
  <c r="AG309" i="68" s="1"/>
  <c r="AG232" i="68"/>
  <c r="AG238" i="68" s="1"/>
  <c r="AG254" i="68"/>
  <c r="AG258" i="68" s="1"/>
  <c r="AG270" i="68"/>
  <c r="AG274" i="68" s="1"/>
  <c r="AH112" i="68"/>
  <c r="AG203" i="68"/>
  <c r="AG63" i="68"/>
  <c r="AG69" i="68" s="1"/>
  <c r="AG68" i="65"/>
  <c r="AH47" i="68"/>
  <c r="AH51" i="68" s="1"/>
  <c r="AH54" i="65"/>
  <c r="AH210" i="68"/>
  <c r="AI24" i="3"/>
  <c r="AI3" i="71"/>
  <c r="AI3" i="68"/>
  <c r="AS7" i="3"/>
  <c r="AS7" i="72" s="1"/>
  <c r="AR7" i="71"/>
  <c r="AR7" i="68"/>
  <c r="AS6" i="3"/>
  <c r="AS6" i="72" s="1"/>
  <c r="AR6" i="71"/>
  <c r="AR6" i="68"/>
  <c r="AS5" i="3"/>
  <c r="AS5" i="72" s="1"/>
  <c r="AR5" i="71"/>
  <c r="AR5" i="68"/>
  <c r="AI107" i="68" l="1"/>
  <c r="AG204" i="68"/>
  <c r="AG216" i="68" s="1"/>
  <c r="AG79" i="68"/>
  <c r="AG85" i="68" s="1"/>
  <c r="AI81" i="65"/>
  <c r="AI39" i="65"/>
  <c r="AI22" i="68"/>
  <c r="AI175" i="68" s="1"/>
  <c r="AI22" i="65"/>
  <c r="AI26" i="68"/>
  <c r="AI383" i="68" s="1"/>
  <c r="AI26" i="65"/>
  <c r="AH56" i="65"/>
  <c r="AH66" i="65"/>
  <c r="AH87" i="65" s="1"/>
  <c r="AH147" i="68"/>
  <c r="AH163" i="68" s="1"/>
  <c r="AJ2" i="72"/>
  <c r="AJ22" i="3"/>
  <c r="AI109" i="68"/>
  <c r="AI110" i="68"/>
  <c r="AI161" i="68"/>
  <c r="AT6" i="3"/>
  <c r="AT6" i="72" s="1"/>
  <c r="AS6" i="71"/>
  <c r="AS6" i="68"/>
  <c r="AT7" i="3"/>
  <c r="AT7" i="72" s="1"/>
  <c r="AS7" i="71"/>
  <c r="AS7" i="68"/>
  <c r="AT5" i="3"/>
  <c r="AT5" i="72" s="1"/>
  <c r="AS5" i="71"/>
  <c r="AS5" i="68"/>
  <c r="AJ2" i="71"/>
  <c r="AJ2" i="68"/>
  <c r="AJ3" i="3"/>
  <c r="AK2" i="3" s="1"/>
  <c r="AJ3" i="72" l="1"/>
  <c r="AI167" i="68"/>
  <c r="AI159" i="68"/>
  <c r="AJ28" i="3"/>
  <c r="AJ20" i="68"/>
  <c r="AJ110" i="68" s="1"/>
  <c r="AJ20" i="65"/>
  <c r="AH305" i="68"/>
  <c r="AH309" i="68" s="1"/>
  <c r="AH254" i="68"/>
  <c r="AH258" i="68" s="1"/>
  <c r="AH232" i="68"/>
  <c r="AH238" i="68" s="1"/>
  <c r="AH270" i="68"/>
  <c r="AH274" i="68" s="1"/>
  <c r="AI54" i="65"/>
  <c r="AI47" i="68"/>
  <c r="AI51" i="68" s="1"/>
  <c r="AI210" i="68"/>
  <c r="AH203" i="68"/>
  <c r="AH63" i="68"/>
  <c r="AH69" i="68" s="1"/>
  <c r="AH68" i="65"/>
  <c r="AI112" i="68"/>
  <c r="AJ24" i="3"/>
  <c r="AJ3" i="71"/>
  <c r="AJ3" i="68"/>
  <c r="AU6" i="3"/>
  <c r="AU6" i="72" s="1"/>
  <c r="AT6" i="71"/>
  <c r="AT6" i="68"/>
  <c r="AU5" i="3"/>
  <c r="AU5" i="72" s="1"/>
  <c r="AT5" i="71"/>
  <c r="AT5" i="68"/>
  <c r="AU7" i="3"/>
  <c r="AU7" i="72" s="1"/>
  <c r="AT7" i="71"/>
  <c r="AT7" i="68"/>
  <c r="AJ22" i="68" l="1"/>
  <c r="AJ159" i="68" s="1"/>
  <c r="AJ22" i="65"/>
  <c r="AH204" i="68"/>
  <c r="AH216" i="68" s="1"/>
  <c r="AH79" i="68"/>
  <c r="AH85" i="68" s="1"/>
  <c r="AJ81" i="65"/>
  <c r="AJ39" i="65"/>
  <c r="AI56" i="65"/>
  <c r="AI66" i="65"/>
  <c r="AI87" i="65" s="1"/>
  <c r="AI147" i="68"/>
  <c r="AI163" i="68" s="1"/>
  <c r="AJ26" i="68"/>
  <c r="AJ26" i="65"/>
  <c r="AK2" i="72"/>
  <c r="AK22" i="3"/>
  <c r="AJ107" i="68"/>
  <c r="AJ210" i="68"/>
  <c r="AJ175" i="68"/>
  <c r="AJ109" i="68"/>
  <c r="AJ108" i="68"/>
  <c r="AJ161" i="68"/>
  <c r="AV6" i="3"/>
  <c r="AV6" i="72" s="1"/>
  <c r="AU6" i="71"/>
  <c r="AU6" i="68"/>
  <c r="AK2" i="71"/>
  <c r="AK2" i="68"/>
  <c r="AK3" i="3"/>
  <c r="AL2" i="3" s="1"/>
  <c r="AV7" i="3"/>
  <c r="AV7" i="72" s="1"/>
  <c r="AU7" i="71"/>
  <c r="AU7" i="68"/>
  <c r="AV5" i="3"/>
  <c r="AV5" i="72" s="1"/>
  <c r="AU5" i="71"/>
  <c r="AU5" i="68"/>
  <c r="AK3" i="72" l="1"/>
  <c r="AJ167" i="68"/>
  <c r="AI203" i="68"/>
  <c r="AI63" i="68"/>
  <c r="AI69" i="68" s="1"/>
  <c r="AI68" i="65"/>
  <c r="AJ54" i="65"/>
  <c r="AJ47" i="68"/>
  <c r="AJ51" i="68" s="1"/>
  <c r="AI305" i="68"/>
  <c r="AI309" i="68" s="1"/>
  <c r="AI232" i="68"/>
  <c r="AI238" i="68" s="1"/>
  <c r="AI254" i="68"/>
  <c r="AI258" i="68" s="1"/>
  <c r="AI270" i="68"/>
  <c r="AI274" i="68" s="1"/>
  <c r="AK28" i="3"/>
  <c r="AK20" i="65"/>
  <c r="AK20" i="68"/>
  <c r="AK24" i="3"/>
  <c r="AJ112" i="68"/>
  <c r="AJ383" i="68"/>
  <c r="AK3" i="71"/>
  <c r="AK3" i="68"/>
  <c r="AW5" i="3"/>
  <c r="AW5" i="72" s="1"/>
  <c r="AV5" i="71"/>
  <c r="AV5" i="68"/>
  <c r="AW7" i="3"/>
  <c r="AW7" i="72" s="1"/>
  <c r="AV7" i="71"/>
  <c r="AV7" i="68"/>
  <c r="AW6" i="3"/>
  <c r="AW6" i="72" s="1"/>
  <c r="AV6" i="71"/>
  <c r="AV6" i="68"/>
  <c r="AK22" i="68" l="1"/>
  <c r="AK159" i="68" s="1"/>
  <c r="AK22" i="65"/>
  <c r="AJ56" i="65"/>
  <c r="AJ66" i="65"/>
  <c r="AJ87" i="65" s="1"/>
  <c r="AJ147" i="68"/>
  <c r="AJ163" i="68" s="1"/>
  <c r="AK81" i="65"/>
  <c r="AK39" i="65"/>
  <c r="AI79" i="68"/>
  <c r="AI85" i="68" s="1"/>
  <c r="AI204" i="68"/>
  <c r="AI216" i="68" s="1"/>
  <c r="AK26" i="68"/>
  <c r="AK26" i="65"/>
  <c r="AL2" i="72"/>
  <c r="AL22" i="3"/>
  <c r="AK109" i="68"/>
  <c r="AK108" i="68"/>
  <c r="AK110" i="68"/>
  <c r="AK107" i="68"/>
  <c r="AK161" i="68"/>
  <c r="AK383" i="68"/>
  <c r="AX7" i="3"/>
  <c r="AX7" i="72" s="1"/>
  <c r="AW7" i="71"/>
  <c r="AW7" i="68"/>
  <c r="AX5" i="3"/>
  <c r="AX5" i="72" s="1"/>
  <c r="AW5" i="71"/>
  <c r="AW5" i="68"/>
  <c r="AX6" i="3"/>
  <c r="AX6" i="72" s="1"/>
  <c r="AW6" i="71"/>
  <c r="AW6" i="68"/>
  <c r="AL2" i="71"/>
  <c r="AL2" i="68"/>
  <c r="AL3" i="3"/>
  <c r="AM2" i="3" s="1"/>
  <c r="AL3" i="72" l="1"/>
  <c r="AK175" i="68"/>
  <c r="AK210" i="68"/>
  <c r="AK167" i="68"/>
  <c r="AL28" i="3"/>
  <c r="AL20" i="65"/>
  <c r="AL20" i="68"/>
  <c r="AJ254" i="68"/>
  <c r="AJ258" i="68" s="1"/>
  <c r="AJ232" i="68"/>
  <c r="AJ238" i="68" s="1"/>
  <c r="AJ270" i="68"/>
  <c r="AJ274" i="68" s="1"/>
  <c r="AJ305" i="68"/>
  <c r="AJ309" i="68" s="1"/>
  <c r="AK54" i="65"/>
  <c r="AK47" i="68"/>
  <c r="AK51" i="68" s="1"/>
  <c r="AJ63" i="68"/>
  <c r="AJ69" i="68" s="1"/>
  <c r="AJ68" i="65"/>
  <c r="AJ203" i="68"/>
  <c r="AL24" i="3"/>
  <c r="AK112" i="68"/>
  <c r="AY6" i="3"/>
  <c r="AY6" i="72" s="1"/>
  <c r="AX6" i="71"/>
  <c r="AX6" i="68"/>
  <c r="AL3" i="71"/>
  <c r="AL3" i="68"/>
  <c r="AY5" i="3"/>
  <c r="AY5" i="72" s="1"/>
  <c r="AX5" i="71"/>
  <c r="AX5" i="68"/>
  <c r="AY7" i="3"/>
  <c r="AY7" i="72" s="1"/>
  <c r="AX7" i="71"/>
  <c r="AX7" i="68"/>
  <c r="AK56" i="65" l="1"/>
  <c r="AK147" i="68"/>
  <c r="AK163" i="68" s="1"/>
  <c r="AK66" i="65"/>
  <c r="AK87" i="65" s="1"/>
  <c r="AJ204" i="68"/>
  <c r="AJ216" i="68" s="1"/>
  <c r="AJ79" i="68"/>
  <c r="AJ85" i="68" s="1"/>
  <c r="AL81" i="65"/>
  <c r="AL39" i="65"/>
  <c r="AL22" i="68"/>
  <c r="AL159" i="68" s="1"/>
  <c r="AL22" i="65"/>
  <c r="AL26" i="65"/>
  <c r="AL26" i="68"/>
  <c r="AL383" i="68" s="1"/>
  <c r="AM2" i="72"/>
  <c r="AM22" i="3"/>
  <c r="AL109" i="68"/>
  <c r="AL108" i="68"/>
  <c r="AL107" i="68"/>
  <c r="AL110" i="68"/>
  <c r="AL161" i="68"/>
  <c r="AZ5" i="3"/>
  <c r="AZ5" i="72" s="1"/>
  <c r="AY5" i="71"/>
  <c r="AY5" i="68"/>
  <c r="AM2" i="71"/>
  <c r="AM3" i="3"/>
  <c r="AN2" i="3" s="1"/>
  <c r="AM2" i="68"/>
  <c r="AZ7" i="3"/>
  <c r="AZ7" i="72" s="1"/>
  <c r="AY7" i="71"/>
  <c r="AY7" i="68"/>
  <c r="AZ6" i="3"/>
  <c r="AZ6" i="72" s="1"/>
  <c r="AY6" i="71"/>
  <c r="AY6" i="68"/>
  <c r="AM3" i="72" l="1"/>
  <c r="AL167" i="68"/>
  <c r="AL47" i="68"/>
  <c r="AL51" i="68" s="1"/>
  <c r="AL54" i="65"/>
  <c r="AM28" i="3"/>
  <c r="AM20" i="68"/>
  <c r="AM20" i="65"/>
  <c r="AL175" i="68"/>
  <c r="AK232" i="68"/>
  <c r="AK238" i="68" s="1"/>
  <c r="AK254" i="68"/>
  <c r="AK258" i="68" s="1"/>
  <c r="AK270" i="68"/>
  <c r="AK274" i="68" s="1"/>
  <c r="AK305" i="68"/>
  <c r="AK309" i="68" s="1"/>
  <c r="AL210" i="68"/>
  <c r="AK203" i="68"/>
  <c r="AK68" i="65"/>
  <c r="AK63" i="68"/>
  <c r="AK69" i="68" s="1"/>
  <c r="AL112" i="68"/>
  <c r="AM24" i="3"/>
  <c r="BA7" i="3"/>
  <c r="BA7" i="72" s="1"/>
  <c r="AZ7" i="71"/>
  <c r="AZ7" i="68"/>
  <c r="AM3" i="71"/>
  <c r="AM3" i="68"/>
  <c r="BA6" i="3"/>
  <c r="BA6" i="72" s="1"/>
  <c r="AZ6" i="71"/>
  <c r="AZ6" i="68"/>
  <c r="BA5" i="3"/>
  <c r="BA5" i="72" s="1"/>
  <c r="AZ5" i="71"/>
  <c r="AZ5" i="68"/>
  <c r="AM81" i="65" l="1"/>
  <c r="AM39" i="65"/>
  <c r="AM26" i="68"/>
  <c r="AM383" i="68" s="1"/>
  <c r="AM26" i="65"/>
  <c r="AL56" i="65"/>
  <c r="AL66" i="65"/>
  <c r="AL87" i="65" s="1"/>
  <c r="AL147" i="68"/>
  <c r="AL163" i="68" s="1"/>
  <c r="AM22" i="65"/>
  <c r="AM22" i="68"/>
  <c r="AM210" i="68" s="1"/>
  <c r="AK204" i="68"/>
  <c r="AK216" i="68" s="1"/>
  <c r="AK79" i="68"/>
  <c r="AK85" i="68" s="1"/>
  <c r="AN2" i="72"/>
  <c r="AN22" i="3"/>
  <c r="AM107" i="68"/>
  <c r="AM108" i="68"/>
  <c r="AM110" i="68"/>
  <c r="AM109" i="68"/>
  <c r="AM167" i="68"/>
  <c r="AM161" i="68"/>
  <c r="BB5" i="3"/>
  <c r="BB5" i="72" s="1"/>
  <c r="BA5" i="71"/>
  <c r="BA5" i="68"/>
  <c r="AN2" i="71"/>
  <c r="AN2" i="68"/>
  <c r="AN3" i="3"/>
  <c r="AO2" i="3" s="1"/>
  <c r="BB6" i="3"/>
  <c r="BB6" i="72" s="1"/>
  <c r="BA6" i="71"/>
  <c r="BA6" i="68"/>
  <c r="BB7" i="3"/>
  <c r="BB7" i="72" s="1"/>
  <c r="BA7" i="71"/>
  <c r="BA7" i="68"/>
  <c r="AM159" i="68" l="1"/>
  <c r="AN3" i="72"/>
  <c r="AM175" i="68"/>
  <c r="AN28" i="3"/>
  <c r="AN20" i="68"/>
  <c r="AN20" i="65"/>
  <c r="AL305" i="68"/>
  <c r="AL309" i="68" s="1"/>
  <c r="AL270" i="68"/>
  <c r="AL274" i="68" s="1"/>
  <c r="AL232" i="68"/>
  <c r="AL238" i="68" s="1"/>
  <c r="AL254" i="68"/>
  <c r="AL258" i="68" s="1"/>
  <c r="AL68" i="65"/>
  <c r="AL63" i="68"/>
  <c r="AL69" i="68" s="1"/>
  <c r="AL203" i="68"/>
  <c r="AM47" i="68"/>
  <c r="AM51" i="68" s="1"/>
  <c r="AM54" i="65"/>
  <c r="AN24" i="3"/>
  <c r="AM112" i="68"/>
  <c r="BC6" i="3"/>
  <c r="BC6" i="72" s="1"/>
  <c r="BB6" i="71"/>
  <c r="BB6" i="68"/>
  <c r="AN3" i="71"/>
  <c r="AN3" i="68"/>
  <c r="BC7" i="3"/>
  <c r="BC7" i="72" s="1"/>
  <c r="BB7" i="71"/>
  <c r="BB7" i="68"/>
  <c r="BC5" i="3"/>
  <c r="BC5" i="72" s="1"/>
  <c r="BB5" i="71"/>
  <c r="BB5" i="68"/>
  <c r="AM56" i="65" l="1"/>
  <c r="AM66" i="65"/>
  <c r="AM87" i="65" s="1"/>
  <c r="AM147" i="68"/>
  <c r="AM163" i="68" s="1"/>
  <c r="AL79" i="68"/>
  <c r="AL85" i="68" s="1"/>
  <c r="AL204" i="68"/>
  <c r="AL216" i="68" s="1"/>
  <c r="AN81" i="65"/>
  <c r="AN39" i="65"/>
  <c r="AN22" i="65"/>
  <c r="AN22" i="68"/>
  <c r="AN175" i="68" s="1"/>
  <c r="AN26" i="68"/>
  <c r="AN383" i="68" s="1"/>
  <c r="AN26" i="65"/>
  <c r="AO2" i="72"/>
  <c r="AO22" i="3"/>
  <c r="AN108" i="68"/>
  <c r="AN109" i="68"/>
  <c r="AN107" i="68"/>
  <c r="AN110" i="68"/>
  <c r="AN159" i="68"/>
  <c r="AN161" i="68"/>
  <c r="AO2" i="71"/>
  <c r="AO3" i="3"/>
  <c r="AP2" i="3" s="1"/>
  <c r="AO2" i="68"/>
  <c r="BD6" i="3"/>
  <c r="BD6" i="72" s="1"/>
  <c r="BC6" i="71"/>
  <c r="BC6" i="68"/>
  <c r="BD7" i="3"/>
  <c r="BD7" i="72" s="1"/>
  <c r="BC7" i="71"/>
  <c r="BC7" i="68"/>
  <c r="BD5" i="3"/>
  <c r="BD5" i="72" s="1"/>
  <c r="BC5" i="71"/>
  <c r="BC5" i="68"/>
  <c r="AO3" i="72" l="1"/>
  <c r="AN47" i="68"/>
  <c r="AN51" i="68" s="1"/>
  <c r="AN54" i="65"/>
  <c r="AO28" i="3"/>
  <c r="AO20" i="65"/>
  <c r="AO20" i="68"/>
  <c r="AO109" i="68" s="1"/>
  <c r="AM232" i="68"/>
  <c r="AM238" i="68" s="1"/>
  <c r="AM254" i="68"/>
  <c r="AM258" i="68" s="1"/>
  <c r="AM270" i="68"/>
  <c r="AM274" i="68" s="1"/>
  <c r="AM305" i="68"/>
  <c r="AM309" i="68" s="1"/>
  <c r="AN167" i="68"/>
  <c r="AN210" i="68"/>
  <c r="AM68" i="65"/>
  <c r="AM63" i="68"/>
  <c r="AM69" i="68" s="1"/>
  <c r="AM203" i="68"/>
  <c r="AN112" i="68"/>
  <c r="AO24" i="3"/>
  <c r="BE7" i="3"/>
  <c r="BE7" i="72" s="1"/>
  <c r="BD7" i="71"/>
  <c r="BD7" i="68"/>
  <c r="BE6" i="3"/>
  <c r="BE6" i="72" s="1"/>
  <c r="BD6" i="71"/>
  <c r="BD6" i="68"/>
  <c r="BE5" i="3"/>
  <c r="BE5" i="72" s="1"/>
  <c r="BD5" i="71"/>
  <c r="BD5" i="68"/>
  <c r="AO3" i="71"/>
  <c r="AO3" i="68"/>
  <c r="I15" i="12"/>
  <c r="H15" i="12"/>
  <c r="C6" i="61"/>
  <c r="C4" i="61"/>
  <c r="C3" i="61"/>
  <c r="C2" i="61"/>
  <c r="AM79" i="68" l="1"/>
  <c r="AM85" i="68" s="1"/>
  <c r="AM204" i="68"/>
  <c r="AM216" i="68" s="1"/>
  <c r="AO81" i="65"/>
  <c r="AO39" i="65"/>
  <c r="AO26" i="65"/>
  <c r="AO26" i="68"/>
  <c r="AN56" i="65"/>
  <c r="AN66" i="65"/>
  <c r="AN87" i="65" s="1"/>
  <c r="AN147" i="68"/>
  <c r="AN163" i="68" s="1"/>
  <c r="AO22" i="65"/>
  <c r="AO22" i="68"/>
  <c r="AO159" i="68" s="1"/>
  <c r="AP2" i="72"/>
  <c r="AP22" i="3"/>
  <c r="AO210" i="68"/>
  <c r="AO110" i="68"/>
  <c r="AO108" i="68"/>
  <c r="AO107" i="68"/>
  <c r="AO161" i="68"/>
  <c r="BE5" i="68"/>
  <c r="BE5" i="71"/>
  <c r="AP2" i="71"/>
  <c r="AP3" i="3"/>
  <c r="AQ2" i="3" s="1"/>
  <c r="AP2" i="68"/>
  <c r="BE6" i="68"/>
  <c r="BE6" i="71"/>
  <c r="BE7" i="68"/>
  <c r="BE7" i="71"/>
  <c r="B50" i="59"/>
  <c r="AP3" i="72" l="1"/>
  <c r="AO167" i="68"/>
  <c r="AP28" i="3"/>
  <c r="AP20" i="65"/>
  <c r="AP20" i="68"/>
  <c r="AP110" i="68" s="1"/>
  <c r="AO54" i="65"/>
  <c r="AO47" i="68"/>
  <c r="AO51" i="68" s="1"/>
  <c r="AN203" i="68"/>
  <c r="AN63" i="68"/>
  <c r="AN69" i="68" s="1"/>
  <c r="AN68" i="65"/>
  <c r="AO175" i="68"/>
  <c r="AN232" i="68"/>
  <c r="AN238" i="68" s="1"/>
  <c r="AN305" i="68"/>
  <c r="AN309" i="68" s="1"/>
  <c r="AN270" i="68"/>
  <c r="AN274" i="68" s="1"/>
  <c r="AN254" i="68"/>
  <c r="AN258" i="68" s="1"/>
  <c r="AP24" i="3"/>
  <c r="AO383" i="68"/>
  <c r="AO112" i="68"/>
  <c r="AP3" i="71"/>
  <c r="AP3" i="68"/>
  <c r="AO56" i="65" l="1"/>
  <c r="AO66" i="65"/>
  <c r="AO87" i="65" s="1"/>
  <c r="AO147" i="68"/>
  <c r="AO163" i="68" s="1"/>
  <c r="AP22" i="65"/>
  <c r="AP22" i="68"/>
  <c r="AP167" i="68" s="1"/>
  <c r="AP81" i="65"/>
  <c r="AP39" i="65"/>
  <c r="AN204" i="68"/>
  <c r="AN216" i="68" s="1"/>
  <c r="AN79" i="68"/>
  <c r="AN85" i="68" s="1"/>
  <c r="AP26" i="65"/>
  <c r="AP26" i="68"/>
  <c r="AQ2" i="72"/>
  <c r="AQ22" i="3"/>
  <c r="AP109" i="68"/>
  <c r="AP107" i="68"/>
  <c r="AP108" i="68"/>
  <c r="AP161" i="68"/>
  <c r="AQ2" i="71"/>
  <c r="AQ2" i="68"/>
  <c r="AQ3" i="3"/>
  <c r="AR2" i="3" s="1"/>
  <c r="B8" i="3"/>
  <c r="I24" i="12" s="1"/>
  <c r="A8" i="3"/>
  <c r="H24" i="12" s="1"/>
  <c r="B8" i="12"/>
  <c r="C4" i="12"/>
  <c r="C4" i="59"/>
  <c r="C4" i="3"/>
  <c r="A8" i="59"/>
  <c r="H23" i="12" s="1"/>
  <c r="C6" i="59"/>
  <c r="C3" i="59"/>
  <c r="C2" i="59"/>
  <c r="C6" i="3"/>
  <c r="C3" i="3"/>
  <c r="C2" i="3"/>
  <c r="C3" i="12"/>
  <c r="C2" i="12"/>
  <c r="AQ3" i="72" l="1"/>
  <c r="AP175" i="68"/>
  <c r="AP210" i="68"/>
  <c r="AP159" i="68"/>
  <c r="AQ28" i="3"/>
  <c r="AQ20" i="68"/>
  <c r="AQ110" i="68" s="1"/>
  <c r="AQ20" i="65"/>
  <c r="AP47" i="68"/>
  <c r="AP51" i="68" s="1"/>
  <c r="AP54" i="65"/>
  <c r="AO232" i="68"/>
  <c r="AO238" i="68" s="1"/>
  <c r="AO305" i="68"/>
  <c r="AO309" i="68" s="1"/>
  <c r="AO254" i="68"/>
  <c r="AO258" i="68" s="1"/>
  <c r="AO270" i="68"/>
  <c r="AO274" i="68" s="1"/>
  <c r="AO203" i="68"/>
  <c r="AO68" i="65"/>
  <c r="AO63" i="68"/>
  <c r="AO69" i="68" s="1"/>
  <c r="AP112" i="68"/>
  <c r="AQ24" i="3"/>
  <c r="AP383" i="68"/>
  <c r="AQ3" i="71"/>
  <c r="AQ3" i="68"/>
  <c r="BG6" i="65"/>
  <c r="BG2" i="64"/>
  <c r="BG2" i="65"/>
  <c r="AA2" i="64"/>
  <c r="AA2" i="65"/>
  <c r="AA6" i="64"/>
  <c r="AA6" i="65"/>
  <c r="AA5" i="64"/>
  <c r="AA5" i="65"/>
  <c r="BG7" i="64"/>
  <c r="BG7" i="65"/>
  <c r="AA7" i="64"/>
  <c r="AA7" i="65"/>
  <c r="BG5" i="64"/>
  <c r="BG5" i="65"/>
  <c r="BG6" i="64"/>
  <c r="BG2" i="62"/>
  <c r="AA5" i="62"/>
  <c r="BG7" i="62"/>
  <c r="AA6" i="62"/>
  <c r="AA7" i="62"/>
  <c r="BG6" i="62"/>
  <c r="AA2" i="62"/>
  <c r="BG5" i="62"/>
  <c r="A8" i="12"/>
  <c r="AP56" i="65" l="1"/>
  <c r="AP147" i="68"/>
  <c r="AP163" i="68" s="1"/>
  <c r="AP66" i="65"/>
  <c r="AP87" i="65" s="1"/>
  <c r="AO204" i="68"/>
  <c r="AO216" i="68" s="1"/>
  <c r="AO79" i="68"/>
  <c r="AO85" i="68" s="1"/>
  <c r="AQ81" i="65"/>
  <c r="AQ39" i="65"/>
  <c r="AQ22" i="68"/>
  <c r="AQ159" i="68" s="1"/>
  <c r="AQ22" i="65"/>
  <c r="AQ26" i="68"/>
  <c r="AQ26" i="65"/>
  <c r="AR2" i="72"/>
  <c r="AR22" i="3"/>
  <c r="AQ109" i="68"/>
  <c r="AQ107" i="68"/>
  <c r="AQ108" i="68"/>
  <c r="AQ161" i="68"/>
  <c r="AR2" i="71"/>
  <c r="AR3" i="3"/>
  <c r="AS2" i="3" s="1"/>
  <c r="AR2" i="68"/>
  <c r="AB6" i="62"/>
  <c r="AB6" i="65"/>
  <c r="AB6" i="64"/>
  <c r="BG3" i="64"/>
  <c r="BG3" i="65"/>
  <c r="AB7" i="64"/>
  <c r="AB7" i="65"/>
  <c r="AB5" i="64"/>
  <c r="AB5" i="65"/>
  <c r="AA3" i="64"/>
  <c r="AA3" i="65"/>
  <c r="AA35" i="64"/>
  <c r="AA45" i="64"/>
  <c r="AA39" i="64"/>
  <c r="AA38" i="64"/>
  <c r="AA37" i="64"/>
  <c r="AA46" i="64"/>
  <c r="AA36" i="64"/>
  <c r="AA3" i="62"/>
  <c r="AB5" i="62"/>
  <c r="BG3" i="62"/>
  <c r="AB7" i="62"/>
  <c r="AR3" i="72" l="1"/>
  <c r="AQ175" i="68"/>
  <c r="AQ54" i="65"/>
  <c r="AQ47" i="68"/>
  <c r="AQ51" i="68" s="1"/>
  <c r="AQ167" i="68"/>
  <c r="AQ210" i="68"/>
  <c r="AR28" i="3"/>
  <c r="AR20" i="68"/>
  <c r="AR110" i="68" s="1"/>
  <c r="AR20" i="65"/>
  <c r="AP305" i="68"/>
  <c r="AP309" i="68" s="1"/>
  <c r="AP232" i="68"/>
  <c r="AP238" i="68" s="1"/>
  <c r="AP270" i="68"/>
  <c r="AP274" i="68" s="1"/>
  <c r="AP254" i="68"/>
  <c r="AP258" i="68" s="1"/>
  <c r="AP203" i="68"/>
  <c r="AP63" i="68"/>
  <c r="AP69" i="68" s="1"/>
  <c r="AP68" i="65"/>
  <c r="AR24" i="3"/>
  <c r="AQ112" i="68"/>
  <c r="AQ383" i="68"/>
  <c r="AA17" i="72"/>
  <c r="AA36" i="68"/>
  <c r="AA37" i="68"/>
  <c r="AA34" i="68"/>
  <c r="AA35" i="68"/>
  <c r="AA38" i="68"/>
  <c r="AA16" i="72"/>
  <c r="AR3" i="71"/>
  <c r="AR3" i="68"/>
  <c r="AB46" i="64"/>
  <c r="AB39" i="64"/>
  <c r="AC6" i="65"/>
  <c r="AC5" i="64"/>
  <c r="AC5" i="65"/>
  <c r="AB35" i="64"/>
  <c r="AB45" i="64"/>
  <c r="AB37" i="64"/>
  <c r="AB38" i="64"/>
  <c r="AC7" i="64"/>
  <c r="AC7" i="65"/>
  <c r="AB2" i="64"/>
  <c r="AB2" i="65"/>
  <c r="AB36" i="64"/>
  <c r="AB2" i="62"/>
  <c r="AC6" i="64"/>
  <c r="AC6" i="62"/>
  <c r="AC7" i="62"/>
  <c r="AC5" i="62"/>
  <c r="B8" i="59"/>
  <c r="AR81" i="65" l="1"/>
  <c r="AR39" i="65"/>
  <c r="AR26" i="68"/>
  <c r="AR26" i="65"/>
  <c r="AP204" i="68"/>
  <c r="AP216" i="68" s="1"/>
  <c r="AP79" i="68"/>
  <c r="AP85" i="68" s="1"/>
  <c r="AR22" i="68"/>
  <c r="AR22" i="65"/>
  <c r="AQ56" i="65"/>
  <c r="AQ66" i="65"/>
  <c r="AQ87" i="65" s="1"/>
  <c r="AQ147" i="68"/>
  <c r="AQ163" i="68" s="1"/>
  <c r="AS2" i="72"/>
  <c r="AS22" i="3"/>
  <c r="AR107" i="68"/>
  <c r="AR109" i="68"/>
  <c r="AR108" i="68"/>
  <c r="AR161" i="68"/>
  <c r="I23" i="12"/>
  <c r="I27" i="12" s="1"/>
  <c r="AA119" i="68"/>
  <c r="AA118" i="68"/>
  <c r="AA121" i="68"/>
  <c r="AA120" i="68"/>
  <c r="AA73" i="68"/>
  <c r="AA129" i="68" s="1"/>
  <c r="AA89" i="68"/>
  <c r="AA130" i="68" s="1"/>
  <c r="AA185" i="68"/>
  <c r="AA283" i="68" s="1"/>
  <c r="AA55" i="68"/>
  <c r="AA183" i="68"/>
  <c r="AA187" i="68"/>
  <c r="AA284" i="68" s="1"/>
  <c r="AA222" i="68"/>
  <c r="AA288" i="68" s="1"/>
  <c r="AA278" i="68"/>
  <c r="AA291" i="68" s="1"/>
  <c r="AA262" i="68"/>
  <c r="AA290" i="68" s="1"/>
  <c r="AA313" i="68"/>
  <c r="AA36" i="72" s="1"/>
  <c r="AA417" i="68"/>
  <c r="AA476" i="68" s="1"/>
  <c r="AB16" i="72"/>
  <c r="AB34" i="68"/>
  <c r="AA99" i="72"/>
  <c r="AA92" i="72"/>
  <c r="AA108" i="72"/>
  <c r="AA109" i="72"/>
  <c r="AA103" i="72"/>
  <c r="AA95" i="72"/>
  <c r="AA110" i="72"/>
  <c r="AA107" i="72"/>
  <c r="AB35" i="68"/>
  <c r="AB37" i="68"/>
  <c r="AB38" i="68"/>
  <c r="AB17" i="72"/>
  <c r="AB36" i="68"/>
  <c r="AS2" i="71"/>
  <c r="AS2" i="68"/>
  <c r="AS3" i="3"/>
  <c r="AT2" i="3" s="1"/>
  <c r="AC45" i="64"/>
  <c r="AC46" i="64"/>
  <c r="AB3" i="65"/>
  <c r="AB3" i="64"/>
  <c r="AB3" i="62"/>
  <c r="AC36" i="64"/>
  <c r="AC39" i="64"/>
  <c r="AC38" i="64"/>
  <c r="AD7" i="64"/>
  <c r="AD7" i="65"/>
  <c r="AD5" i="64"/>
  <c r="AD5" i="65"/>
  <c r="AD6" i="64"/>
  <c r="AD6" i="65"/>
  <c r="AC37" i="64"/>
  <c r="AC35" i="64"/>
  <c r="AD6" i="62"/>
  <c r="AD5" i="62"/>
  <c r="AD7" i="62"/>
  <c r="AS3" i="72" l="1"/>
  <c r="AR175" i="68"/>
  <c r="AQ270" i="68"/>
  <c r="AQ274" i="68" s="1"/>
  <c r="AQ305" i="68"/>
  <c r="AQ309" i="68" s="1"/>
  <c r="AQ232" i="68"/>
  <c r="AQ238" i="68" s="1"/>
  <c r="AQ254" i="68"/>
  <c r="AQ258" i="68" s="1"/>
  <c r="AR167" i="68"/>
  <c r="AR159" i="68"/>
  <c r="AR210" i="68"/>
  <c r="AQ63" i="68"/>
  <c r="AQ69" i="68" s="1"/>
  <c r="AQ203" i="68"/>
  <c r="AQ68" i="65"/>
  <c r="AR47" i="68"/>
  <c r="AR51" i="68" s="1"/>
  <c r="AR54" i="65"/>
  <c r="AS28" i="3"/>
  <c r="AS20" i="65"/>
  <c r="AS20" i="68"/>
  <c r="AS108" i="68" s="1"/>
  <c r="AS24" i="3"/>
  <c r="AR383" i="68"/>
  <c r="AR112" i="68"/>
  <c r="AB73" i="68"/>
  <c r="AB129" i="68" s="1"/>
  <c r="AB89" i="68"/>
  <c r="AB130" i="68" s="1"/>
  <c r="AB55" i="68"/>
  <c r="AB40" i="72" s="1"/>
  <c r="AB39" i="72" s="1"/>
  <c r="AB185" i="68"/>
  <c r="AB283" i="68" s="1"/>
  <c r="AB183" i="68"/>
  <c r="AB282" i="68" s="1"/>
  <c r="AB222" i="68"/>
  <c r="AB288" i="68" s="1"/>
  <c r="AB187" i="68"/>
  <c r="AB284" i="68" s="1"/>
  <c r="AB278" i="68"/>
  <c r="AB291" i="68" s="1"/>
  <c r="AB262" i="68"/>
  <c r="AB290" i="68" s="1"/>
  <c r="AB313" i="68"/>
  <c r="AB36" i="72" s="1"/>
  <c r="AB119" i="68"/>
  <c r="AB118" i="68"/>
  <c r="AB121" i="68"/>
  <c r="AB120" i="68"/>
  <c r="AB417" i="68"/>
  <c r="AB476" i="68" s="1"/>
  <c r="AA282" i="68"/>
  <c r="AA123" i="68"/>
  <c r="AA131" i="68" s="1"/>
  <c r="AA133" i="68" s="1"/>
  <c r="AA40" i="72"/>
  <c r="AC36" i="68"/>
  <c r="AA133" i="72"/>
  <c r="AA119" i="71"/>
  <c r="AA120" i="72"/>
  <c r="AA102" i="71"/>
  <c r="AA117" i="72"/>
  <c r="AA99" i="71"/>
  <c r="AC35" i="68"/>
  <c r="AA121" i="71"/>
  <c r="AA135" i="72"/>
  <c r="AA128" i="72"/>
  <c r="AA112" i="71"/>
  <c r="AA108" i="71"/>
  <c r="AA124" i="72"/>
  <c r="AA132" i="72"/>
  <c r="AA118" i="71"/>
  <c r="AC17" i="72"/>
  <c r="AA134" i="72"/>
  <c r="AA120" i="71"/>
  <c r="AB99" i="72"/>
  <c r="AB109" i="72"/>
  <c r="AB103" i="72"/>
  <c r="AB95" i="72"/>
  <c r="AB92" i="72"/>
  <c r="AB107" i="72"/>
  <c r="AB110" i="72"/>
  <c r="AB108" i="72"/>
  <c r="AC38" i="68"/>
  <c r="AC34" i="68"/>
  <c r="AC37" i="68"/>
  <c r="AC16" i="72"/>
  <c r="AA61" i="72"/>
  <c r="AA37" i="71"/>
  <c r="AA102" i="72"/>
  <c r="AS3" i="71"/>
  <c r="AS3" i="68"/>
  <c r="AC2" i="64"/>
  <c r="AC2" i="62"/>
  <c r="AD46" i="64"/>
  <c r="AC2" i="65"/>
  <c r="AD37" i="64"/>
  <c r="AE6" i="64"/>
  <c r="AE6" i="65"/>
  <c r="AE5" i="64"/>
  <c r="AE5" i="65"/>
  <c r="AD38" i="64"/>
  <c r="AD39" i="64"/>
  <c r="AD36" i="64"/>
  <c r="AE7" i="64"/>
  <c r="AE7" i="65"/>
  <c r="AD35" i="64"/>
  <c r="AD45" i="64"/>
  <c r="AE6" i="62"/>
  <c r="AE5" i="62"/>
  <c r="AE7" i="62"/>
  <c r="AS26" i="68" l="1"/>
  <c r="AS26" i="65"/>
  <c r="AR56" i="65"/>
  <c r="AR66" i="65"/>
  <c r="AR87" i="65" s="1"/>
  <c r="AR147" i="68"/>
  <c r="AR163" i="68" s="1"/>
  <c r="AS81" i="65"/>
  <c r="AS39" i="65"/>
  <c r="AQ204" i="68"/>
  <c r="AQ216" i="68" s="1"/>
  <c r="AQ79" i="68"/>
  <c r="AQ85" i="68" s="1"/>
  <c r="AS22" i="68"/>
  <c r="AS175" i="68" s="1"/>
  <c r="AS22" i="65"/>
  <c r="AT2" i="72"/>
  <c r="AT22" i="3"/>
  <c r="AS110" i="68"/>
  <c r="AS107" i="68"/>
  <c r="AS109" i="68"/>
  <c r="AS161" i="68"/>
  <c r="AA106" i="72"/>
  <c r="AA105" i="72" s="1"/>
  <c r="AA39" i="72"/>
  <c r="AC89" i="68"/>
  <c r="AC130" i="68" s="1"/>
  <c r="AC73" i="68"/>
  <c r="AC129" i="68" s="1"/>
  <c r="AC119" i="68"/>
  <c r="AC120" i="68"/>
  <c r="AC118" i="68"/>
  <c r="AC121" i="68"/>
  <c r="AC185" i="68"/>
  <c r="AC283" i="68" s="1"/>
  <c r="AC55" i="68"/>
  <c r="AC40" i="72" s="1"/>
  <c r="AC39" i="72" s="1"/>
  <c r="AC183" i="68"/>
  <c r="AC282" i="68" s="1"/>
  <c r="AC187" i="68"/>
  <c r="AC284" i="68" s="1"/>
  <c r="AC222" i="68"/>
  <c r="AC288" i="68" s="1"/>
  <c r="AC278" i="68"/>
  <c r="AC291" i="68" s="1"/>
  <c r="AC313" i="68"/>
  <c r="AC36" i="72" s="1"/>
  <c r="AC262" i="68"/>
  <c r="AC290" i="68" s="1"/>
  <c r="AA27" i="72"/>
  <c r="AA52" i="72" s="1"/>
  <c r="AA34" i="72"/>
  <c r="AA35" i="71" s="1"/>
  <c r="AA43" i="71"/>
  <c r="AB123" i="68"/>
  <c r="AA65" i="72"/>
  <c r="AA64" i="72" s="1"/>
  <c r="AA68" i="71"/>
  <c r="AB119" i="71"/>
  <c r="AB121" i="71"/>
  <c r="AB118" i="71"/>
  <c r="AB99" i="71"/>
  <c r="AB102" i="71"/>
  <c r="AB120" i="71"/>
  <c r="AB108" i="71"/>
  <c r="AB112" i="71"/>
  <c r="AD16" i="72"/>
  <c r="AD34" i="68"/>
  <c r="AB133" i="72"/>
  <c r="AA150" i="71"/>
  <c r="AB132" i="72"/>
  <c r="AA149" i="71"/>
  <c r="AB124" i="72"/>
  <c r="AA139" i="71"/>
  <c r="AA143" i="71"/>
  <c r="AB128" i="72"/>
  <c r="AB117" i="72"/>
  <c r="AA130" i="71"/>
  <c r="AD35" i="68"/>
  <c r="AC99" i="72"/>
  <c r="AC108" i="71" s="1"/>
  <c r="AC92" i="72"/>
  <c r="AC99" i="71" s="1"/>
  <c r="AC109" i="72"/>
  <c r="AC110" i="72"/>
  <c r="AC103" i="72"/>
  <c r="AC95" i="72"/>
  <c r="AC102" i="71" s="1"/>
  <c r="AC107" i="72"/>
  <c r="AC118" i="71" s="1"/>
  <c r="AC108" i="72"/>
  <c r="AC119" i="71" s="1"/>
  <c r="AB134" i="72"/>
  <c r="AA151" i="71"/>
  <c r="AD36" i="68"/>
  <c r="AC417" i="68"/>
  <c r="AC476" i="68" s="1"/>
  <c r="AA152" i="71"/>
  <c r="AB135" i="72"/>
  <c r="AB120" i="72"/>
  <c r="AA133" i="71"/>
  <c r="AD17" i="72"/>
  <c r="AD37" i="68"/>
  <c r="AD38" i="68"/>
  <c r="AB61" i="72"/>
  <c r="AB68" i="71" s="1"/>
  <c r="AB37" i="71"/>
  <c r="AB102" i="72"/>
  <c r="AB187" i="72"/>
  <c r="AB43" i="71"/>
  <c r="AB106" i="72"/>
  <c r="AA127" i="72"/>
  <c r="AA111" i="71"/>
  <c r="AT2" i="71"/>
  <c r="AT2" i="68"/>
  <c r="AT3" i="3"/>
  <c r="AU2" i="3" s="1"/>
  <c r="AC3" i="62"/>
  <c r="AC3" i="65"/>
  <c r="AC3" i="64"/>
  <c r="AE36" i="64"/>
  <c r="AE38" i="64"/>
  <c r="AE45" i="64"/>
  <c r="AE46" i="64"/>
  <c r="AE37" i="64"/>
  <c r="AE35" i="64"/>
  <c r="AE39" i="64"/>
  <c r="AF6" i="64"/>
  <c r="AF6" i="65"/>
  <c r="AF7" i="64"/>
  <c r="AF7" i="65"/>
  <c r="AF5" i="64"/>
  <c r="AF5" i="65"/>
  <c r="AD2" i="64"/>
  <c r="AD2" i="65"/>
  <c r="AF6" i="62"/>
  <c r="AF5" i="62"/>
  <c r="AF7" i="62"/>
  <c r="AS159" i="68" l="1"/>
  <c r="AS210" i="68"/>
  <c r="AT3" i="72"/>
  <c r="AS167" i="68"/>
  <c r="AS47" i="68"/>
  <c r="AS51" i="68" s="1"/>
  <c r="AS54" i="65"/>
  <c r="AT28" i="3"/>
  <c r="AT20" i="65"/>
  <c r="AT20" i="68"/>
  <c r="AR270" i="68"/>
  <c r="AR274" i="68" s="1"/>
  <c r="AR305" i="68"/>
  <c r="AR309" i="68" s="1"/>
  <c r="AR232" i="68"/>
  <c r="AR238" i="68" s="1"/>
  <c r="AR254" i="68"/>
  <c r="AR258" i="68" s="1"/>
  <c r="AR203" i="68"/>
  <c r="AR68" i="65"/>
  <c r="AR63" i="68"/>
  <c r="AR69" i="68" s="1"/>
  <c r="AT24" i="3"/>
  <c r="AS112" i="68"/>
  <c r="AS383" i="68"/>
  <c r="AA131" i="72"/>
  <c r="AA148" i="71" s="1"/>
  <c r="AA117" i="71"/>
  <c r="AD73" i="68"/>
  <c r="AD129" i="68" s="1"/>
  <c r="AD89" i="68"/>
  <c r="AD130" i="68" s="1"/>
  <c r="AA42" i="71"/>
  <c r="AA49" i="71" s="1"/>
  <c r="AA187" i="72"/>
  <c r="AC112" i="71"/>
  <c r="AC121" i="71"/>
  <c r="AD119" i="68"/>
  <c r="AD118" i="68"/>
  <c r="AD120" i="68"/>
  <c r="AD121" i="68"/>
  <c r="AD55" i="68"/>
  <c r="AD40" i="72" s="1"/>
  <c r="AD39" i="72" s="1"/>
  <c r="AD185" i="68"/>
  <c r="AD283" i="68" s="1"/>
  <c r="AD222" i="68"/>
  <c r="AD288" i="68" s="1"/>
  <c r="AD183" i="68"/>
  <c r="AD282" i="68" s="1"/>
  <c r="AD187" i="68"/>
  <c r="AD284" i="68" s="1"/>
  <c r="AD262" i="68"/>
  <c r="AD290" i="68" s="1"/>
  <c r="AD313" i="68"/>
  <c r="AD36" i="72" s="1"/>
  <c r="AD278" i="68"/>
  <c r="AD291" i="68" s="1"/>
  <c r="AB131" i="68"/>
  <c r="AC123" i="68"/>
  <c r="AC131" i="68" s="1"/>
  <c r="AC133" i="68" s="1"/>
  <c r="AB65" i="72"/>
  <c r="AB74" i="71" s="1"/>
  <c r="AA74" i="71"/>
  <c r="AA93" i="72"/>
  <c r="AA100" i="71" s="1"/>
  <c r="AA26" i="71"/>
  <c r="AB42" i="71"/>
  <c r="AB49" i="71" s="1"/>
  <c r="AA57" i="71"/>
  <c r="AB111" i="71"/>
  <c r="AD417" i="68"/>
  <c r="AD476" i="68" s="1"/>
  <c r="AA100" i="72"/>
  <c r="AA125" i="72" s="1"/>
  <c r="AA73" i="71"/>
  <c r="AA59" i="72"/>
  <c r="AE17" i="72"/>
  <c r="AC134" i="72"/>
  <c r="AB151" i="71"/>
  <c r="AC128" i="72"/>
  <c r="AB143" i="71"/>
  <c r="AE16" i="72"/>
  <c r="AB139" i="71"/>
  <c r="AC124" i="72"/>
  <c r="AC133" i="72"/>
  <c r="AB150" i="71"/>
  <c r="AE37" i="68"/>
  <c r="AC120" i="72"/>
  <c r="AB133" i="71"/>
  <c r="AC120" i="71"/>
  <c r="AB130" i="71"/>
  <c r="AC117" i="72"/>
  <c r="AE36" i="68"/>
  <c r="AC132" i="72"/>
  <c r="AB149" i="71"/>
  <c r="AE35" i="68"/>
  <c r="AB152" i="71"/>
  <c r="AC135" i="72"/>
  <c r="AD99" i="72"/>
  <c r="AD95" i="72"/>
  <c r="AD109" i="72"/>
  <c r="AD120" i="71" s="1"/>
  <c r="AD108" i="72"/>
  <c r="AD119" i="71" s="1"/>
  <c r="AD110" i="72"/>
  <c r="AD92" i="72"/>
  <c r="AD99" i="71" s="1"/>
  <c r="AD107" i="72"/>
  <c r="AD118" i="71" s="1"/>
  <c r="AD103" i="72"/>
  <c r="AE38" i="68"/>
  <c r="AE34" i="68"/>
  <c r="AA116" i="71"/>
  <c r="AA161" i="72"/>
  <c r="AC43" i="71"/>
  <c r="AC106" i="72"/>
  <c r="AB127" i="72"/>
  <c r="AA142" i="71"/>
  <c r="AB105" i="72"/>
  <c r="AB117" i="71"/>
  <c r="AC61" i="72"/>
  <c r="AC68" i="71" s="1"/>
  <c r="AC37" i="71"/>
  <c r="AC102" i="72"/>
  <c r="AT3" i="71"/>
  <c r="AT3" i="68"/>
  <c r="AD2" i="62"/>
  <c r="AF46" i="64"/>
  <c r="AG6" i="62"/>
  <c r="AF38" i="64"/>
  <c r="AF39" i="64"/>
  <c r="AF45" i="64"/>
  <c r="AD3" i="64"/>
  <c r="AD3" i="65"/>
  <c r="AG5" i="64"/>
  <c r="AG5" i="65"/>
  <c r="AF37" i="64"/>
  <c r="AF35" i="64"/>
  <c r="AF36" i="64"/>
  <c r="AG6" i="64"/>
  <c r="AG6" i="65"/>
  <c r="AG7" i="64"/>
  <c r="AG7" i="65"/>
  <c r="AD3" i="62"/>
  <c r="AG7" i="62"/>
  <c r="AG5" i="62"/>
  <c r="AR204" i="68" l="1"/>
  <c r="AR216" i="68" s="1"/>
  <c r="AR79" i="68"/>
  <c r="AR85" i="68" s="1"/>
  <c r="AT81" i="65"/>
  <c r="AT39" i="65"/>
  <c r="AT22" i="68"/>
  <c r="AT210" i="68" s="1"/>
  <c r="AT22" i="65"/>
  <c r="AT26" i="65"/>
  <c r="AT26" i="68"/>
  <c r="AT383" i="68" s="1"/>
  <c r="AS56" i="65"/>
  <c r="AS66" i="65"/>
  <c r="AS87" i="65" s="1"/>
  <c r="AS147" i="68"/>
  <c r="AS163" i="68" s="1"/>
  <c r="AB131" i="72"/>
  <c r="AB148" i="71" s="1"/>
  <c r="AU2" i="72"/>
  <c r="AU22" i="3"/>
  <c r="AT110" i="68"/>
  <c r="AT108" i="68"/>
  <c r="AA130" i="72"/>
  <c r="AA147" i="71" s="1"/>
  <c r="AA154" i="71" s="1"/>
  <c r="AT109" i="68"/>
  <c r="AT107" i="68"/>
  <c r="AT161" i="68"/>
  <c r="AA123" i="71"/>
  <c r="AE73" i="68"/>
  <c r="AE129" i="68" s="1"/>
  <c r="AE89" i="68"/>
  <c r="AE130" i="68" s="1"/>
  <c r="AC42" i="71"/>
  <c r="AC49" i="71" s="1"/>
  <c r="AC187" i="72"/>
  <c r="AA80" i="71"/>
  <c r="AE55" i="68"/>
  <c r="AE40" i="72" s="1"/>
  <c r="AE39" i="72" s="1"/>
  <c r="AE185" i="68"/>
  <c r="AE283" i="68" s="1"/>
  <c r="AE222" i="68"/>
  <c r="AE288" i="68" s="1"/>
  <c r="AE187" i="68"/>
  <c r="AE284" i="68" s="1"/>
  <c r="AE183" i="68"/>
  <c r="AE282" i="68" s="1"/>
  <c r="AE278" i="68"/>
  <c r="AE291" i="68" s="1"/>
  <c r="AE262" i="68"/>
  <c r="AE290" i="68" s="1"/>
  <c r="AE313" i="68"/>
  <c r="AE36" i="72" s="1"/>
  <c r="AE120" i="68"/>
  <c r="AE118" i="68"/>
  <c r="AE119" i="68"/>
  <c r="AE121" i="68"/>
  <c r="AC34" i="72"/>
  <c r="AC27" i="72"/>
  <c r="AC26" i="71" s="1"/>
  <c r="AD123" i="68"/>
  <c r="AD131" i="68" s="1"/>
  <c r="AD133" i="68" s="1"/>
  <c r="AB133" i="68"/>
  <c r="AA118" i="72"/>
  <c r="AB64" i="72"/>
  <c r="AB73" i="71" s="1"/>
  <c r="AB80" i="71" s="1"/>
  <c r="AA66" i="71"/>
  <c r="AC65" i="72"/>
  <c r="AC74" i="71" s="1"/>
  <c r="AE417" i="68"/>
  <c r="AE476" i="68" s="1"/>
  <c r="AA109" i="71"/>
  <c r="AD112" i="71"/>
  <c r="AD102" i="71"/>
  <c r="AC143" i="71"/>
  <c r="AD128" i="72"/>
  <c r="AD121" i="71"/>
  <c r="AD108" i="71"/>
  <c r="AD135" i="72"/>
  <c r="AC152" i="71"/>
  <c r="AC130" i="71"/>
  <c r="AD117" i="72"/>
  <c r="AD120" i="72"/>
  <c r="AC133" i="71"/>
  <c r="AF37" i="68"/>
  <c r="AE95" i="72"/>
  <c r="AE102" i="71" s="1"/>
  <c r="AE109" i="72"/>
  <c r="AE120" i="71" s="1"/>
  <c r="AE92" i="72"/>
  <c r="AE99" i="72"/>
  <c r="AE108" i="71" s="1"/>
  <c r="AE103" i="72"/>
  <c r="AE110" i="72"/>
  <c r="AE107" i="72"/>
  <c r="AE118" i="71" s="1"/>
  <c r="AE108" i="72"/>
  <c r="AD134" i="72"/>
  <c r="AC151" i="71"/>
  <c r="AF17" i="72"/>
  <c r="AF35" i="68"/>
  <c r="AF16" i="72"/>
  <c r="AC150" i="71"/>
  <c r="AD133" i="72"/>
  <c r="AF36" i="68"/>
  <c r="AF34" i="68"/>
  <c r="AF38" i="68"/>
  <c r="AD132" i="72"/>
  <c r="AC149" i="71"/>
  <c r="AD124" i="72"/>
  <c r="AC139" i="71"/>
  <c r="AB116" i="71"/>
  <c r="AB123" i="71" s="1"/>
  <c r="AB161" i="72"/>
  <c r="AA140" i="71"/>
  <c r="AC127" i="72"/>
  <c r="AB142" i="71"/>
  <c r="AD61" i="72"/>
  <c r="AD68" i="71" s="1"/>
  <c r="AD37" i="71"/>
  <c r="AD102" i="72"/>
  <c r="AD111" i="71" s="1"/>
  <c r="AC117" i="71"/>
  <c r="AC105" i="72"/>
  <c r="AC111" i="71"/>
  <c r="AD43" i="71"/>
  <c r="AD106" i="72"/>
  <c r="AU2" i="71"/>
  <c r="AU2" i="68"/>
  <c r="AU3" i="3"/>
  <c r="AV2" i="3" s="1"/>
  <c r="AG45" i="64"/>
  <c r="AG36" i="64"/>
  <c r="AG38" i="64"/>
  <c r="AG46" i="64"/>
  <c r="AG35" i="64"/>
  <c r="AG39" i="64"/>
  <c r="AG37" i="64"/>
  <c r="AH5" i="64"/>
  <c r="AH5" i="65"/>
  <c r="AH6" i="64"/>
  <c r="AH6" i="65"/>
  <c r="AH7" i="64"/>
  <c r="AH7" i="65"/>
  <c r="AE2" i="64"/>
  <c r="AE2" i="65"/>
  <c r="AE2" i="62"/>
  <c r="AH6" i="62"/>
  <c r="AH5" i="62"/>
  <c r="AH7" i="62"/>
  <c r="AU3" i="72" l="1"/>
  <c r="AB130" i="72"/>
  <c r="AB147" i="71" s="1"/>
  <c r="AB154" i="71" s="1"/>
  <c r="AT167" i="68"/>
  <c r="AS232" i="68"/>
  <c r="AS238" i="68" s="1"/>
  <c r="AS270" i="68"/>
  <c r="AS274" i="68" s="1"/>
  <c r="AS254" i="68"/>
  <c r="AS258" i="68" s="1"/>
  <c r="AS305" i="68"/>
  <c r="AS309" i="68" s="1"/>
  <c r="AT47" i="68"/>
  <c r="AT51" i="68" s="1"/>
  <c r="AT54" i="65"/>
  <c r="AT159" i="68"/>
  <c r="AT175" i="68"/>
  <c r="AU28" i="3"/>
  <c r="AU20" i="65"/>
  <c r="AU20" i="68"/>
  <c r="AS63" i="68"/>
  <c r="AS69" i="68" s="1"/>
  <c r="AS203" i="68"/>
  <c r="AS68" i="65"/>
  <c r="AC131" i="72"/>
  <c r="AC130" i="72" s="1"/>
  <c r="AC147" i="71" s="1"/>
  <c r="AT112" i="68"/>
  <c r="AU24" i="3"/>
  <c r="AF73" i="68"/>
  <c r="AF129" i="68" s="1"/>
  <c r="AF89" i="68"/>
  <c r="AF130" i="68" s="1"/>
  <c r="AD42" i="71"/>
  <c r="AD49" i="71" s="1"/>
  <c r="AD187" i="72"/>
  <c r="AE121" i="71"/>
  <c r="AF118" i="68"/>
  <c r="AF119" i="68"/>
  <c r="AF120" i="68"/>
  <c r="AF121" i="68"/>
  <c r="AF417" i="68"/>
  <c r="AF476" i="68" s="1"/>
  <c r="AF185" i="68"/>
  <c r="AF283" i="68" s="1"/>
  <c r="AF55" i="68"/>
  <c r="AF40" i="72" s="1"/>
  <c r="AF39" i="72" s="1"/>
  <c r="AF222" i="68"/>
  <c r="AF288" i="68" s="1"/>
  <c r="AF187" i="68"/>
  <c r="AF284" i="68" s="1"/>
  <c r="AF262" i="68"/>
  <c r="AF290" i="68" s="1"/>
  <c r="AF313" i="68"/>
  <c r="AF36" i="72" s="1"/>
  <c r="AF278" i="68"/>
  <c r="AF291" i="68" s="1"/>
  <c r="AF183" i="68"/>
  <c r="AF282" i="68" s="1"/>
  <c r="AB27" i="72"/>
  <c r="AB34" i="72"/>
  <c r="AD27" i="72"/>
  <c r="AD26" i="71" s="1"/>
  <c r="AD34" i="72"/>
  <c r="AD35" i="71" s="1"/>
  <c r="AC93" i="72"/>
  <c r="AC100" i="71" s="1"/>
  <c r="AA131" i="71"/>
  <c r="AC100" i="72"/>
  <c r="AC109" i="71" s="1"/>
  <c r="AC35" i="71"/>
  <c r="AE123" i="68"/>
  <c r="AE131" i="68" s="1"/>
  <c r="AE133" i="68" s="1"/>
  <c r="AC64" i="72"/>
  <c r="AC73" i="71" s="1"/>
  <c r="AC80" i="71" s="1"/>
  <c r="AD65" i="72"/>
  <c r="AD74" i="71" s="1"/>
  <c r="AE99" i="71"/>
  <c r="AE119" i="71"/>
  <c r="AG34" i="68"/>
  <c r="AG17" i="72"/>
  <c r="AE112" i="71"/>
  <c r="AD133" i="71"/>
  <c r="AE120" i="72"/>
  <c r="AG37" i="68"/>
  <c r="AG35" i="68"/>
  <c r="AE117" i="72"/>
  <c r="AD130" i="71"/>
  <c r="AE128" i="72"/>
  <c r="AD143" i="71"/>
  <c r="AG16" i="72"/>
  <c r="AD139" i="71"/>
  <c r="AE124" i="72"/>
  <c r="AE133" i="72"/>
  <c r="AD150" i="71"/>
  <c r="AE134" i="72"/>
  <c r="AD151" i="71"/>
  <c r="AG36" i="68"/>
  <c r="AF99" i="72"/>
  <c r="AF108" i="71" s="1"/>
  <c r="AF108" i="72"/>
  <c r="AF107" i="72"/>
  <c r="AF118" i="71" s="1"/>
  <c r="AF109" i="72"/>
  <c r="AF103" i="72"/>
  <c r="AF95" i="72"/>
  <c r="AF102" i="71" s="1"/>
  <c r="AF110" i="72"/>
  <c r="AF92" i="72"/>
  <c r="AE135" i="72"/>
  <c r="AD152" i="71"/>
  <c r="AG38" i="68"/>
  <c r="AE132" i="72"/>
  <c r="AD149" i="71"/>
  <c r="AC116" i="71"/>
  <c r="AC123" i="71" s="1"/>
  <c r="AC161" i="72"/>
  <c r="AE61" i="72"/>
  <c r="AE68" i="71" s="1"/>
  <c r="AE37" i="71"/>
  <c r="AE102" i="72"/>
  <c r="AE111" i="71" s="1"/>
  <c r="AD127" i="72"/>
  <c r="AC142" i="71"/>
  <c r="AE43" i="71"/>
  <c r="AE106" i="72"/>
  <c r="AD117" i="71"/>
  <c r="AD105" i="72"/>
  <c r="AU3" i="71"/>
  <c r="AU3" i="68"/>
  <c r="AH35" i="64"/>
  <c r="AH38" i="64"/>
  <c r="AH45" i="64"/>
  <c r="AH46" i="64"/>
  <c r="AI5" i="64"/>
  <c r="AI5" i="65"/>
  <c r="AE3" i="64"/>
  <c r="AE3" i="65"/>
  <c r="AH36" i="64"/>
  <c r="AH37" i="64"/>
  <c r="AI7" i="64"/>
  <c r="AI7" i="65"/>
  <c r="AH39" i="64"/>
  <c r="AI6" i="64"/>
  <c r="AI6" i="65"/>
  <c r="AE3" i="62"/>
  <c r="AI6" i="62"/>
  <c r="AI7" i="62"/>
  <c r="AI5" i="62"/>
  <c r="AD131" i="72" l="1"/>
  <c r="AD130" i="72" s="1"/>
  <c r="AD147" i="71" s="1"/>
  <c r="AS204" i="68"/>
  <c r="AS216" i="68" s="1"/>
  <c r="AS79" i="68"/>
  <c r="AS85" i="68" s="1"/>
  <c r="AU22" i="65"/>
  <c r="AU22" i="68"/>
  <c r="AU175" i="68" s="1"/>
  <c r="AU81" i="65"/>
  <c r="AU39" i="65"/>
  <c r="AT56" i="65"/>
  <c r="AT66" i="65"/>
  <c r="AT87" i="65" s="1"/>
  <c r="AT147" i="68"/>
  <c r="AT163" i="68" s="1"/>
  <c r="AU26" i="65"/>
  <c r="AU26" i="68"/>
  <c r="AC148" i="71"/>
  <c r="AC154" i="71" s="1"/>
  <c r="AV2" i="72"/>
  <c r="AV22" i="3"/>
  <c r="AU107" i="68"/>
  <c r="AU110" i="68"/>
  <c r="AU108" i="68"/>
  <c r="AU109" i="68"/>
  <c r="AU161" i="68"/>
  <c r="AG73" i="68"/>
  <c r="AG129" i="68" s="1"/>
  <c r="AG89" i="68"/>
  <c r="AG130" i="68" s="1"/>
  <c r="AE42" i="71"/>
  <c r="AE49" i="71" s="1"/>
  <c r="AE187" i="72"/>
  <c r="AF121" i="71"/>
  <c r="AF112" i="71"/>
  <c r="AD93" i="72"/>
  <c r="AD100" i="71" s="1"/>
  <c r="AG55" i="68"/>
  <c r="AG40" i="72" s="1"/>
  <c r="AG39" i="72" s="1"/>
  <c r="AG185" i="68"/>
  <c r="AG283" i="68" s="1"/>
  <c r="AG222" i="68"/>
  <c r="AG288" i="68" s="1"/>
  <c r="AG187" i="68"/>
  <c r="AG284" i="68" s="1"/>
  <c r="AG278" i="68"/>
  <c r="AG291" i="68" s="1"/>
  <c r="AG262" i="68"/>
  <c r="AG290" i="68" s="1"/>
  <c r="AG313" i="68"/>
  <c r="AG36" i="72" s="1"/>
  <c r="AG183" i="68"/>
  <c r="AG282" i="68" s="1"/>
  <c r="AG119" i="68"/>
  <c r="AG118" i="68"/>
  <c r="AG120" i="68"/>
  <c r="AG121" i="68"/>
  <c r="AD100" i="72"/>
  <c r="AD109" i="71" s="1"/>
  <c r="AE27" i="72"/>
  <c r="AE93" i="72" s="1"/>
  <c r="AE34" i="72"/>
  <c r="AE100" i="72" s="1"/>
  <c r="AE109" i="71" s="1"/>
  <c r="AB35" i="71"/>
  <c r="AB100" i="72"/>
  <c r="AB59" i="72"/>
  <c r="AB52" i="72"/>
  <c r="AB26" i="71"/>
  <c r="AB93" i="72"/>
  <c r="AF123" i="68"/>
  <c r="AF131" i="68" s="1"/>
  <c r="AF133" i="68" s="1"/>
  <c r="AE65" i="72"/>
  <c r="AF65" i="72" s="1"/>
  <c r="AD64" i="72"/>
  <c r="AD73" i="71" s="1"/>
  <c r="AD80" i="71" s="1"/>
  <c r="AG417" i="68"/>
  <c r="AG476" i="68" s="1"/>
  <c r="AH17" i="72"/>
  <c r="AF120" i="71"/>
  <c r="AF135" i="72"/>
  <c r="AE152" i="71"/>
  <c r="AH36" i="68"/>
  <c r="AF133" i="72"/>
  <c r="AE150" i="71"/>
  <c r="AF128" i="72"/>
  <c r="AE143" i="71"/>
  <c r="AH38" i="68"/>
  <c r="AH37" i="68"/>
  <c r="AH35" i="68"/>
  <c r="AH34" i="68"/>
  <c r="AE139" i="71"/>
  <c r="AF124" i="72"/>
  <c r="AE149" i="71"/>
  <c r="AF132" i="72"/>
  <c r="AF99" i="71"/>
  <c r="AF117" i="72"/>
  <c r="AE130" i="71"/>
  <c r="AF120" i="72"/>
  <c r="AE133" i="71"/>
  <c r="AH16" i="72"/>
  <c r="AG95" i="72"/>
  <c r="AG92" i="72"/>
  <c r="AG99" i="71" s="1"/>
  <c r="AG109" i="72"/>
  <c r="AG120" i="71" s="1"/>
  <c r="AG108" i="72"/>
  <c r="AG119" i="71" s="1"/>
  <c r="AG103" i="72"/>
  <c r="AG99" i="72"/>
  <c r="AG108" i="71" s="1"/>
  <c r="AG110" i="72"/>
  <c r="AG107" i="72"/>
  <c r="AG118" i="71" s="1"/>
  <c r="AF119" i="71"/>
  <c r="AE151" i="71"/>
  <c r="AF134" i="72"/>
  <c r="AD116" i="71"/>
  <c r="AD123" i="71" s="1"/>
  <c r="AD161" i="72"/>
  <c r="AE117" i="71"/>
  <c r="AE105" i="72"/>
  <c r="AF43" i="71"/>
  <c r="AF106" i="72"/>
  <c r="AF61" i="72"/>
  <c r="AF68" i="71" s="1"/>
  <c r="AF37" i="71"/>
  <c r="AF102" i="72"/>
  <c r="AE127" i="72"/>
  <c r="AD142" i="71"/>
  <c r="AD148" i="71"/>
  <c r="AV2" i="71"/>
  <c r="AV3" i="3"/>
  <c r="AW2" i="3" s="1"/>
  <c r="AV2" i="68"/>
  <c r="AI39" i="64"/>
  <c r="AI35" i="64"/>
  <c r="AI36" i="64"/>
  <c r="AI45" i="64"/>
  <c r="AJ5" i="64"/>
  <c r="AJ5" i="65"/>
  <c r="AJ7" i="64"/>
  <c r="AJ7" i="65"/>
  <c r="AI46" i="64"/>
  <c r="AJ6" i="64"/>
  <c r="AJ6" i="65"/>
  <c r="AF2" i="64"/>
  <c r="AF2" i="65"/>
  <c r="AI38" i="64"/>
  <c r="AI37" i="64"/>
  <c r="AJ6" i="62"/>
  <c r="AF2" i="62"/>
  <c r="AJ5" i="62"/>
  <c r="AJ7" i="62"/>
  <c r="AE131" i="72" l="1"/>
  <c r="AV3" i="72"/>
  <c r="AU167" i="68"/>
  <c r="AU159" i="68"/>
  <c r="AT305" i="68"/>
  <c r="AT309" i="68" s="1"/>
  <c r="AT232" i="68"/>
  <c r="AT238" i="68" s="1"/>
  <c r="AT270" i="68"/>
  <c r="AT274" i="68" s="1"/>
  <c r="AT254" i="68"/>
  <c r="AT258" i="68" s="1"/>
  <c r="AT68" i="65"/>
  <c r="AT63" i="68"/>
  <c r="AT69" i="68" s="1"/>
  <c r="AT203" i="68"/>
  <c r="AU54" i="65"/>
  <c r="AU47" i="68"/>
  <c r="AU51" i="68" s="1"/>
  <c r="AU210" i="68"/>
  <c r="AV28" i="3"/>
  <c r="AV20" i="65"/>
  <c r="AV20" i="68"/>
  <c r="AV110" i="68" s="1"/>
  <c r="AU112" i="68"/>
  <c r="AV24" i="3"/>
  <c r="AU383" i="68"/>
  <c r="AH89" i="68"/>
  <c r="AH130" i="68" s="1"/>
  <c r="AH73" i="68"/>
  <c r="AH129" i="68" s="1"/>
  <c r="AF42" i="71"/>
  <c r="AF49" i="71" s="1"/>
  <c r="AF187" i="72"/>
  <c r="AD154" i="71"/>
  <c r="AG121" i="71"/>
  <c r="AG112" i="71"/>
  <c r="AH118" i="68"/>
  <c r="AH119" i="68"/>
  <c r="AH121" i="68"/>
  <c r="AH120" i="68"/>
  <c r="AH55" i="68"/>
  <c r="AH40" i="72" s="1"/>
  <c r="AH39" i="72" s="1"/>
  <c r="AH185" i="68"/>
  <c r="AH283" i="68" s="1"/>
  <c r="AH222" i="68"/>
  <c r="AH288" i="68" s="1"/>
  <c r="AH187" i="68"/>
  <c r="AH284" i="68" s="1"/>
  <c r="AH278" i="68"/>
  <c r="AH291" i="68" s="1"/>
  <c r="AH262" i="68"/>
  <c r="AH290" i="68" s="1"/>
  <c r="AH313" i="68"/>
  <c r="AH36" i="72" s="1"/>
  <c r="AH183" i="68"/>
  <c r="AH282" i="68" s="1"/>
  <c r="AE26" i="71"/>
  <c r="AC59" i="72"/>
  <c r="AB66" i="71"/>
  <c r="AB57" i="71"/>
  <c r="AC52" i="72"/>
  <c r="AB125" i="72"/>
  <c r="AB109" i="71"/>
  <c r="AB100" i="71"/>
  <c r="AB118" i="72"/>
  <c r="AF27" i="72"/>
  <c r="AF93" i="72" s="1"/>
  <c r="AF34" i="72"/>
  <c r="AF100" i="72" s="1"/>
  <c r="AF109" i="71" s="1"/>
  <c r="AE35" i="71"/>
  <c r="AG123" i="68"/>
  <c r="AE64" i="72"/>
  <c r="AE73" i="71" s="1"/>
  <c r="AE74" i="71"/>
  <c r="AG102" i="71"/>
  <c r="AF139" i="71"/>
  <c r="AG124" i="72"/>
  <c r="AG133" i="72"/>
  <c r="AF150" i="71"/>
  <c r="AI36" i="68"/>
  <c r="AH417" i="68"/>
  <c r="AH476" i="68" s="1"/>
  <c r="AG117" i="72"/>
  <c r="AF130" i="71"/>
  <c r="AI38" i="68"/>
  <c r="AI37" i="68"/>
  <c r="AG120" i="72"/>
  <c r="AF133" i="71"/>
  <c r="AI16" i="72"/>
  <c r="AG134" i="72"/>
  <c r="AF151" i="71"/>
  <c r="AH95" i="72"/>
  <c r="AH102" i="71" s="1"/>
  <c r="AH99" i="72"/>
  <c r="AH108" i="71" s="1"/>
  <c r="AH92" i="72"/>
  <c r="AH99" i="71" s="1"/>
  <c r="AH109" i="72"/>
  <c r="AH120" i="71" s="1"/>
  <c r="AH110" i="72"/>
  <c r="AH107" i="72"/>
  <c r="AH118" i="71" s="1"/>
  <c r="AH108" i="72"/>
  <c r="AH119" i="71" s="1"/>
  <c r="AH103" i="72"/>
  <c r="AG132" i="72"/>
  <c r="AF149" i="71"/>
  <c r="AI17" i="72"/>
  <c r="AI35" i="68"/>
  <c r="AI34" i="68"/>
  <c r="AG128" i="72"/>
  <c r="AF143" i="71"/>
  <c r="AG135" i="72"/>
  <c r="AF152" i="71"/>
  <c r="AE116" i="71"/>
  <c r="AE123" i="71" s="1"/>
  <c r="AE161" i="72"/>
  <c r="AF117" i="71"/>
  <c r="AF105" i="72"/>
  <c r="AF64" i="72"/>
  <c r="AF73" i="71" s="1"/>
  <c r="AF74" i="71"/>
  <c r="AF127" i="72"/>
  <c r="AE142" i="71"/>
  <c r="AF111" i="71"/>
  <c r="AG43" i="71"/>
  <c r="AG106" i="72"/>
  <c r="AE100" i="71"/>
  <c r="AE130" i="72"/>
  <c r="AE147" i="71" s="1"/>
  <c r="AE148" i="71"/>
  <c r="AF131" i="72"/>
  <c r="AG61" i="72"/>
  <c r="AG68" i="71" s="1"/>
  <c r="AG37" i="71"/>
  <c r="AG102" i="72"/>
  <c r="AG111" i="71" s="1"/>
  <c r="AG65" i="72"/>
  <c r="AV3" i="71"/>
  <c r="AV3" i="68"/>
  <c r="AJ45" i="64"/>
  <c r="AJ37" i="64"/>
  <c r="AJ46" i="64"/>
  <c r="AJ39" i="64"/>
  <c r="AJ35" i="64"/>
  <c r="AJ38" i="64"/>
  <c r="AJ36" i="64"/>
  <c r="AK7" i="64"/>
  <c r="AK7" i="65"/>
  <c r="AK5" i="64"/>
  <c r="AK5" i="65"/>
  <c r="AK6" i="64"/>
  <c r="AK6" i="65"/>
  <c r="AF3" i="64"/>
  <c r="AF3" i="65"/>
  <c r="AF3" i="62"/>
  <c r="AK6" i="62"/>
  <c r="AK7" i="62"/>
  <c r="AK5" i="62"/>
  <c r="AU56" i="65" l="1"/>
  <c r="AU66" i="65"/>
  <c r="AU87" i="65" s="1"/>
  <c r="AU147" i="68"/>
  <c r="AU163" i="68" s="1"/>
  <c r="AV81" i="65"/>
  <c r="AV39" i="65"/>
  <c r="AT204" i="68"/>
  <c r="AT216" i="68" s="1"/>
  <c r="AT79" i="68"/>
  <c r="AT85" i="68" s="1"/>
  <c r="AV26" i="68"/>
  <c r="AV383" i="68" s="1"/>
  <c r="AV26" i="65"/>
  <c r="AV22" i="65"/>
  <c r="AV22" i="68"/>
  <c r="AV175" i="68" s="1"/>
  <c r="AW2" i="72"/>
  <c r="AW22" i="3"/>
  <c r="AV107" i="68"/>
  <c r="AV210" i="68"/>
  <c r="AV109" i="68"/>
  <c r="AV108" i="68"/>
  <c r="AV161" i="68"/>
  <c r="AI89" i="68"/>
  <c r="AI130" i="68" s="1"/>
  <c r="AI73" i="68"/>
  <c r="AI129" i="68" s="1"/>
  <c r="AG42" i="71"/>
  <c r="AG49" i="71" s="1"/>
  <c r="AG187" i="72"/>
  <c r="AH121" i="71"/>
  <c r="AH112" i="71"/>
  <c r="AE154" i="71"/>
  <c r="AF80" i="71"/>
  <c r="AE80" i="71"/>
  <c r="AF26" i="71"/>
  <c r="AI118" i="68"/>
  <c r="AI119" i="68"/>
  <c r="AI121" i="68"/>
  <c r="AI120" i="68"/>
  <c r="AI417" i="68"/>
  <c r="AI476" i="68" s="1"/>
  <c r="AI55" i="68"/>
  <c r="AI40" i="72" s="1"/>
  <c r="AI39" i="72" s="1"/>
  <c r="AI185" i="68"/>
  <c r="AI283" i="68" s="1"/>
  <c r="AI222" i="68"/>
  <c r="AI288" i="68" s="1"/>
  <c r="AI187" i="68"/>
  <c r="AI284" i="68" s="1"/>
  <c r="AI262" i="68"/>
  <c r="AI290" i="68" s="1"/>
  <c r="AI278" i="68"/>
  <c r="AI291" i="68" s="1"/>
  <c r="AI313" i="68"/>
  <c r="AI36" i="72" s="1"/>
  <c r="AI183" i="68"/>
  <c r="AI282" i="68" s="1"/>
  <c r="AF35" i="71"/>
  <c r="AC66" i="71"/>
  <c r="AD59" i="72"/>
  <c r="AC57" i="71"/>
  <c r="AD52" i="72"/>
  <c r="AB131" i="71"/>
  <c r="AC118" i="72"/>
  <c r="AB140" i="71"/>
  <c r="AC125" i="72"/>
  <c r="AG131" i="68"/>
  <c r="AG133" i="68" s="1"/>
  <c r="AH123" i="68"/>
  <c r="AG139" i="71"/>
  <c r="AH124" i="72"/>
  <c r="AJ17" i="72"/>
  <c r="AH120" i="72"/>
  <c r="AG133" i="71"/>
  <c r="AJ16" i="72"/>
  <c r="AI99" i="72"/>
  <c r="AI108" i="71" s="1"/>
  <c r="AI108" i="72"/>
  <c r="AI119" i="71" s="1"/>
  <c r="AI92" i="72"/>
  <c r="AI99" i="71" s="1"/>
  <c r="AI109" i="72"/>
  <c r="AI120" i="71" s="1"/>
  <c r="AI103" i="72"/>
  <c r="AI107" i="72"/>
  <c r="AI118" i="71" s="1"/>
  <c r="AI110" i="72"/>
  <c r="AI95" i="72"/>
  <c r="AI102" i="71" s="1"/>
  <c r="AH135" i="72"/>
  <c r="AG152" i="71"/>
  <c r="AH134" i="72"/>
  <c r="AG151" i="71"/>
  <c r="AJ36" i="68"/>
  <c r="AG143" i="71"/>
  <c r="AH128" i="72"/>
  <c r="AH132" i="72"/>
  <c r="AG149" i="71"/>
  <c r="AH117" i="72"/>
  <c r="AG130" i="71"/>
  <c r="AJ38" i="68"/>
  <c r="AJ35" i="68"/>
  <c r="AJ37" i="68"/>
  <c r="AJ34" i="68"/>
  <c r="AH133" i="72"/>
  <c r="AG150" i="71"/>
  <c r="AF116" i="71"/>
  <c r="AF123" i="71" s="1"/>
  <c r="AF161" i="72"/>
  <c r="AG64" i="72"/>
  <c r="AG74" i="71"/>
  <c r="AH61" i="72"/>
  <c r="AH68" i="71" s="1"/>
  <c r="AH37" i="71"/>
  <c r="AH102" i="72"/>
  <c r="AH111" i="71" s="1"/>
  <c r="AG117" i="71"/>
  <c r="AG105" i="72"/>
  <c r="AF130" i="72"/>
  <c r="AF147" i="71" s="1"/>
  <c r="AF148" i="71"/>
  <c r="AG131" i="72"/>
  <c r="AH106" i="72"/>
  <c r="AH43" i="71"/>
  <c r="AF100" i="71"/>
  <c r="AG127" i="72"/>
  <c r="AF142" i="71"/>
  <c r="AH65" i="72"/>
  <c r="AW2" i="71"/>
  <c r="AW3" i="3"/>
  <c r="AX2" i="3" s="1"/>
  <c r="AW2" i="68"/>
  <c r="AK46" i="64"/>
  <c r="AK38" i="64"/>
  <c r="AK45" i="64"/>
  <c r="AK36" i="64"/>
  <c r="AK39" i="64"/>
  <c r="AK35" i="64"/>
  <c r="AK37" i="64"/>
  <c r="AL5" i="64"/>
  <c r="AL5" i="65"/>
  <c r="AL7" i="64"/>
  <c r="AL7" i="65"/>
  <c r="AL6" i="64"/>
  <c r="AL6" i="65"/>
  <c r="AG2" i="64"/>
  <c r="AG2" i="65"/>
  <c r="AL6" i="62"/>
  <c r="AG2" i="62"/>
  <c r="AL5" i="62"/>
  <c r="AL7" i="62"/>
  <c r="AW3" i="72" l="1"/>
  <c r="AV159" i="68"/>
  <c r="AW28" i="3"/>
  <c r="AW20" i="65"/>
  <c r="AW20" i="68"/>
  <c r="AV47" i="68"/>
  <c r="AV51" i="68" s="1"/>
  <c r="AV54" i="65"/>
  <c r="AU270" i="68"/>
  <c r="AU274" i="68" s="1"/>
  <c r="AU232" i="68"/>
  <c r="AU238" i="68" s="1"/>
  <c r="AU305" i="68"/>
  <c r="AU309" i="68" s="1"/>
  <c r="AU254" i="68"/>
  <c r="AU258" i="68" s="1"/>
  <c r="AV167" i="68"/>
  <c r="AU68" i="65"/>
  <c r="AU63" i="68"/>
  <c r="AU69" i="68" s="1"/>
  <c r="AU203" i="68"/>
  <c r="AW24" i="3"/>
  <c r="AV112" i="68"/>
  <c r="AJ89" i="68"/>
  <c r="AJ130" i="68" s="1"/>
  <c r="AJ73" i="68"/>
  <c r="AJ129" i="68" s="1"/>
  <c r="AH42" i="71"/>
  <c r="AH49" i="71" s="1"/>
  <c r="AH187" i="72"/>
  <c r="AF154" i="71"/>
  <c r="AI112" i="71"/>
  <c r="AI121" i="71"/>
  <c r="AJ118" i="68"/>
  <c r="AJ119" i="68"/>
  <c r="AJ120" i="68"/>
  <c r="AJ121" i="68"/>
  <c r="AJ185" i="68"/>
  <c r="AJ283" i="68" s="1"/>
  <c r="AJ55" i="68"/>
  <c r="AJ40" i="72" s="1"/>
  <c r="AJ39" i="72" s="1"/>
  <c r="AJ222" i="68"/>
  <c r="AJ288" i="68" s="1"/>
  <c r="AJ187" i="68"/>
  <c r="AJ284" i="68" s="1"/>
  <c r="AJ313" i="68"/>
  <c r="AJ36" i="72" s="1"/>
  <c r="AJ262" i="68"/>
  <c r="AJ290" i="68" s="1"/>
  <c r="AJ278" i="68"/>
  <c r="AJ291" i="68" s="1"/>
  <c r="AJ183" i="68"/>
  <c r="AJ282" i="68" s="1"/>
  <c r="AD57" i="71"/>
  <c r="AE52" i="72"/>
  <c r="AD118" i="72"/>
  <c r="AC131" i="71"/>
  <c r="AG34" i="72"/>
  <c r="AG27" i="72"/>
  <c r="AC140" i="71"/>
  <c r="AD125" i="72"/>
  <c r="AE59" i="72"/>
  <c r="AD66" i="71"/>
  <c r="AJ417" i="68"/>
  <c r="AJ476" i="68" s="1"/>
  <c r="AH131" i="68"/>
  <c r="AH133" i="68" s="1"/>
  <c r="AI123" i="68"/>
  <c r="AI131" i="68" s="1"/>
  <c r="AI133" i="68" s="1"/>
  <c r="AG73" i="71"/>
  <c r="AG80" i="71" s="1"/>
  <c r="AK17" i="72"/>
  <c r="AI120" i="72"/>
  <c r="AH133" i="71"/>
  <c r="AI117" i="72"/>
  <c r="AH130" i="71"/>
  <c r="AK36" i="68"/>
  <c r="AK37" i="68"/>
  <c r="AK34" i="68"/>
  <c r="AI124" i="72"/>
  <c r="AH139" i="71"/>
  <c r="AK38" i="68"/>
  <c r="AH150" i="71"/>
  <c r="AI133" i="72"/>
  <c r="AH152" i="71"/>
  <c r="AI135" i="72"/>
  <c r="AK35" i="68"/>
  <c r="AI132" i="72"/>
  <c r="AH149" i="71"/>
  <c r="AH151" i="71"/>
  <c r="AI134" i="72"/>
  <c r="AJ107" i="72"/>
  <c r="AJ118" i="71" s="1"/>
  <c r="AJ103" i="72"/>
  <c r="AJ110" i="72"/>
  <c r="AJ92" i="72"/>
  <c r="AJ99" i="71" s="1"/>
  <c r="AJ108" i="72"/>
  <c r="AJ119" i="71" s="1"/>
  <c r="AJ99" i="72"/>
  <c r="AJ108" i="71" s="1"/>
  <c r="AJ95" i="72"/>
  <c r="AJ102" i="71" s="1"/>
  <c r="AJ109" i="72"/>
  <c r="AJ120" i="71" s="1"/>
  <c r="AK16" i="72"/>
  <c r="AH143" i="71"/>
  <c r="AI128" i="72"/>
  <c r="AG116" i="71"/>
  <c r="AG123" i="71" s="1"/>
  <c r="AG161" i="72"/>
  <c r="AH64" i="72"/>
  <c r="AH73" i="71" s="1"/>
  <c r="AH74" i="71"/>
  <c r="AH105" i="72"/>
  <c r="AH117" i="71"/>
  <c r="AH127" i="72"/>
  <c r="AG142" i="71"/>
  <c r="AG130" i="72"/>
  <c r="AG147" i="71" s="1"/>
  <c r="AG148" i="71"/>
  <c r="AH131" i="72"/>
  <c r="AI43" i="71"/>
  <c r="AI106" i="72"/>
  <c r="AI61" i="72"/>
  <c r="AI68" i="71" s="1"/>
  <c r="AI37" i="71"/>
  <c r="AI102" i="72"/>
  <c r="AI111" i="71" s="1"/>
  <c r="AI65" i="72"/>
  <c r="AW3" i="71"/>
  <c r="AW3" i="68"/>
  <c r="AL37" i="64"/>
  <c r="AL35" i="64"/>
  <c r="AL39" i="64"/>
  <c r="AL46" i="64"/>
  <c r="AM5" i="64"/>
  <c r="AM5" i="65"/>
  <c r="AL36" i="64"/>
  <c r="AL45" i="64"/>
  <c r="AG3" i="64"/>
  <c r="AG3" i="65"/>
  <c r="AM6" i="64"/>
  <c r="AM6" i="65"/>
  <c r="AM7" i="64"/>
  <c r="AM7" i="65"/>
  <c r="AL38" i="64"/>
  <c r="AG3" i="62"/>
  <c r="AM6" i="62"/>
  <c r="AM7" i="62"/>
  <c r="AM5" i="62"/>
  <c r="AU204" i="68" l="1"/>
  <c r="AU216" i="68" s="1"/>
  <c r="AU79" i="68"/>
  <c r="AU85" i="68" s="1"/>
  <c r="AV56" i="65"/>
  <c r="AV147" i="68"/>
  <c r="AV163" i="68" s="1"/>
  <c r="AV66" i="65"/>
  <c r="AV87" i="65" s="1"/>
  <c r="AW22" i="65"/>
  <c r="AW22" i="68"/>
  <c r="AW210" i="68" s="1"/>
  <c r="AW81" i="65"/>
  <c r="AW39" i="65"/>
  <c r="AW26" i="65"/>
  <c r="AW26" i="68"/>
  <c r="AW383" i="68" s="1"/>
  <c r="AX2" i="72"/>
  <c r="AX22" i="3"/>
  <c r="AW109" i="68"/>
  <c r="AW110" i="68"/>
  <c r="AW107" i="68"/>
  <c r="AW108" i="68"/>
  <c r="AW161" i="68"/>
  <c r="AK73" i="68"/>
  <c r="AK129" i="68" s="1"/>
  <c r="AK89" i="68"/>
  <c r="AK130" i="68" s="1"/>
  <c r="AI42" i="71"/>
  <c r="AI49" i="71" s="1"/>
  <c r="AI187" i="72"/>
  <c r="AJ121" i="71"/>
  <c r="AJ112" i="71"/>
  <c r="AG154" i="71"/>
  <c r="AH80" i="71"/>
  <c r="AK185" i="68"/>
  <c r="AK283" i="68" s="1"/>
  <c r="AK55" i="68"/>
  <c r="AK40" i="72" s="1"/>
  <c r="AK39" i="72" s="1"/>
  <c r="AK222" i="68"/>
  <c r="AK288" i="68" s="1"/>
  <c r="AK187" i="68"/>
  <c r="AK284" i="68" s="1"/>
  <c r="AK262" i="68"/>
  <c r="AK290" i="68" s="1"/>
  <c r="AK278" i="68"/>
  <c r="AK291" i="68" s="1"/>
  <c r="AK313" i="68"/>
  <c r="AK36" i="72" s="1"/>
  <c r="AK183" i="68"/>
  <c r="AK282" i="68" s="1"/>
  <c r="AK118" i="68"/>
  <c r="AK119" i="68"/>
  <c r="AK120" i="68"/>
  <c r="AK121" i="68"/>
  <c r="AG35" i="71"/>
  <c r="AG100" i="72"/>
  <c r="AG109" i="71" s="1"/>
  <c r="AI27" i="72"/>
  <c r="AI26" i="71" s="1"/>
  <c r="AI34" i="72"/>
  <c r="AE118" i="72"/>
  <c r="AD131" i="71"/>
  <c r="AF59" i="72"/>
  <c r="AE66" i="71"/>
  <c r="AG26" i="71"/>
  <c r="AG93" i="72"/>
  <c r="AG100" i="71" s="1"/>
  <c r="AD140" i="71"/>
  <c r="AE125" i="72"/>
  <c r="AE57" i="71"/>
  <c r="AF52" i="72"/>
  <c r="AH27" i="72"/>
  <c r="AH93" i="72" s="1"/>
  <c r="AH100" i="71" s="1"/>
  <c r="AH34" i="72"/>
  <c r="AK417" i="68"/>
  <c r="AK476" i="68" s="1"/>
  <c r="AJ123" i="68"/>
  <c r="AJ131" i="68" s="1"/>
  <c r="AJ133" i="68" s="1"/>
  <c r="AJ128" i="72"/>
  <c r="AI143" i="71"/>
  <c r="AJ117" i="72"/>
  <c r="AI130" i="71"/>
  <c r="AL17" i="72"/>
  <c r="AK99" i="72"/>
  <c r="AK108" i="71" s="1"/>
  <c r="AK92" i="72"/>
  <c r="AK99" i="71" s="1"/>
  <c r="AK95" i="72"/>
  <c r="AK102" i="71" s="1"/>
  <c r="AK110" i="72"/>
  <c r="AK107" i="72"/>
  <c r="AK118" i="71" s="1"/>
  <c r="AK103" i="72"/>
  <c r="AK108" i="72"/>
  <c r="AK119" i="71" s="1"/>
  <c r="AK109" i="72"/>
  <c r="AK120" i="71" s="1"/>
  <c r="AJ134" i="72"/>
  <c r="AI151" i="71"/>
  <c r="AI133" i="71"/>
  <c r="AJ120" i="72"/>
  <c r="AL38" i="68"/>
  <c r="AI152" i="71"/>
  <c r="AJ135" i="72"/>
  <c r="AI139" i="71"/>
  <c r="AJ124" i="72"/>
  <c r="AL35" i="68"/>
  <c r="AL36" i="68"/>
  <c r="AJ132" i="72"/>
  <c r="AI149" i="71"/>
  <c r="AJ133" i="72"/>
  <c r="AI150" i="71"/>
  <c r="AL37" i="68"/>
  <c r="AL34" i="68"/>
  <c r="AL16" i="72"/>
  <c r="AH116" i="71"/>
  <c r="AH123" i="71" s="1"/>
  <c r="AH161" i="72"/>
  <c r="AI127" i="72"/>
  <c r="AH142" i="71"/>
  <c r="AI117" i="71"/>
  <c r="AI105" i="72"/>
  <c r="AH130" i="72"/>
  <c r="AH147" i="71" s="1"/>
  <c r="AH148" i="71"/>
  <c r="AI131" i="72"/>
  <c r="AJ43" i="71"/>
  <c r="AJ106" i="72"/>
  <c r="AI64" i="72"/>
  <c r="AI73" i="71" s="1"/>
  <c r="AI74" i="71"/>
  <c r="AJ61" i="72"/>
  <c r="AJ68" i="71" s="1"/>
  <c r="AJ37" i="71"/>
  <c r="AJ102" i="72"/>
  <c r="AJ111" i="71" s="1"/>
  <c r="AJ65" i="72"/>
  <c r="AX2" i="71"/>
  <c r="AX2" i="68"/>
  <c r="AX3" i="3"/>
  <c r="AY2" i="3" s="1"/>
  <c r="AM45" i="64"/>
  <c r="AM38" i="64"/>
  <c r="AM36" i="64"/>
  <c r="AM37" i="64"/>
  <c r="AN7" i="64"/>
  <c r="AN7" i="65"/>
  <c r="AM46" i="64"/>
  <c r="AN6" i="64"/>
  <c r="AN6" i="65"/>
  <c r="AM39" i="64"/>
  <c r="AH2" i="64"/>
  <c r="AH2" i="65"/>
  <c r="AM35" i="64"/>
  <c r="AN5" i="64"/>
  <c r="AN5" i="65"/>
  <c r="AN6" i="62"/>
  <c r="AH2" i="62"/>
  <c r="AN5" i="62"/>
  <c r="AN7" i="62"/>
  <c r="AX3" i="72" l="1"/>
  <c r="AW167" i="68"/>
  <c r="AW159" i="68"/>
  <c r="AW175" i="68"/>
  <c r="AX28" i="3"/>
  <c r="AX20" i="68"/>
  <c r="AX20" i="65"/>
  <c r="AV232" i="68"/>
  <c r="AV238" i="68" s="1"/>
  <c r="AV254" i="68"/>
  <c r="AV258" i="68" s="1"/>
  <c r="AV270" i="68"/>
  <c r="AV274" i="68" s="1"/>
  <c r="AV305" i="68"/>
  <c r="AV309" i="68" s="1"/>
  <c r="AV203" i="68"/>
  <c r="AV63" i="68"/>
  <c r="AV69" i="68" s="1"/>
  <c r="AV68" i="65"/>
  <c r="AW54" i="65"/>
  <c r="AW47" i="68"/>
  <c r="AW51" i="68" s="1"/>
  <c r="AX24" i="3"/>
  <c r="AW112" i="68"/>
  <c r="AL73" i="68"/>
  <c r="AL129" i="68" s="1"/>
  <c r="AL89" i="68"/>
  <c r="AL130" i="68" s="1"/>
  <c r="AJ42" i="71"/>
  <c r="AJ49" i="71" s="1"/>
  <c r="AJ187" i="72"/>
  <c r="AK112" i="71"/>
  <c r="AK121" i="71"/>
  <c r="AH154" i="71"/>
  <c r="AI80" i="71"/>
  <c r="AI93" i="72"/>
  <c r="AI100" i="71" s="1"/>
  <c r="AL118" i="68"/>
  <c r="AL119" i="68"/>
  <c r="AL121" i="68"/>
  <c r="AL120" i="68"/>
  <c r="AL55" i="68"/>
  <c r="AL40" i="72" s="1"/>
  <c r="AL39" i="72" s="1"/>
  <c r="AL185" i="68"/>
  <c r="AL283" i="68" s="1"/>
  <c r="AL222" i="68"/>
  <c r="AL288" i="68" s="1"/>
  <c r="AL187" i="68"/>
  <c r="AL284" i="68" s="1"/>
  <c r="AL313" i="68"/>
  <c r="AL36" i="72" s="1"/>
  <c r="AL278" i="68"/>
  <c r="AL291" i="68" s="1"/>
  <c r="AL262" i="68"/>
  <c r="AL290" i="68" s="1"/>
  <c r="AL183" i="68"/>
  <c r="AL282" i="68" s="1"/>
  <c r="AH35" i="71"/>
  <c r="AH100" i="72"/>
  <c r="AE140" i="71"/>
  <c r="AF125" i="72"/>
  <c r="AF57" i="71"/>
  <c r="AG52" i="72"/>
  <c r="AF118" i="72"/>
  <c r="AE131" i="71"/>
  <c r="AJ27" i="72"/>
  <c r="AJ34" i="72"/>
  <c r="AJ35" i="71" s="1"/>
  <c r="AH26" i="71"/>
  <c r="AF66" i="71"/>
  <c r="AG59" i="72"/>
  <c r="AK123" i="68"/>
  <c r="AI100" i="72"/>
  <c r="AI109" i="71" s="1"/>
  <c r="AI35" i="71"/>
  <c r="AL417" i="68"/>
  <c r="AL476" i="68" s="1"/>
  <c r="AM36" i="68"/>
  <c r="AK124" i="72"/>
  <c r="AJ139" i="71"/>
  <c r="AK120" i="72"/>
  <c r="AJ133" i="71"/>
  <c r="AM38" i="68"/>
  <c r="AM37" i="68"/>
  <c r="AJ151" i="71"/>
  <c r="AK134" i="72"/>
  <c r="AM34" i="68"/>
  <c r="AM16" i="72"/>
  <c r="AJ152" i="71"/>
  <c r="AK135" i="72"/>
  <c r="AM35" i="68"/>
  <c r="AK133" i="72"/>
  <c r="AJ150" i="71"/>
  <c r="AJ130" i="71"/>
  <c r="AK117" i="72"/>
  <c r="AM17" i="72"/>
  <c r="AL109" i="72"/>
  <c r="AL120" i="71" s="1"/>
  <c r="AL95" i="72"/>
  <c r="AL102" i="71" s="1"/>
  <c r="AL110" i="72"/>
  <c r="AL107" i="72"/>
  <c r="AL118" i="71" s="1"/>
  <c r="AL99" i="72"/>
  <c r="AL108" i="71" s="1"/>
  <c r="AL92" i="72"/>
  <c r="AL99" i="71" s="1"/>
  <c r="AL103" i="72"/>
  <c r="AL108" i="72"/>
  <c r="AL119" i="71" s="1"/>
  <c r="AK132" i="72"/>
  <c r="AJ149" i="71"/>
  <c r="AJ143" i="71"/>
  <c r="AK128" i="72"/>
  <c r="AI116" i="71"/>
  <c r="AI123" i="71" s="1"/>
  <c r="AI161" i="72"/>
  <c r="AJ127" i="72"/>
  <c r="AI142" i="71"/>
  <c r="AK61" i="72"/>
  <c r="AK68" i="71" s="1"/>
  <c r="AK37" i="71"/>
  <c r="AK102" i="72"/>
  <c r="AK111" i="71" s="1"/>
  <c r="AI130" i="72"/>
  <c r="AI147" i="71" s="1"/>
  <c r="AI148" i="71"/>
  <c r="AJ131" i="72"/>
  <c r="AK43" i="71"/>
  <c r="AK106" i="72"/>
  <c r="AJ64" i="72"/>
  <c r="AJ73" i="71" s="1"/>
  <c r="AJ74" i="71"/>
  <c r="AJ105" i="72"/>
  <c r="AJ117" i="71"/>
  <c r="AK65" i="72"/>
  <c r="AX3" i="71"/>
  <c r="AX3" i="68"/>
  <c r="AN45" i="64"/>
  <c r="AN46" i="64"/>
  <c r="AO6" i="65"/>
  <c r="AN35" i="64"/>
  <c r="AN38" i="64"/>
  <c r="AN37" i="64"/>
  <c r="AO7" i="64"/>
  <c r="AO7" i="65"/>
  <c r="AO5" i="64"/>
  <c r="AO5" i="65"/>
  <c r="AN36" i="64"/>
  <c r="AH3" i="64"/>
  <c r="AH3" i="65"/>
  <c r="AN39" i="64"/>
  <c r="AO6" i="64"/>
  <c r="AH3" i="62"/>
  <c r="AO6" i="62"/>
  <c r="AO7" i="62"/>
  <c r="AO5" i="62"/>
  <c r="AX22" i="65" l="1"/>
  <c r="AX22" i="68"/>
  <c r="AW56" i="65"/>
  <c r="AW66" i="65"/>
  <c r="AW87" i="65" s="1"/>
  <c r="AW147" i="68"/>
  <c r="AW163" i="68" s="1"/>
  <c r="AX81" i="65"/>
  <c r="AX39" i="65"/>
  <c r="AV204" i="68"/>
  <c r="AV216" i="68" s="1"/>
  <c r="AV79" i="68"/>
  <c r="AV85" i="68" s="1"/>
  <c r="AX26" i="65"/>
  <c r="AX26" i="68"/>
  <c r="AX383" i="68" s="1"/>
  <c r="AY2" i="72"/>
  <c r="AY22" i="3"/>
  <c r="AX110" i="68"/>
  <c r="AX109" i="68"/>
  <c r="AX108" i="68"/>
  <c r="AX107" i="68"/>
  <c r="AX210" i="68"/>
  <c r="AX175" i="68"/>
  <c r="AX159" i="68"/>
  <c r="AX161" i="68"/>
  <c r="AM89" i="68"/>
  <c r="AM130" i="68" s="1"/>
  <c r="AM73" i="68"/>
  <c r="AM129" i="68" s="1"/>
  <c r="AI154" i="71"/>
  <c r="AK42" i="71"/>
  <c r="AK49" i="71" s="1"/>
  <c r="AK187" i="72"/>
  <c r="AL112" i="71"/>
  <c r="AL121" i="71"/>
  <c r="AJ80" i="71"/>
  <c r="AM55" i="68"/>
  <c r="AM40" i="72" s="1"/>
  <c r="AM39" i="72" s="1"/>
  <c r="AM185" i="68"/>
  <c r="AM283" i="68" s="1"/>
  <c r="AM222" i="68"/>
  <c r="AM288" i="68" s="1"/>
  <c r="AM187" i="68"/>
  <c r="AM284" i="68" s="1"/>
  <c r="AM278" i="68"/>
  <c r="AM291" i="68" s="1"/>
  <c r="AM313" i="68"/>
  <c r="AM36" i="72" s="1"/>
  <c r="AM262" i="68"/>
  <c r="AM290" i="68" s="1"/>
  <c r="AM183" i="68"/>
  <c r="AM282" i="68" s="1"/>
  <c r="AM118" i="68"/>
  <c r="AM119" i="68"/>
  <c r="AM121" i="68"/>
  <c r="AM120" i="68"/>
  <c r="AJ100" i="72"/>
  <c r="AJ109" i="71" s="1"/>
  <c r="AH109" i="71"/>
  <c r="AF140" i="71"/>
  <c r="AG125" i="72"/>
  <c r="AG66" i="71"/>
  <c r="AH59" i="72"/>
  <c r="AG118" i="72"/>
  <c r="AF131" i="71"/>
  <c r="AG57" i="71"/>
  <c r="AH52" i="72"/>
  <c r="AM417" i="68"/>
  <c r="AM476" i="68" s="1"/>
  <c r="AJ93" i="72"/>
  <c r="AJ100" i="71" s="1"/>
  <c r="AJ26" i="71"/>
  <c r="AK131" i="68"/>
  <c r="AK133" i="68" s="1"/>
  <c r="AL123" i="68"/>
  <c r="AN37" i="68"/>
  <c r="AN34" i="68"/>
  <c r="AL120" i="72"/>
  <c r="AK133" i="71"/>
  <c r="AK130" i="71"/>
  <c r="AL117" i="72"/>
  <c r="AN35" i="68"/>
  <c r="AN17" i="72"/>
  <c r="AL132" i="72"/>
  <c r="AK149" i="71"/>
  <c r="AN16" i="72"/>
  <c r="AM110" i="72"/>
  <c r="AM95" i="72"/>
  <c r="AM102" i="71" s="1"/>
  <c r="AM109" i="72"/>
  <c r="AM120" i="71" s="1"/>
  <c r="AM103" i="72"/>
  <c r="AM92" i="72"/>
  <c r="AM99" i="71" s="1"/>
  <c r="AM99" i="72"/>
  <c r="AM108" i="71" s="1"/>
  <c r="AM108" i="72"/>
  <c r="AM119" i="71" s="1"/>
  <c r="AM107" i="72"/>
  <c r="AM118" i="71" s="1"/>
  <c r="AL134" i="72"/>
  <c r="AK151" i="71"/>
  <c r="AK150" i="71"/>
  <c r="AL133" i="72"/>
  <c r="AK139" i="71"/>
  <c r="AL124" i="72"/>
  <c r="AK152" i="71"/>
  <c r="AL135" i="72"/>
  <c r="AL128" i="72"/>
  <c r="AK143" i="71"/>
  <c r="AN38" i="68"/>
  <c r="AN36" i="68"/>
  <c r="AJ116" i="71"/>
  <c r="AJ123" i="71" s="1"/>
  <c r="AJ161" i="72"/>
  <c r="AK127" i="72"/>
  <c r="AJ142" i="71"/>
  <c r="AL43" i="71"/>
  <c r="AL106" i="72"/>
  <c r="AK117" i="71"/>
  <c r="AK105" i="72"/>
  <c r="AK64" i="72"/>
  <c r="AK73" i="71" s="1"/>
  <c r="AK74" i="71"/>
  <c r="AL61" i="72"/>
  <c r="AL68" i="71" s="1"/>
  <c r="AL37" i="71"/>
  <c r="AL102" i="72"/>
  <c r="AL111" i="71" s="1"/>
  <c r="AJ130" i="72"/>
  <c r="AJ147" i="71" s="1"/>
  <c r="AJ148" i="71"/>
  <c r="AK131" i="72"/>
  <c r="AL65" i="72"/>
  <c r="AY2" i="71"/>
  <c r="AY2" i="68"/>
  <c r="AY3" i="3"/>
  <c r="AZ2" i="3" s="1"/>
  <c r="AO45" i="64"/>
  <c r="AO38" i="64"/>
  <c r="AO36" i="64"/>
  <c r="AO37" i="64"/>
  <c r="AO35" i="64"/>
  <c r="AO46" i="64"/>
  <c r="AO39" i="64"/>
  <c r="AP5" i="64"/>
  <c r="AP5" i="65"/>
  <c r="AP6" i="64"/>
  <c r="AP6" i="65"/>
  <c r="AP7" i="64"/>
  <c r="AP7" i="65"/>
  <c r="AI2" i="64"/>
  <c r="AI2" i="65"/>
  <c r="AI2" i="62"/>
  <c r="AP6" i="62"/>
  <c r="AP5" i="62"/>
  <c r="AP7" i="62"/>
  <c r="AY3" i="72" l="1"/>
  <c r="AW232" i="68"/>
  <c r="AW238" i="68" s="1"/>
  <c r="AW270" i="68"/>
  <c r="AW274" i="68" s="1"/>
  <c r="AW254" i="68"/>
  <c r="AW258" i="68" s="1"/>
  <c r="AW305" i="68"/>
  <c r="AW309" i="68" s="1"/>
  <c r="AW63" i="68"/>
  <c r="AW69" i="68" s="1"/>
  <c r="AW203" i="68"/>
  <c r="AW68" i="65"/>
  <c r="AY28" i="3"/>
  <c r="AY20" i="65"/>
  <c r="AY20" i="68"/>
  <c r="AX167" i="68"/>
  <c r="AX54" i="65"/>
  <c r="AX47" i="68"/>
  <c r="AX51" i="68" s="1"/>
  <c r="AY24" i="3"/>
  <c r="AX112" i="68"/>
  <c r="AN73" i="68"/>
  <c r="AN129" i="68" s="1"/>
  <c r="AN89" i="68"/>
  <c r="AN130" i="68" s="1"/>
  <c r="AL42" i="71"/>
  <c r="AL49" i="71" s="1"/>
  <c r="AL187" i="72"/>
  <c r="AM112" i="71"/>
  <c r="AM121" i="71"/>
  <c r="AJ154" i="71"/>
  <c r="AK80" i="71"/>
  <c r="AN119" i="68"/>
  <c r="AN118" i="68"/>
  <c r="AN120" i="68"/>
  <c r="AN121" i="68"/>
  <c r="AN185" i="68"/>
  <c r="AN283" i="68" s="1"/>
  <c r="AN55" i="68"/>
  <c r="AN40" i="72" s="1"/>
  <c r="AN39" i="72" s="1"/>
  <c r="AN222" i="68"/>
  <c r="AN288" i="68" s="1"/>
  <c r="AN187" i="68"/>
  <c r="AN284" i="68" s="1"/>
  <c r="AN278" i="68"/>
  <c r="AN291" i="68" s="1"/>
  <c r="AN262" i="68"/>
  <c r="AN290" i="68" s="1"/>
  <c r="AN313" i="68"/>
  <c r="AN36" i="72" s="1"/>
  <c r="AN183" i="68"/>
  <c r="AN282" i="68" s="1"/>
  <c r="AK34" i="72"/>
  <c r="AK100" i="72" s="1"/>
  <c r="AK109" i="71" s="1"/>
  <c r="AK27" i="72"/>
  <c r="AK93" i="72" s="1"/>
  <c r="AK100" i="71" s="1"/>
  <c r="AG140" i="71"/>
  <c r="AH125" i="72"/>
  <c r="AH57" i="71"/>
  <c r="AI52" i="72"/>
  <c r="AH118" i="72"/>
  <c r="AG131" i="71"/>
  <c r="AH66" i="71"/>
  <c r="AI59" i="72"/>
  <c r="AL131" i="68"/>
  <c r="AL133" i="68" s="1"/>
  <c r="AM123" i="68"/>
  <c r="AN417" i="68"/>
  <c r="AN476" i="68" s="1"/>
  <c r="AO34" i="68"/>
  <c r="AL133" i="71"/>
  <c r="AM120" i="72"/>
  <c r="AO35" i="68"/>
  <c r="AO185" i="68" s="1"/>
  <c r="AM128" i="72"/>
  <c r="AL143" i="71"/>
  <c r="AL151" i="71"/>
  <c r="AM134" i="72"/>
  <c r="AO37" i="68"/>
  <c r="AO16" i="72"/>
  <c r="AL152" i="71"/>
  <c r="AM135" i="72"/>
  <c r="AL150" i="71"/>
  <c r="AM133" i="72"/>
  <c r="AM132" i="72"/>
  <c r="AL149" i="71"/>
  <c r="AN99" i="72"/>
  <c r="AN108" i="71" s="1"/>
  <c r="AN108" i="72"/>
  <c r="AN119" i="71" s="1"/>
  <c r="AN92" i="72"/>
  <c r="AN99" i="71" s="1"/>
  <c r="AN107" i="72"/>
  <c r="AN118" i="71" s="1"/>
  <c r="AN109" i="72"/>
  <c r="AN120" i="71" s="1"/>
  <c r="AN110" i="72"/>
  <c r="AN103" i="72"/>
  <c r="AN95" i="72"/>
  <c r="AN102" i="71" s="1"/>
  <c r="AO36" i="68"/>
  <c r="AL139" i="71"/>
  <c r="AM124" i="72"/>
  <c r="AL130" i="71"/>
  <c r="AM117" i="72"/>
  <c r="AO17" i="72"/>
  <c r="AO38" i="68"/>
  <c r="AK116" i="71"/>
  <c r="AK123" i="71" s="1"/>
  <c r="AK161" i="72"/>
  <c r="AM61" i="72"/>
  <c r="AM68" i="71" s="1"/>
  <c r="AM37" i="71"/>
  <c r="AM102" i="72"/>
  <c r="AM111" i="71" s="1"/>
  <c r="AM43" i="71"/>
  <c r="AM106" i="72"/>
  <c r="AK130" i="72"/>
  <c r="AK147" i="71" s="1"/>
  <c r="AK148" i="71"/>
  <c r="AL131" i="72"/>
  <c r="AL117" i="71"/>
  <c r="AL105" i="72"/>
  <c r="AL64" i="72"/>
  <c r="AL74" i="71"/>
  <c r="AL127" i="72"/>
  <c r="AK142" i="71"/>
  <c r="AM65" i="72"/>
  <c r="AY3" i="71"/>
  <c r="AY3" i="68"/>
  <c r="AP35" i="64"/>
  <c r="AP45" i="64"/>
  <c r="AP36" i="64"/>
  <c r="AP38" i="64"/>
  <c r="AP37" i="64"/>
  <c r="AP39" i="64"/>
  <c r="AP46" i="64"/>
  <c r="AQ7" i="64"/>
  <c r="AQ7" i="65"/>
  <c r="AQ5" i="64"/>
  <c r="AQ5" i="65"/>
  <c r="AI3" i="64"/>
  <c r="AI3" i="65"/>
  <c r="AQ6" i="64"/>
  <c r="AQ6" i="65"/>
  <c r="AQ6" i="62"/>
  <c r="AI3" i="62"/>
  <c r="AQ7" i="62"/>
  <c r="AQ5" i="62"/>
  <c r="AY22" i="68" l="1"/>
  <c r="AY22" i="65"/>
  <c r="AW204" i="68"/>
  <c r="AW216" i="68" s="1"/>
  <c r="AW79" i="68"/>
  <c r="AW85" i="68" s="1"/>
  <c r="AX56" i="65"/>
  <c r="AX66" i="65"/>
  <c r="AX87" i="65" s="1"/>
  <c r="AX147" i="68"/>
  <c r="AX163" i="68" s="1"/>
  <c r="AY81" i="65"/>
  <c r="AY39" i="65"/>
  <c r="AY26" i="68"/>
  <c r="AY26" i="65"/>
  <c r="AY107" i="68"/>
  <c r="AY108" i="68"/>
  <c r="AZ2" i="72"/>
  <c r="AZ22" i="3"/>
  <c r="AY110" i="68"/>
  <c r="AY109" i="68"/>
  <c r="AY210" i="68"/>
  <c r="AY175" i="68"/>
  <c r="AY159" i="68"/>
  <c r="AY167" i="68"/>
  <c r="AY161" i="68"/>
  <c r="AY383" i="68"/>
  <c r="AO73" i="68"/>
  <c r="AO129" i="68" s="1"/>
  <c r="AO89" i="68"/>
  <c r="AO130" i="68" s="1"/>
  <c r="AM42" i="71"/>
  <c r="AM49" i="71" s="1"/>
  <c r="AM187" i="72"/>
  <c r="AN112" i="71"/>
  <c r="AN121" i="71"/>
  <c r="AK154" i="71"/>
  <c r="AO55" i="68"/>
  <c r="AO40" i="72" s="1"/>
  <c r="AO39" i="72" s="1"/>
  <c r="AO283" i="68"/>
  <c r="AO222" i="68"/>
  <c r="AO288" i="68" s="1"/>
  <c r="AO187" i="68"/>
  <c r="AO284" i="68" s="1"/>
  <c r="AO278" i="68"/>
  <c r="AO291" i="68" s="1"/>
  <c r="AO262" i="68"/>
  <c r="AO290" i="68" s="1"/>
  <c r="AO313" i="68"/>
  <c r="AO36" i="72" s="1"/>
  <c r="AO183" i="68"/>
  <c r="AO282" i="68" s="1"/>
  <c r="AO119" i="68"/>
  <c r="AO118" i="68"/>
  <c r="AO120" i="68"/>
  <c r="AO121" i="68"/>
  <c r="AK35" i="71"/>
  <c r="AK26" i="71"/>
  <c r="AH140" i="71"/>
  <c r="AI125" i="72"/>
  <c r="AL34" i="72"/>
  <c r="AL35" i="71" s="1"/>
  <c r="AL27" i="72"/>
  <c r="AL93" i="72" s="1"/>
  <c r="AL100" i="71" s="1"/>
  <c r="AI118" i="72"/>
  <c r="AH131" i="71"/>
  <c r="AI57" i="71"/>
  <c r="AJ52" i="72"/>
  <c r="AJ59" i="72"/>
  <c r="AI66" i="71"/>
  <c r="AM131" i="68"/>
  <c r="AM133" i="68" s="1"/>
  <c r="AN123" i="68"/>
  <c r="AL73" i="71"/>
  <c r="AL80" i="71" s="1"/>
  <c r="AO417" i="68"/>
  <c r="AO476" i="68" s="1"/>
  <c r="AP16" i="72"/>
  <c r="AP34" i="68"/>
  <c r="AN117" i="72"/>
  <c r="AM130" i="71"/>
  <c r="AN135" i="72"/>
  <c r="AM152" i="71"/>
  <c r="AN133" i="72"/>
  <c r="AM150" i="71"/>
  <c r="AP17" i="72"/>
  <c r="AN124" i="72"/>
  <c r="AM139" i="71"/>
  <c r="AO109" i="72"/>
  <c r="AO120" i="71" s="1"/>
  <c r="AO108" i="72"/>
  <c r="AO119" i="71" s="1"/>
  <c r="AO103" i="72"/>
  <c r="AO99" i="72"/>
  <c r="AO108" i="71" s="1"/>
  <c r="AO110" i="72"/>
  <c r="AO107" i="72"/>
  <c r="AO118" i="71" s="1"/>
  <c r="AO95" i="72"/>
  <c r="AO102" i="71" s="1"/>
  <c r="AO92" i="72"/>
  <c r="AO99" i="71" s="1"/>
  <c r="AN134" i="72"/>
  <c r="AM151" i="71"/>
  <c r="AM133" i="71"/>
  <c r="AN120" i="72"/>
  <c r="AP35" i="68"/>
  <c r="AP38" i="68"/>
  <c r="AP36" i="68"/>
  <c r="AP37" i="68"/>
  <c r="AN132" i="72"/>
  <c r="AM149" i="71"/>
  <c r="AN128" i="72"/>
  <c r="AM143" i="71"/>
  <c r="AL116" i="71"/>
  <c r="AL123" i="71" s="1"/>
  <c r="AL161" i="72"/>
  <c r="AM64" i="72"/>
  <c r="AM73" i="71" s="1"/>
  <c r="AM74" i="71"/>
  <c r="AM127" i="72"/>
  <c r="AL142" i="71"/>
  <c r="AM117" i="71"/>
  <c r="AM105" i="72"/>
  <c r="AN43" i="71"/>
  <c r="AN106" i="72"/>
  <c r="AN61" i="72"/>
  <c r="AN68" i="71" s="1"/>
  <c r="AN37" i="71"/>
  <c r="AN102" i="72"/>
  <c r="AN111" i="71" s="1"/>
  <c r="AL130" i="72"/>
  <c r="AL147" i="71" s="1"/>
  <c r="AL148" i="71"/>
  <c r="AM131" i="72"/>
  <c r="AN65" i="72"/>
  <c r="AZ2" i="71"/>
  <c r="AZ3" i="3"/>
  <c r="BA2" i="3" s="1"/>
  <c r="AZ2" i="68"/>
  <c r="AQ37" i="64"/>
  <c r="AQ39" i="64"/>
  <c r="AQ46" i="64"/>
  <c r="AQ45" i="64"/>
  <c r="AR5" i="64"/>
  <c r="AR5" i="65"/>
  <c r="AR6" i="64"/>
  <c r="AR6" i="65"/>
  <c r="AQ38" i="64"/>
  <c r="AQ35" i="64"/>
  <c r="AQ36" i="64"/>
  <c r="AR7" i="64"/>
  <c r="AR7" i="65"/>
  <c r="AJ2" i="64"/>
  <c r="AJ2" i="65"/>
  <c r="AJ2" i="62"/>
  <c r="AR6" i="62"/>
  <c r="AR5" i="62"/>
  <c r="AR7" i="62"/>
  <c r="AZ3" i="72" l="1"/>
  <c r="AZ28" i="3"/>
  <c r="AZ20" i="68"/>
  <c r="AZ110" i="68" s="1"/>
  <c r="AZ20" i="65"/>
  <c r="AX305" i="68"/>
  <c r="AX309" i="68" s="1"/>
  <c r="AX254" i="68"/>
  <c r="AX258" i="68" s="1"/>
  <c r="AX232" i="68"/>
  <c r="AX238" i="68" s="1"/>
  <c r="AX270" i="68"/>
  <c r="AX274" i="68" s="1"/>
  <c r="AX68" i="65"/>
  <c r="AX203" i="68"/>
  <c r="AX63" i="68"/>
  <c r="AX69" i="68" s="1"/>
  <c r="AY47" i="68"/>
  <c r="AY51" i="68" s="1"/>
  <c r="AY54" i="65"/>
  <c r="AY112" i="68"/>
  <c r="AZ24" i="3"/>
  <c r="AP73" i="68"/>
  <c r="AP129" i="68" s="1"/>
  <c r="AP89" i="68"/>
  <c r="AP130" i="68" s="1"/>
  <c r="AN42" i="71"/>
  <c r="AN49" i="71" s="1"/>
  <c r="AN187" i="72"/>
  <c r="AO121" i="71"/>
  <c r="AO112" i="71"/>
  <c r="AL154" i="71"/>
  <c r="AM80" i="71"/>
  <c r="AP185" i="68"/>
  <c r="AP283" i="68" s="1"/>
  <c r="AP55" i="68"/>
  <c r="AP40" i="72" s="1"/>
  <c r="AP39" i="72" s="1"/>
  <c r="AP222" i="68"/>
  <c r="AP288" i="68" s="1"/>
  <c r="AP187" i="68"/>
  <c r="AP284" i="68" s="1"/>
  <c r="AP278" i="68"/>
  <c r="AP291" i="68" s="1"/>
  <c r="AP313" i="68"/>
  <c r="AP36" i="72" s="1"/>
  <c r="AP262" i="68"/>
  <c r="AP290" i="68" s="1"/>
  <c r="AP183" i="68"/>
  <c r="AP282" i="68" s="1"/>
  <c r="AP119" i="68"/>
  <c r="AP118" i="68"/>
  <c r="AP120" i="68"/>
  <c r="AP121" i="68"/>
  <c r="AL100" i="72"/>
  <c r="AL109" i="71" s="1"/>
  <c r="AL26" i="71"/>
  <c r="AK59" i="72"/>
  <c r="AJ66" i="71"/>
  <c r="AM27" i="72"/>
  <c r="AM34" i="72"/>
  <c r="AM100" i="72" s="1"/>
  <c r="AM109" i="71" s="1"/>
  <c r="AI131" i="71"/>
  <c r="AJ118" i="72"/>
  <c r="AJ57" i="71"/>
  <c r="AK52" i="72"/>
  <c r="AI140" i="71"/>
  <c r="AJ125" i="72"/>
  <c r="AN131" i="68"/>
  <c r="AN133" i="68" s="1"/>
  <c r="AP417" i="68"/>
  <c r="AP476" i="68" s="1"/>
  <c r="AO123" i="68"/>
  <c r="AN149" i="71"/>
  <c r="AO132" i="72"/>
  <c r="AO133" i="72"/>
  <c r="AN150" i="71"/>
  <c r="AO117" i="72"/>
  <c r="AN130" i="71"/>
  <c r="AO120" i="72"/>
  <c r="AN133" i="71"/>
  <c r="AQ16" i="72"/>
  <c r="AP95" i="72"/>
  <c r="AP102" i="71" s="1"/>
  <c r="AP99" i="72"/>
  <c r="AP108" i="71" s="1"/>
  <c r="AP110" i="72"/>
  <c r="AP92" i="72"/>
  <c r="AP99" i="71" s="1"/>
  <c r="AP107" i="72"/>
  <c r="AP118" i="71" s="1"/>
  <c r="AP108" i="72"/>
  <c r="AP119" i="71" s="1"/>
  <c r="AP103" i="72"/>
  <c r="AP109" i="72"/>
  <c r="AP120" i="71" s="1"/>
  <c r="AQ35" i="68"/>
  <c r="AO134" i="72"/>
  <c r="AN151" i="71"/>
  <c r="AO124" i="72"/>
  <c r="AN139" i="71"/>
  <c r="AQ38" i="68"/>
  <c r="AQ17" i="72"/>
  <c r="AQ34" i="68"/>
  <c r="AQ37" i="68"/>
  <c r="AQ36" i="68"/>
  <c r="AO128" i="72"/>
  <c r="AN143" i="71"/>
  <c r="AO135" i="72"/>
  <c r="AN152" i="71"/>
  <c r="AM116" i="71"/>
  <c r="AM123" i="71" s="1"/>
  <c r="AM161" i="72"/>
  <c r="AO43" i="71"/>
  <c r="AO106" i="72"/>
  <c r="AM130" i="72"/>
  <c r="AM147" i="71" s="1"/>
  <c r="AM148" i="71"/>
  <c r="AN131" i="72"/>
  <c r="AN127" i="72"/>
  <c r="AM142" i="71"/>
  <c r="AN64" i="72"/>
  <c r="AN73" i="71" s="1"/>
  <c r="AN74" i="71"/>
  <c r="AN117" i="71"/>
  <c r="AN105" i="72"/>
  <c r="AO61" i="72"/>
  <c r="AO68" i="71" s="1"/>
  <c r="AO37" i="71"/>
  <c r="AO102" i="72"/>
  <c r="AO111" i="71" s="1"/>
  <c r="AO65" i="72"/>
  <c r="AZ3" i="71"/>
  <c r="AZ3" i="68"/>
  <c r="AR36" i="64"/>
  <c r="AR35" i="64"/>
  <c r="AR45" i="64"/>
  <c r="AR37" i="64"/>
  <c r="AR46" i="64"/>
  <c r="AR38" i="64"/>
  <c r="AS6" i="65"/>
  <c r="AR39" i="64"/>
  <c r="AS7" i="64"/>
  <c r="AS7" i="65"/>
  <c r="AS5" i="64"/>
  <c r="AS5" i="65"/>
  <c r="AJ3" i="64"/>
  <c r="AJ3" i="65"/>
  <c r="AS6" i="64"/>
  <c r="AJ3" i="62"/>
  <c r="AS6" i="62"/>
  <c r="AS7" i="62"/>
  <c r="AS5" i="62"/>
  <c r="AY56" i="65" l="1"/>
  <c r="AY66" i="65"/>
  <c r="AY87" i="65" s="1"/>
  <c r="AY147" i="68"/>
  <c r="AY163" i="68" s="1"/>
  <c r="AX79" i="68"/>
  <c r="AX85" i="68" s="1"/>
  <c r="AX204" i="68"/>
  <c r="AX216" i="68" s="1"/>
  <c r="AZ81" i="65"/>
  <c r="AZ39" i="65"/>
  <c r="AZ22" i="68"/>
  <c r="AZ210" i="68" s="1"/>
  <c r="AZ22" i="65"/>
  <c r="AZ26" i="68"/>
  <c r="AZ26" i="65"/>
  <c r="BA2" i="72"/>
  <c r="BA22" i="3"/>
  <c r="AZ109" i="68"/>
  <c r="AZ107" i="68"/>
  <c r="AZ108" i="68"/>
  <c r="AZ161" i="68"/>
  <c r="AQ73" i="68"/>
  <c r="AQ129" i="68" s="1"/>
  <c r="AQ89" i="68"/>
  <c r="AQ130" i="68" s="1"/>
  <c r="AO42" i="71"/>
  <c r="AO49" i="71" s="1"/>
  <c r="AO187" i="72"/>
  <c r="AM154" i="71"/>
  <c r="AP121" i="71"/>
  <c r="AP112" i="71"/>
  <c r="AN80" i="71"/>
  <c r="AQ55" i="68"/>
  <c r="AQ40" i="72" s="1"/>
  <c r="AQ39" i="72" s="1"/>
  <c r="AQ185" i="68"/>
  <c r="AQ283" i="68" s="1"/>
  <c r="AQ187" i="68"/>
  <c r="AQ284" i="68" s="1"/>
  <c r="AQ222" i="68"/>
  <c r="AQ288" i="68" s="1"/>
  <c r="AQ278" i="68"/>
  <c r="AQ291" i="68" s="1"/>
  <c r="AQ262" i="68"/>
  <c r="AQ290" i="68" s="1"/>
  <c r="AQ313" i="68"/>
  <c r="AQ36" i="72" s="1"/>
  <c r="AQ183" i="68"/>
  <c r="AQ282" i="68" s="1"/>
  <c r="AQ118" i="68"/>
  <c r="AQ121" i="68"/>
  <c r="AQ119" i="68"/>
  <c r="AQ120" i="68"/>
  <c r="AM35" i="71"/>
  <c r="AN27" i="72"/>
  <c r="AN93" i="72" s="1"/>
  <c r="AN100" i="71" s="1"/>
  <c r="AN34" i="72"/>
  <c r="AJ131" i="71"/>
  <c r="AK118" i="72"/>
  <c r="AK57" i="71"/>
  <c r="AL52" i="72"/>
  <c r="AK66" i="71"/>
  <c r="AL59" i="72"/>
  <c r="AK125" i="72"/>
  <c r="AJ140" i="71"/>
  <c r="AM26" i="71"/>
  <c r="AM93" i="72"/>
  <c r="AM100" i="71" s="1"/>
  <c r="AO131" i="68"/>
  <c r="AO133" i="68" s="1"/>
  <c r="AQ417" i="68"/>
  <c r="AQ476" i="68" s="1"/>
  <c r="AP123" i="68"/>
  <c r="AP135" i="72"/>
  <c r="AO152" i="71"/>
  <c r="AP124" i="72"/>
  <c r="AO139" i="71"/>
  <c r="AO133" i="71"/>
  <c r="AP120" i="72"/>
  <c r="AQ95" i="72"/>
  <c r="AQ102" i="71" s="1"/>
  <c r="AQ108" i="72"/>
  <c r="AQ119" i="71" s="1"/>
  <c r="AQ92" i="72"/>
  <c r="AQ99" i="71" s="1"/>
  <c r="AQ109" i="72"/>
  <c r="AQ120" i="71" s="1"/>
  <c r="AQ103" i="72"/>
  <c r="AQ99" i="72"/>
  <c r="AQ108" i="71" s="1"/>
  <c r="AQ110" i="72"/>
  <c r="AQ107" i="72"/>
  <c r="AQ118" i="71" s="1"/>
  <c r="AR17" i="72"/>
  <c r="AO143" i="71"/>
  <c r="AP128" i="72"/>
  <c r="AP134" i="72"/>
  <c r="AO151" i="71"/>
  <c r="AP117" i="72"/>
  <c r="AO130" i="71"/>
  <c r="AR36" i="68"/>
  <c r="AR16" i="72"/>
  <c r="AO150" i="71"/>
  <c r="AP133" i="72"/>
  <c r="AR38" i="68"/>
  <c r="AR37" i="68"/>
  <c r="AP132" i="72"/>
  <c r="AO149" i="71"/>
  <c r="AR34" i="68"/>
  <c r="AR35" i="68"/>
  <c r="AN116" i="71"/>
  <c r="AN123" i="71" s="1"/>
  <c r="AN161" i="72"/>
  <c r="AP106" i="72"/>
  <c r="AP43" i="71"/>
  <c r="AO127" i="72"/>
  <c r="AN142" i="71"/>
  <c r="AO117" i="71"/>
  <c r="AO105" i="72"/>
  <c r="AP61" i="72"/>
  <c r="AP68" i="71" s="1"/>
  <c r="AP37" i="71"/>
  <c r="AP102" i="72"/>
  <c r="AP111" i="71" s="1"/>
  <c r="AO64" i="72"/>
  <c r="AO73" i="71" s="1"/>
  <c r="AO74" i="71"/>
  <c r="AN130" i="72"/>
  <c r="AN147" i="71" s="1"/>
  <c r="AN148" i="71"/>
  <c r="AO131" i="72"/>
  <c r="AP65" i="72"/>
  <c r="BA2" i="71"/>
  <c r="BA2" i="68"/>
  <c r="BA3" i="3"/>
  <c r="BB2" i="3" s="1"/>
  <c r="AS46" i="64"/>
  <c r="AS39" i="64"/>
  <c r="AT5" i="64"/>
  <c r="AT5" i="65"/>
  <c r="AT6" i="64"/>
  <c r="AT6" i="65"/>
  <c r="AS45" i="64"/>
  <c r="AS38" i="64"/>
  <c r="AT7" i="64"/>
  <c r="AT7" i="65"/>
  <c r="AS35" i="64"/>
  <c r="AS37" i="64"/>
  <c r="AK2" i="64"/>
  <c r="AK2" i="65"/>
  <c r="AS36" i="64"/>
  <c r="AK2" i="62"/>
  <c r="AT6" i="62"/>
  <c r="AT7" i="62"/>
  <c r="AT5" i="62"/>
  <c r="BA3" i="72" l="1"/>
  <c r="AZ167" i="68"/>
  <c r="AZ159" i="68"/>
  <c r="AZ175" i="68"/>
  <c r="BA28" i="3"/>
  <c r="BA20" i="68"/>
  <c r="BA109" i="68" s="1"/>
  <c r="BA20" i="65"/>
  <c r="AZ47" i="68"/>
  <c r="AZ51" i="68" s="1"/>
  <c r="AZ54" i="65"/>
  <c r="AY254" i="68"/>
  <c r="AY258" i="68" s="1"/>
  <c r="AY270" i="68"/>
  <c r="AY274" i="68" s="1"/>
  <c r="AY232" i="68"/>
  <c r="AY238" i="68" s="1"/>
  <c r="AY305" i="68"/>
  <c r="AY309" i="68" s="1"/>
  <c r="AY203" i="68"/>
  <c r="AY68" i="65"/>
  <c r="AY63" i="68"/>
  <c r="AY69" i="68" s="1"/>
  <c r="AZ112" i="68"/>
  <c r="BA24" i="3"/>
  <c r="AZ383" i="68"/>
  <c r="AR89" i="68"/>
  <c r="AR130" i="68" s="1"/>
  <c r="AR73" i="68"/>
  <c r="AR129" i="68" s="1"/>
  <c r="AP42" i="71"/>
  <c r="AP49" i="71" s="1"/>
  <c r="AP187" i="72"/>
  <c r="AQ112" i="71"/>
  <c r="AQ121" i="71"/>
  <c r="AN154" i="71"/>
  <c r="AO80" i="71"/>
  <c r="AR55" i="68"/>
  <c r="AR40" i="72" s="1"/>
  <c r="AR39" i="72" s="1"/>
  <c r="AR185" i="68"/>
  <c r="AR283" i="68" s="1"/>
  <c r="AR222" i="68"/>
  <c r="AR288" i="68" s="1"/>
  <c r="AR187" i="68"/>
  <c r="AR284" i="68" s="1"/>
  <c r="AR313" i="68"/>
  <c r="AR36" i="72" s="1"/>
  <c r="AR278" i="68"/>
  <c r="AR291" i="68" s="1"/>
  <c r="AR262" i="68"/>
  <c r="AR290" i="68" s="1"/>
  <c r="AR183" i="68"/>
  <c r="AR282" i="68" s="1"/>
  <c r="AR118" i="68"/>
  <c r="AR119" i="68"/>
  <c r="AR120" i="68"/>
  <c r="AR121" i="68"/>
  <c r="AN26" i="71"/>
  <c r="AN100" i="72"/>
  <c r="AN109" i="71" s="1"/>
  <c r="AN35" i="71"/>
  <c r="AL57" i="71"/>
  <c r="AM52" i="72"/>
  <c r="AL66" i="71"/>
  <c r="AM59" i="72"/>
  <c r="AO34" i="72"/>
  <c r="AO35" i="71" s="1"/>
  <c r="AO27" i="72"/>
  <c r="AO26" i="71" s="1"/>
  <c r="AL118" i="72"/>
  <c r="AK131" i="71"/>
  <c r="AK140" i="71"/>
  <c r="AL125" i="72"/>
  <c r="AP131" i="68"/>
  <c r="AP133" i="68" s="1"/>
  <c r="AQ123" i="68"/>
  <c r="AR417" i="68"/>
  <c r="AR476" i="68" s="1"/>
  <c r="AS16" i="72"/>
  <c r="AQ132" i="72"/>
  <c r="AP149" i="71"/>
  <c r="AQ134" i="72"/>
  <c r="AP151" i="71"/>
  <c r="AQ128" i="72"/>
  <c r="AP143" i="71"/>
  <c r="AQ120" i="72"/>
  <c r="AP133" i="71"/>
  <c r="AR99" i="72"/>
  <c r="AR108" i="71" s="1"/>
  <c r="AR108" i="72"/>
  <c r="AR119" i="71" s="1"/>
  <c r="AR95" i="72"/>
  <c r="AR102" i="71" s="1"/>
  <c r="AR92" i="72"/>
  <c r="AR99" i="71" s="1"/>
  <c r="AR107" i="72"/>
  <c r="AR118" i="71" s="1"/>
  <c r="AR109" i="72"/>
  <c r="AR120" i="71" s="1"/>
  <c r="AR103" i="72"/>
  <c r="AR110" i="72"/>
  <c r="AS36" i="68"/>
  <c r="AS34" i="68"/>
  <c r="AS38" i="68"/>
  <c r="AP139" i="71"/>
  <c r="AQ124" i="72"/>
  <c r="AS17" i="72"/>
  <c r="AQ133" i="72"/>
  <c r="AP150" i="71"/>
  <c r="AS35" i="68"/>
  <c r="AS37" i="68"/>
  <c r="AQ117" i="72"/>
  <c r="AP130" i="71"/>
  <c r="AQ135" i="72"/>
  <c r="AP152" i="71"/>
  <c r="AO116" i="71"/>
  <c r="AO123" i="71" s="1"/>
  <c r="AO161" i="72"/>
  <c r="AO130" i="72"/>
  <c r="AO147" i="71" s="1"/>
  <c r="AO148" i="71"/>
  <c r="AP131" i="72"/>
  <c r="AP127" i="72"/>
  <c r="AO142" i="71"/>
  <c r="AP105" i="72"/>
  <c r="AP117" i="71"/>
  <c r="AQ43" i="71"/>
  <c r="AQ106" i="72"/>
  <c r="AQ61" i="72"/>
  <c r="AQ68" i="71" s="1"/>
  <c r="AQ37" i="71"/>
  <c r="AQ102" i="72"/>
  <c r="AQ111" i="71" s="1"/>
  <c r="AP64" i="72"/>
  <c r="AP74" i="71"/>
  <c r="AQ65" i="72"/>
  <c r="BA3" i="71"/>
  <c r="BA3" i="68"/>
  <c r="AT46" i="64"/>
  <c r="AT38" i="64"/>
  <c r="AT36" i="64"/>
  <c r="AT35" i="64"/>
  <c r="AT45" i="64"/>
  <c r="AT39" i="64"/>
  <c r="AT37" i="64"/>
  <c r="AU7" i="64"/>
  <c r="AU7" i="65"/>
  <c r="AU6" i="64"/>
  <c r="AU6" i="65"/>
  <c r="AK3" i="64"/>
  <c r="AK3" i="65"/>
  <c r="AU5" i="64"/>
  <c r="AU5" i="65"/>
  <c r="AU6" i="62"/>
  <c r="AK3" i="62"/>
  <c r="AU5" i="62"/>
  <c r="AU7" i="62"/>
  <c r="AZ56" i="65" l="1"/>
  <c r="AZ147" i="68"/>
  <c r="AZ163" i="68" s="1"/>
  <c r="AZ66" i="65"/>
  <c r="AZ87" i="65" s="1"/>
  <c r="AY79" i="68"/>
  <c r="AY85" i="68" s="1"/>
  <c r="AY204" i="68"/>
  <c r="AY216" i="68" s="1"/>
  <c r="BA81" i="65"/>
  <c r="BA39" i="65"/>
  <c r="BA22" i="65"/>
  <c r="BA22" i="68"/>
  <c r="BA175" i="68" s="1"/>
  <c r="BA26" i="68"/>
  <c r="BA26" i="65"/>
  <c r="BB2" i="72"/>
  <c r="BB22" i="3"/>
  <c r="BA108" i="68"/>
  <c r="BA107" i="68"/>
  <c r="BA110" i="68"/>
  <c r="BA161" i="68"/>
  <c r="AS89" i="68"/>
  <c r="AS130" i="68" s="1"/>
  <c r="AS73" i="68"/>
  <c r="AS129" i="68" s="1"/>
  <c r="AQ42" i="71"/>
  <c r="AQ49" i="71" s="1"/>
  <c r="AQ187" i="72"/>
  <c r="AR121" i="71"/>
  <c r="AR112" i="71"/>
  <c r="AO154" i="71"/>
  <c r="AS119" i="68"/>
  <c r="AS118" i="68"/>
  <c r="AS120" i="68"/>
  <c r="AS121" i="68"/>
  <c r="AS185" i="68"/>
  <c r="AS283" i="68" s="1"/>
  <c r="AS55" i="68"/>
  <c r="AS40" i="72" s="1"/>
  <c r="AS39" i="72" s="1"/>
  <c r="AS187" i="68"/>
  <c r="AS284" i="68" s="1"/>
  <c r="AS222" i="68"/>
  <c r="AS288" i="68" s="1"/>
  <c r="AS262" i="68"/>
  <c r="AS290" i="68" s="1"/>
  <c r="AS278" i="68"/>
  <c r="AS291" i="68" s="1"/>
  <c r="AS313" i="68"/>
  <c r="AS36" i="72" s="1"/>
  <c r="AS183" i="68"/>
  <c r="AS282" i="68" s="1"/>
  <c r="AO100" i="72"/>
  <c r="AO109" i="71" s="1"/>
  <c r="AO93" i="72"/>
  <c r="AO100" i="71" s="1"/>
  <c r="AM66" i="71"/>
  <c r="AN59" i="72"/>
  <c r="AM118" i="72"/>
  <c r="AL131" i="71"/>
  <c r="AM57" i="71"/>
  <c r="AN52" i="72"/>
  <c r="AP27" i="72"/>
  <c r="AP93" i="72" s="1"/>
  <c r="AP100" i="71" s="1"/>
  <c r="AP34" i="72"/>
  <c r="AL140" i="71"/>
  <c r="AM125" i="72"/>
  <c r="AQ131" i="68"/>
  <c r="AQ133" i="68" s="1"/>
  <c r="AR123" i="68"/>
  <c r="AR131" i="68" s="1"/>
  <c r="AR133" i="68" s="1"/>
  <c r="AS417" i="68"/>
  <c r="AS476" i="68" s="1"/>
  <c r="AP73" i="71"/>
  <c r="AP80" i="71" s="1"/>
  <c r="AT38" i="68"/>
  <c r="AT16" i="72"/>
  <c r="AR117" i="72"/>
  <c r="AQ130" i="71"/>
  <c r="AQ150" i="71"/>
  <c r="AR133" i="72"/>
  <c r="AQ143" i="71"/>
  <c r="AR128" i="72"/>
  <c r="AT34" i="68"/>
  <c r="AT35" i="68"/>
  <c r="AQ151" i="71"/>
  <c r="AR134" i="72"/>
  <c r="AT37" i="68"/>
  <c r="AQ139" i="71"/>
  <c r="AR124" i="72"/>
  <c r="AT17" i="72"/>
  <c r="AQ149" i="71"/>
  <c r="AR132" i="72"/>
  <c r="AS99" i="72"/>
  <c r="AS108" i="71" s="1"/>
  <c r="AS92" i="72"/>
  <c r="AS99" i="71" s="1"/>
  <c r="AS95" i="72"/>
  <c r="AS102" i="71" s="1"/>
  <c r="AS109" i="72"/>
  <c r="AS120" i="71" s="1"/>
  <c r="AS107" i="72"/>
  <c r="AS118" i="71" s="1"/>
  <c r="AS103" i="72"/>
  <c r="AS110" i="72"/>
  <c r="AS108" i="72"/>
  <c r="AS119" i="71" s="1"/>
  <c r="AT36" i="68"/>
  <c r="AQ152" i="71"/>
  <c r="AR135" i="72"/>
  <c r="AQ133" i="71"/>
  <c r="AR120" i="72"/>
  <c r="AP116" i="71"/>
  <c r="AP123" i="71" s="1"/>
  <c r="AP161" i="72"/>
  <c r="AR61" i="72"/>
  <c r="AR68" i="71" s="1"/>
  <c r="AR37" i="71"/>
  <c r="AR102" i="72"/>
  <c r="AR111" i="71" s="1"/>
  <c r="AP130" i="72"/>
  <c r="AP147" i="71" s="1"/>
  <c r="AP148" i="71"/>
  <c r="AQ131" i="72"/>
  <c r="AQ127" i="72"/>
  <c r="AP142" i="71"/>
  <c r="AR43" i="71"/>
  <c r="AR106" i="72"/>
  <c r="AQ117" i="71"/>
  <c r="AQ105" i="72"/>
  <c r="AQ64" i="72"/>
  <c r="AQ74" i="71"/>
  <c r="AR65" i="72"/>
  <c r="BB2" i="71"/>
  <c r="BB2" i="68"/>
  <c r="BB3" i="3"/>
  <c r="BC2" i="3" s="1"/>
  <c r="AU45" i="64"/>
  <c r="AU35" i="64"/>
  <c r="AV6" i="65"/>
  <c r="AU36" i="64"/>
  <c r="AU38" i="64"/>
  <c r="AU46" i="64"/>
  <c r="AU37" i="64"/>
  <c r="AV7" i="64"/>
  <c r="AV7" i="65"/>
  <c r="AV5" i="64"/>
  <c r="AV5" i="65"/>
  <c r="AU39" i="64"/>
  <c r="AL2" i="64"/>
  <c r="AL2" i="65"/>
  <c r="AV6" i="64"/>
  <c r="AV6" i="62"/>
  <c r="AL2" i="62"/>
  <c r="AV7" i="62"/>
  <c r="AV5" i="62"/>
  <c r="BB3" i="72" l="1"/>
  <c r="BA210" i="68"/>
  <c r="BA167" i="68"/>
  <c r="BA159" i="68"/>
  <c r="BA47" i="68"/>
  <c r="BA51" i="68" s="1"/>
  <c r="BA54" i="65"/>
  <c r="BB28" i="3"/>
  <c r="BB20" i="65"/>
  <c r="BB20" i="68"/>
  <c r="AZ232" i="68"/>
  <c r="AZ238" i="68" s="1"/>
  <c r="AZ254" i="68"/>
  <c r="AZ258" i="68" s="1"/>
  <c r="AZ270" i="68"/>
  <c r="AZ274" i="68" s="1"/>
  <c r="AZ305" i="68"/>
  <c r="AZ309" i="68" s="1"/>
  <c r="AZ68" i="65"/>
  <c r="AZ63" i="68"/>
  <c r="AZ69" i="68" s="1"/>
  <c r="AZ203" i="68"/>
  <c r="BB24" i="3"/>
  <c r="BA112" i="68"/>
  <c r="BA383" i="68"/>
  <c r="AT73" i="68"/>
  <c r="AT129" i="68" s="1"/>
  <c r="AT89" i="68"/>
  <c r="AT130" i="68" s="1"/>
  <c r="AP154" i="71"/>
  <c r="AR42" i="71"/>
  <c r="AR49" i="71" s="1"/>
  <c r="AR187" i="72"/>
  <c r="AS112" i="71"/>
  <c r="AS121" i="71"/>
  <c r="AT55" i="68"/>
  <c r="AT40" i="72" s="1"/>
  <c r="AT39" i="72" s="1"/>
  <c r="AT185" i="68"/>
  <c r="AT283" i="68" s="1"/>
  <c r="AT222" i="68"/>
  <c r="AT288" i="68" s="1"/>
  <c r="AT187" i="68"/>
  <c r="AT284" i="68" s="1"/>
  <c r="AT262" i="68"/>
  <c r="AT290" i="68" s="1"/>
  <c r="AT278" i="68"/>
  <c r="AT291" i="68" s="1"/>
  <c r="AT313" i="68"/>
  <c r="AT36" i="72" s="1"/>
  <c r="AT183" i="68"/>
  <c r="AT282" i="68" s="1"/>
  <c r="AT121" i="68"/>
  <c r="AT119" i="68"/>
  <c r="AT118" i="68"/>
  <c r="AT120" i="68"/>
  <c r="AP26" i="71"/>
  <c r="AM140" i="71"/>
  <c r="AN125" i="72"/>
  <c r="AM131" i="71"/>
  <c r="AN118" i="72"/>
  <c r="AN57" i="71"/>
  <c r="AO52" i="72"/>
  <c r="AO59" i="72"/>
  <c r="AN66" i="71"/>
  <c r="AP35" i="71"/>
  <c r="AP100" i="72"/>
  <c r="AQ27" i="72"/>
  <c r="AQ93" i="72" s="1"/>
  <c r="AQ100" i="71" s="1"/>
  <c r="AQ34" i="72"/>
  <c r="AQ35" i="71" s="1"/>
  <c r="AR27" i="72"/>
  <c r="AR26" i="71" s="1"/>
  <c r="AR34" i="72"/>
  <c r="AS123" i="68"/>
  <c r="AQ73" i="71"/>
  <c r="AQ80" i="71" s="1"/>
  <c r="AT417" i="68"/>
  <c r="AT476" i="68" s="1"/>
  <c r="AU34" i="68"/>
  <c r="AS132" i="72"/>
  <c r="AR149" i="71"/>
  <c r="AS133" i="72"/>
  <c r="AR150" i="71"/>
  <c r="AS117" i="72"/>
  <c r="AR130" i="71"/>
  <c r="AS124" i="72"/>
  <c r="AR139" i="71"/>
  <c r="AU36" i="68"/>
  <c r="AR151" i="71"/>
  <c r="AS134" i="72"/>
  <c r="AR143" i="71"/>
  <c r="AS128" i="72"/>
  <c r="AT92" i="72"/>
  <c r="AT99" i="71" s="1"/>
  <c r="AT107" i="72"/>
  <c r="AT118" i="71" s="1"/>
  <c r="AT95" i="72"/>
  <c r="AT102" i="71" s="1"/>
  <c r="AT99" i="72"/>
  <c r="AT108" i="71" s="1"/>
  <c r="AT109" i="72"/>
  <c r="AT120" i="71" s="1"/>
  <c r="AT103" i="72"/>
  <c r="AT110" i="72"/>
  <c r="AT108" i="72"/>
  <c r="AT119" i="71" s="1"/>
  <c r="AU17" i="72"/>
  <c r="AU16" i="72"/>
  <c r="AU37" i="68"/>
  <c r="AS120" i="72"/>
  <c r="AR133" i="71"/>
  <c r="AS135" i="72"/>
  <c r="AR152" i="71"/>
  <c r="AU38" i="68"/>
  <c r="AU35" i="68"/>
  <c r="AQ116" i="71"/>
  <c r="AQ123" i="71" s="1"/>
  <c r="AQ161" i="72"/>
  <c r="AR127" i="72"/>
  <c r="AQ142" i="71"/>
  <c r="AS61" i="72"/>
  <c r="AS68" i="71" s="1"/>
  <c r="AS37" i="71"/>
  <c r="AS102" i="72"/>
  <c r="AS111" i="71" s="1"/>
  <c r="AR105" i="72"/>
  <c r="AR117" i="71"/>
  <c r="AS43" i="71"/>
  <c r="AS106" i="72"/>
  <c r="AR64" i="72"/>
  <c r="AR73" i="71" s="1"/>
  <c r="AR74" i="71"/>
  <c r="AQ130" i="72"/>
  <c r="AQ147" i="71" s="1"/>
  <c r="AQ148" i="71"/>
  <c r="AR131" i="72"/>
  <c r="AS65" i="72"/>
  <c r="BB3" i="71"/>
  <c r="BB3" i="68"/>
  <c r="AV45" i="64"/>
  <c r="AV38" i="64"/>
  <c r="AV37" i="64"/>
  <c r="AV46" i="64"/>
  <c r="AV39" i="64"/>
  <c r="AV36" i="64"/>
  <c r="AV35" i="64"/>
  <c r="AW7" i="64"/>
  <c r="AW7" i="65"/>
  <c r="AW6" i="64"/>
  <c r="AW6" i="65"/>
  <c r="AW5" i="64"/>
  <c r="AW5" i="65"/>
  <c r="AL3" i="64"/>
  <c r="AL3" i="65"/>
  <c r="AL3" i="62"/>
  <c r="AW6" i="62"/>
  <c r="AW5" i="62"/>
  <c r="AW7" i="62"/>
  <c r="BB22" i="68" l="1"/>
  <c r="BB210" i="68" s="1"/>
  <c r="BB22" i="65"/>
  <c r="BB81" i="65"/>
  <c r="BB39" i="65"/>
  <c r="AZ79" i="68"/>
  <c r="AZ85" i="68" s="1"/>
  <c r="AZ204" i="68"/>
  <c r="AZ216" i="68" s="1"/>
  <c r="BB26" i="65"/>
  <c r="BB26" i="68"/>
  <c r="BB383" i="68" s="1"/>
  <c r="BA147" i="68"/>
  <c r="BA163" i="68" s="1"/>
  <c r="BA66" i="65"/>
  <c r="BA87" i="65" s="1"/>
  <c r="BA56" i="65"/>
  <c r="BC2" i="72"/>
  <c r="BC22" i="3"/>
  <c r="BB108" i="68"/>
  <c r="BB107" i="68"/>
  <c r="BB109" i="68"/>
  <c r="BB110" i="68"/>
  <c r="BB161" i="68"/>
  <c r="AU73" i="68"/>
  <c r="AU129" i="68" s="1"/>
  <c r="AU89" i="68"/>
  <c r="AU130" i="68" s="1"/>
  <c r="AS42" i="71"/>
  <c r="AS49" i="71" s="1"/>
  <c r="AS187" i="72"/>
  <c r="AT121" i="71"/>
  <c r="AT112" i="71"/>
  <c r="AQ154" i="71"/>
  <c r="AR80" i="71"/>
  <c r="AU121" i="68"/>
  <c r="AU119" i="68"/>
  <c r="AU118" i="68"/>
  <c r="AU120" i="68"/>
  <c r="AU185" i="68"/>
  <c r="AU283" i="68" s="1"/>
  <c r="AU55" i="68"/>
  <c r="AU40" i="72" s="1"/>
  <c r="AU39" i="72" s="1"/>
  <c r="AU222" i="68"/>
  <c r="AU288" i="68" s="1"/>
  <c r="AU187" i="68"/>
  <c r="AU284" i="68" s="1"/>
  <c r="AU262" i="68"/>
  <c r="AU290" i="68" s="1"/>
  <c r="AU313" i="68"/>
  <c r="AU36" i="72" s="1"/>
  <c r="AU278" i="68"/>
  <c r="AU291" i="68" s="1"/>
  <c r="AU183" i="68"/>
  <c r="AU282" i="68" s="1"/>
  <c r="AQ100" i="72"/>
  <c r="AQ26" i="71"/>
  <c r="AP109" i="71"/>
  <c r="AO118" i="72"/>
  <c r="AN131" i="71"/>
  <c r="AO66" i="71"/>
  <c r="AP59" i="72"/>
  <c r="AN140" i="71"/>
  <c r="AO125" i="72"/>
  <c r="AO57" i="71"/>
  <c r="AP52" i="72"/>
  <c r="AR93" i="72"/>
  <c r="AR100" i="71" s="1"/>
  <c r="AR100" i="72"/>
  <c r="AR109" i="71" s="1"/>
  <c r="AR35" i="71"/>
  <c r="AS131" i="68"/>
  <c r="AS133" i="68" s="1"/>
  <c r="AT123" i="68"/>
  <c r="AU417" i="68"/>
  <c r="AU476" i="68" s="1"/>
  <c r="AV36" i="68"/>
  <c r="AT120" i="72"/>
  <c r="AS133" i="71"/>
  <c r="AT133" i="72"/>
  <c r="AS150" i="71"/>
  <c r="AT134" i="72"/>
  <c r="AS151" i="71"/>
  <c r="AV16" i="72"/>
  <c r="AS149" i="71"/>
  <c r="AT132" i="72"/>
  <c r="AV37" i="68"/>
  <c r="AU110" i="72"/>
  <c r="AU109" i="72"/>
  <c r="AU120" i="71" s="1"/>
  <c r="AU103" i="72"/>
  <c r="AU95" i="72"/>
  <c r="AU102" i="71" s="1"/>
  <c r="AU107" i="72"/>
  <c r="AU118" i="71" s="1"/>
  <c r="AU92" i="72"/>
  <c r="AU99" i="71" s="1"/>
  <c r="AU99" i="72"/>
  <c r="AU108" i="71" s="1"/>
  <c r="AU108" i="72"/>
  <c r="AU119" i="71" s="1"/>
  <c r="AV17" i="72"/>
  <c r="AV34" i="68"/>
  <c r="AT135" i="72"/>
  <c r="AS152" i="71"/>
  <c r="AT124" i="72"/>
  <c r="AS139" i="71"/>
  <c r="AV35" i="68"/>
  <c r="AT128" i="72"/>
  <c r="AS143" i="71"/>
  <c r="AV38" i="68"/>
  <c r="AT117" i="72"/>
  <c r="AS130" i="71"/>
  <c r="AR116" i="71"/>
  <c r="AR123" i="71" s="1"/>
  <c r="AR161" i="72"/>
  <c r="AR130" i="72"/>
  <c r="AR147" i="71" s="1"/>
  <c r="AR148" i="71"/>
  <c r="AS131" i="72"/>
  <c r="AS64" i="72"/>
  <c r="AS73" i="71" s="1"/>
  <c r="AS74" i="71"/>
  <c r="AS117" i="71"/>
  <c r="AS105" i="72"/>
  <c r="AS161" i="72" s="1"/>
  <c r="AT43" i="71"/>
  <c r="AT106" i="72"/>
  <c r="AT61" i="72"/>
  <c r="AT68" i="71" s="1"/>
  <c r="AT37" i="71"/>
  <c r="AT102" i="72"/>
  <c r="AT111" i="71" s="1"/>
  <c r="AS127" i="72"/>
  <c r="AR142" i="71"/>
  <c r="AT65" i="72"/>
  <c r="BC2" i="71"/>
  <c r="BC2" i="68"/>
  <c r="BC3" i="3"/>
  <c r="BD2" i="3" s="1"/>
  <c r="AW45" i="64"/>
  <c r="AW39" i="64"/>
  <c r="AW36" i="64"/>
  <c r="AW46" i="64"/>
  <c r="AW37" i="64"/>
  <c r="AX7" i="64"/>
  <c r="AX7" i="65"/>
  <c r="AX5" i="64"/>
  <c r="AX5" i="65"/>
  <c r="AM2" i="64"/>
  <c r="AM2" i="65"/>
  <c r="AW35" i="64"/>
  <c r="AX6" i="64"/>
  <c r="AX6" i="65"/>
  <c r="AW38" i="64"/>
  <c r="AX6" i="62"/>
  <c r="AM2" i="62"/>
  <c r="AX5" i="62"/>
  <c r="AX7" i="62"/>
  <c r="BC3" i="72" l="1"/>
  <c r="BB167" i="68"/>
  <c r="BB159" i="68"/>
  <c r="BB175" i="68"/>
  <c r="BC28" i="3"/>
  <c r="BC20" i="65"/>
  <c r="BC20" i="68"/>
  <c r="BB54" i="65"/>
  <c r="BB47" i="68"/>
  <c r="BB51" i="68" s="1"/>
  <c r="BA63" i="68"/>
  <c r="BA69" i="68" s="1"/>
  <c r="BA68" i="65"/>
  <c r="BA203" i="68"/>
  <c r="BA305" i="68"/>
  <c r="BA309" i="68" s="1"/>
  <c r="BA232" i="68"/>
  <c r="BA238" i="68" s="1"/>
  <c r="BA270" i="68"/>
  <c r="BA274" i="68" s="1"/>
  <c r="BA254" i="68"/>
  <c r="BA258" i="68" s="1"/>
  <c r="BC24" i="3"/>
  <c r="BB112" i="68"/>
  <c r="AV89" i="68"/>
  <c r="AV130" i="68" s="1"/>
  <c r="AV73" i="68"/>
  <c r="AV129" i="68" s="1"/>
  <c r="AT42" i="71"/>
  <c r="AT49" i="71" s="1"/>
  <c r="AT187" i="72"/>
  <c r="AU121" i="71"/>
  <c r="AU112" i="71"/>
  <c r="AR154" i="71"/>
  <c r="AS80" i="71"/>
  <c r="AV55" i="68"/>
  <c r="AV40" i="72" s="1"/>
  <c r="AV39" i="72" s="1"/>
  <c r="AV185" i="68"/>
  <c r="AV283" i="68" s="1"/>
  <c r="AV222" i="68"/>
  <c r="AV288" i="68" s="1"/>
  <c r="AV187" i="68"/>
  <c r="AV284" i="68" s="1"/>
  <c r="AV262" i="68"/>
  <c r="AV290" i="68" s="1"/>
  <c r="AV313" i="68"/>
  <c r="AV36" i="72" s="1"/>
  <c r="AV278" i="68"/>
  <c r="AV291" i="68" s="1"/>
  <c r="AV183" i="68"/>
  <c r="AV282" i="68" s="1"/>
  <c r="AV121" i="68"/>
  <c r="AV119" i="68"/>
  <c r="AV118" i="68"/>
  <c r="AV120" i="68"/>
  <c r="AQ109" i="71"/>
  <c r="AO131" i="71"/>
  <c r="AP118" i="72"/>
  <c r="AP125" i="72"/>
  <c r="AO140" i="71"/>
  <c r="AP57" i="71"/>
  <c r="AQ52" i="72"/>
  <c r="AS34" i="72"/>
  <c r="AS100" i="72" s="1"/>
  <c r="AS109" i="71" s="1"/>
  <c r="AS27" i="72"/>
  <c r="AP66" i="71"/>
  <c r="AQ59" i="72"/>
  <c r="AT131" i="68"/>
  <c r="AT133" i="68" s="1"/>
  <c r="AU123" i="68"/>
  <c r="AV417" i="68"/>
  <c r="AV476" i="68" s="1"/>
  <c r="AW34" i="68"/>
  <c r="AW17" i="72"/>
  <c r="AT143" i="71"/>
  <c r="AU128" i="72"/>
  <c r="AU135" i="72"/>
  <c r="AT152" i="71"/>
  <c r="AT151" i="71"/>
  <c r="AU134" i="72"/>
  <c r="AW36" i="68"/>
  <c r="AW35" i="68"/>
  <c r="AW38" i="68"/>
  <c r="AU133" i="72"/>
  <c r="AT150" i="71"/>
  <c r="AW16" i="72"/>
  <c r="AT149" i="71"/>
  <c r="AU132" i="72"/>
  <c r="AU120" i="72"/>
  <c r="AT133" i="71"/>
  <c r="AV99" i="72"/>
  <c r="AV108" i="71" s="1"/>
  <c r="AV108" i="72"/>
  <c r="AV119" i="71" s="1"/>
  <c r="AV95" i="72"/>
  <c r="AV102" i="71" s="1"/>
  <c r="AV92" i="72"/>
  <c r="AV99" i="71" s="1"/>
  <c r="AV109" i="72"/>
  <c r="AV120" i="71" s="1"/>
  <c r="AV103" i="72"/>
  <c r="AV110" i="72"/>
  <c r="AV107" i="72"/>
  <c r="AV118" i="71" s="1"/>
  <c r="AW37" i="68"/>
  <c r="AU117" i="72"/>
  <c r="AT130" i="71"/>
  <c r="AT139" i="71"/>
  <c r="AU124" i="72"/>
  <c r="AU61" i="72"/>
  <c r="AU68" i="71" s="1"/>
  <c r="AU37" i="71"/>
  <c r="AU102" i="72"/>
  <c r="AU111" i="71" s="1"/>
  <c r="AT64" i="72"/>
  <c r="AT73" i="71" s="1"/>
  <c r="AT74" i="71"/>
  <c r="AS130" i="72"/>
  <c r="AS147" i="71" s="1"/>
  <c r="AS148" i="71"/>
  <c r="AT131" i="72"/>
  <c r="AU43" i="71"/>
  <c r="AU106" i="72"/>
  <c r="AS142" i="71"/>
  <c r="AT127" i="72"/>
  <c r="AT117" i="71"/>
  <c r="AT105" i="72"/>
  <c r="AS116" i="71"/>
  <c r="AS123" i="71" s="1"/>
  <c r="AU65" i="72"/>
  <c r="BC3" i="71"/>
  <c r="BC3" i="68"/>
  <c r="AX45" i="64"/>
  <c r="AX38" i="64"/>
  <c r="AM3" i="64"/>
  <c r="AM3" i="65"/>
  <c r="AY6" i="64"/>
  <c r="AY6" i="65"/>
  <c r="AY5" i="64"/>
  <c r="AY5" i="65"/>
  <c r="AX37" i="64"/>
  <c r="AX36" i="64"/>
  <c r="AX39" i="64"/>
  <c r="AY7" i="64"/>
  <c r="AY7" i="65"/>
  <c r="AX35" i="64"/>
  <c r="AX46" i="64"/>
  <c r="AY6" i="62"/>
  <c r="AM3" i="62"/>
  <c r="AY7" i="62"/>
  <c r="AY5" i="62"/>
  <c r="BC22" i="65" l="1"/>
  <c r="BC22" i="68"/>
  <c r="BA79" i="68"/>
  <c r="BA85" i="68" s="1"/>
  <c r="BA204" i="68"/>
  <c r="BA216" i="68" s="1"/>
  <c r="BB56" i="65"/>
  <c r="BB66" i="65"/>
  <c r="BB87" i="65" s="1"/>
  <c r="BB147" i="68"/>
  <c r="BB163" i="68" s="1"/>
  <c r="BC81" i="65"/>
  <c r="BC39" i="65"/>
  <c r="BC26" i="68"/>
  <c r="BC26" i="65"/>
  <c r="BD2" i="72"/>
  <c r="BD22" i="3"/>
  <c r="BC109" i="68"/>
  <c r="BC108" i="68"/>
  <c r="BC107" i="68"/>
  <c r="BC110" i="68"/>
  <c r="BC210" i="68"/>
  <c r="BC175" i="68"/>
  <c r="BC159" i="68"/>
  <c r="BC167" i="68"/>
  <c r="BC161" i="68"/>
  <c r="BC383" i="68"/>
  <c r="AX17" i="72"/>
  <c r="AW89" i="68"/>
  <c r="AW130" i="68" s="1"/>
  <c r="AW73" i="68"/>
  <c r="AW129" i="68" s="1"/>
  <c r="AU42" i="71"/>
  <c r="AU49" i="71" s="1"/>
  <c r="AU187" i="72"/>
  <c r="AV121" i="71"/>
  <c r="AS154" i="71"/>
  <c r="AV112" i="71"/>
  <c r="AT80" i="71"/>
  <c r="AW119" i="68"/>
  <c r="AW121" i="68"/>
  <c r="AW118" i="68"/>
  <c r="AW120" i="68"/>
  <c r="AW55" i="68"/>
  <c r="AW40" i="72" s="1"/>
  <c r="AW39" i="72" s="1"/>
  <c r="AW185" i="68"/>
  <c r="AW283" i="68" s="1"/>
  <c r="AW187" i="68"/>
  <c r="AW284" i="68" s="1"/>
  <c r="AW222" i="68"/>
  <c r="AW288" i="68" s="1"/>
  <c r="AW278" i="68"/>
  <c r="AW291" i="68" s="1"/>
  <c r="AW313" i="68"/>
  <c r="AW36" i="72" s="1"/>
  <c r="AW262" i="68"/>
  <c r="AW290" i="68" s="1"/>
  <c r="AW183" i="68"/>
  <c r="AW282" i="68" s="1"/>
  <c r="AS35" i="71"/>
  <c r="AQ57" i="71"/>
  <c r="AR52" i="72"/>
  <c r="AQ118" i="72"/>
  <c r="AP131" i="71"/>
  <c r="AP140" i="71"/>
  <c r="AQ125" i="72"/>
  <c r="AS26" i="71"/>
  <c r="AS93" i="72"/>
  <c r="AS100" i="71" s="1"/>
  <c r="AT27" i="72"/>
  <c r="AT34" i="72"/>
  <c r="AQ66" i="71"/>
  <c r="AR59" i="72"/>
  <c r="AU131" i="68"/>
  <c r="AU133" i="68" s="1"/>
  <c r="AV123" i="68"/>
  <c r="AW417" i="68"/>
  <c r="AW476" i="68" s="1"/>
  <c r="AW108" i="72"/>
  <c r="AW119" i="71" s="1"/>
  <c r="AW95" i="72"/>
  <c r="AW102" i="71" s="1"/>
  <c r="AW109" i="72"/>
  <c r="AW120" i="71" s="1"/>
  <c r="AW92" i="72"/>
  <c r="AW99" i="71" s="1"/>
  <c r="AW103" i="72"/>
  <c r="AW99" i="72"/>
  <c r="AW108" i="71" s="1"/>
  <c r="AW110" i="72"/>
  <c r="AW107" i="72"/>
  <c r="AW118" i="71" s="1"/>
  <c r="AU130" i="71"/>
  <c r="AV117" i="72"/>
  <c r="AV120" i="72"/>
  <c r="AU133" i="71"/>
  <c r="AX38" i="68"/>
  <c r="AX35" i="68"/>
  <c r="AU150" i="71"/>
  <c r="AV133" i="72"/>
  <c r="AV128" i="72"/>
  <c r="AU143" i="71"/>
  <c r="AX37" i="68"/>
  <c r="AX36" i="68"/>
  <c r="AX16" i="72"/>
  <c r="AV132" i="72"/>
  <c r="AU149" i="71"/>
  <c r="AV134" i="72"/>
  <c r="AU151" i="71"/>
  <c r="AU139" i="71"/>
  <c r="AV124" i="72"/>
  <c r="AX34" i="68"/>
  <c r="AV135" i="72"/>
  <c r="AU152" i="71"/>
  <c r="AT116" i="71"/>
  <c r="AT123" i="71" s="1"/>
  <c r="AT161" i="72"/>
  <c r="AV43" i="71"/>
  <c r="AV106" i="72"/>
  <c r="AU117" i="71"/>
  <c r="AU105" i="72"/>
  <c r="AU127" i="72"/>
  <c r="AT142" i="71"/>
  <c r="AT130" i="72"/>
  <c r="AT147" i="71" s="1"/>
  <c r="AT148" i="71"/>
  <c r="AU131" i="72"/>
  <c r="AV61" i="72"/>
  <c r="AV68" i="71" s="1"/>
  <c r="AV37" i="71"/>
  <c r="AV102" i="72"/>
  <c r="AV111" i="71" s="1"/>
  <c r="AU64" i="72"/>
  <c r="AU73" i="71" s="1"/>
  <c r="AU74" i="71"/>
  <c r="AV65" i="72"/>
  <c r="BD2" i="71"/>
  <c r="BD2" i="68"/>
  <c r="BD3" i="3"/>
  <c r="BE2" i="3" s="1"/>
  <c r="AY46" i="64"/>
  <c r="AY45" i="64"/>
  <c r="AY35" i="64"/>
  <c r="AZ7" i="64"/>
  <c r="AZ7" i="65"/>
  <c r="AN2" i="64"/>
  <c r="AN2" i="65"/>
  <c r="AY39" i="64"/>
  <c r="AY36" i="64"/>
  <c r="AY38" i="64"/>
  <c r="AZ5" i="64"/>
  <c r="AZ5" i="65"/>
  <c r="AZ6" i="64"/>
  <c r="AZ6" i="65"/>
  <c r="AY37" i="64"/>
  <c r="AN2" i="62"/>
  <c r="AZ6" i="62"/>
  <c r="AZ5" i="62"/>
  <c r="AZ7" i="62"/>
  <c r="BD3" i="72" l="1"/>
  <c r="BB68" i="65"/>
  <c r="BB63" i="68"/>
  <c r="BB69" i="68" s="1"/>
  <c r="BB203" i="68"/>
  <c r="BD28" i="3"/>
  <c r="BD20" i="65"/>
  <c r="BD20" i="68"/>
  <c r="BB232" i="68"/>
  <c r="BB238" i="68" s="1"/>
  <c r="BB305" i="68"/>
  <c r="BB309" i="68" s="1"/>
  <c r="BB270" i="68"/>
  <c r="BB274" i="68" s="1"/>
  <c r="BB254" i="68"/>
  <c r="BB258" i="68" s="1"/>
  <c r="BC47" i="68"/>
  <c r="BC51" i="68" s="1"/>
  <c r="BC54" i="65"/>
  <c r="BD24" i="3"/>
  <c r="BC112" i="68"/>
  <c r="AX73" i="68"/>
  <c r="AX129" i="68" s="1"/>
  <c r="AX89" i="68"/>
  <c r="AX130" i="68" s="1"/>
  <c r="AV42" i="71"/>
  <c r="AV49" i="71" s="1"/>
  <c r="AV187" i="72"/>
  <c r="AW121" i="71"/>
  <c r="AW112" i="71"/>
  <c r="AT154" i="71"/>
  <c r="AU80" i="71"/>
  <c r="AX417" i="68"/>
  <c r="AX476" i="68" s="1"/>
  <c r="AX185" i="68"/>
  <c r="AX283" i="68" s="1"/>
  <c r="AX55" i="68"/>
  <c r="AX40" i="72" s="1"/>
  <c r="AX39" i="72" s="1"/>
  <c r="AX187" i="68"/>
  <c r="AX284" i="68" s="1"/>
  <c r="AX262" i="68"/>
  <c r="AX290" i="68" s="1"/>
  <c r="AX222" i="68"/>
  <c r="AX288" i="68" s="1"/>
  <c r="AX313" i="68"/>
  <c r="AX36" i="72" s="1"/>
  <c r="AX278" i="68"/>
  <c r="AX291" i="68" s="1"/>
  <c r="AX183" i="68"/>
  <c r="AX282" i="68" s="1"/>
  <c r="AX119" i="68"/>
  <c r="AX118" i="68"/>
  <c r="AX121" i="68"/>
  <c r="AX120" i="68"/>
  <c r="AU27" i="72"/>
  <c r="AU34" i="72"/>
  <c r="AT26" i="71"/>
  <c r="AT93" i="72"/>
  <c r="AT100" i="71" s="1"/>
  <c r="AQ131" i="71"/>
  <c r="AR118" i="72"/>
  <c r="AQ140" i="71"/>
  <c r="AR125" i="72"/>
  <c r="AT35" i="71"/>
  <c r="AR66" i="71"/>
  <c r="AS59" i="72"/>
  <c r="AR57" i="71"/>
  <c r="AS52" i="72"/>
  <c r="AT100" i="72"/>
  <c r="AV131" i="68"/>
  <c r="AV133" i="68" s="1"/>
  <c r="AW123" i="68"/>
  <c r="AY38" i="68"/>
  <c r="AY36" i="68"/>
  <c r="AV152" i="71"/>
  <c r="AW135" i="72"/>
  <c r="AW134" i="72"/>
  <c r="AV151" i="71"/>
  <c r="AV133" i="71"/>
  <c r="AW120" i="72"/>
  <c r="AW117" i="72"/>
  <c r="AV130" i="71"/>
  <c r="AY17" i="72"/>
  <c r="AY34" i="68"/>
  <c r="AW132" i="72"/>
  <c r="AV149" i="71"/>
  <c r="AW128" i="72"/>
  <c r="AV143" i="71"/>
  <c r="AW133" i="72"/>
  <c r="AV150" i="71"/>
  <c r="AY16" i="72"/>
  <c r="AW124" i="72"/>
  <c r="AV139" i="71"/>
  <c r="AX103" i="72"/>
  <c r="AX99" i="72"/>
  <c r="AX108" i="71" s="1"/>
  <c r="AX109" i="72"/>
  <c r="AX120" i="71" s="1"/>
  <c r="AX110" i="72"/>
  <c r="AX107" i="72"/>
  <c r="AX118" i="71" s="1"/>
  <c r="AX108" i="72"/>
  <c r="AX119" i="71" s="1"/>
  <c r="AX92" i="72"/>
  <c r="AX99" i="71" s="1"/>
  <c r="AX95" i="72"/>
  <c r="AX102" i="71" s="1"/>
  <c r="AY37" i="68"/>
  <c r="AY35" i="68"/>
  <c r="AU116" i="71"/>
  <c r="AU123" i="71" s="1"/>
  <c r="AU161" i="72"/>
  <c r="AW61" i="72"/>
  <c r="AW68" i="71" s="1"/>
  <c r="AW37" i="71"/>
  <c r="AW102" i="72"/>
  <c r="AW111" i="71" s="1"/>
  <c r="AV117" i="71"/>
  <c r="AV105" i="72"/>
  <c r="AV161" i="72" s="1"/>
  <c r="AU130" i="72"/>
  <c r="AU147" i="71" s="1"/>
  <c r="AU148" i="71"/>
  <c r="AV131" i="72"/>
  <c r="AV64" i="72"/>
  <c r="AV74" i="71"/>
  <c r="AV127" i="72"/>
  <c r="AU142" i="71"/>
  <c r="AW43" i="71"/>
  <c r="AW106" i="72"/>
  <c r="AW65" i="72"/>
  <c r="BD3" i="71"/>
  <c r="BD3" i="68"/>
  <c r="AZ45" i="64"/>
  <c r="AZ39" i="64"/>
  <c r="AZ37" i="64"/>
  <c r="BA7" i="64"/>
  <c r="BA7" i="65"/>
  <c r="AZ46" i="64"/>
  <c r="BA5" i="64"/>
  <c r="BA5" i="65"/>
  <c r="AN3" i="64"/>
  <c r="AN3" i="65"/>
  <c r="AZ38" i="64"/>
  <c r="AZ35" i="64"/>
  <c r="BA6" i="64"/>
  <c r="BA6" i="65"/>
  <c r="AZ36" i="64"/>
  <c r="AN3" i="62"/>
  <c r="BA6" i="62"/>
  <c r="BA7" i="62"/>
  <c r="BA5" i="62"/>
  <c r="BD22" i="65" l="1"/>
  <c r="BD22" i="68"/>
  <c r="BD175" i="68" s="1"/>
  <c r="BC56" i="65"/>
  <c r="BC66" i="65"/>
  <c r="BC87" i="65" s="1"/>
  <c r="BC147" i="68"/>
  <c r="BC163" i="68" s="1"/>
  <c r="BD81" i="65"/>
  <c r="BD39" i="65"/>
  <c r="BD26" i="68"/>
  <c r="BD383" i="68" s="1"/>
  <c r="BD26" i="65"/>
  <c r="BB204" i="68"/>
  <c r="BB216" i="68" s="1"/>
  <c r="BB79" i="68"/>
  <c r="BB85" i="68" s="1"/>
  <c r="BE2" i="72"/>
  <c r="BE22" i="3"/>
  <c r="BD109" i="68"/>
  <c r="BD107" i="68"/>
  <c r="BD108" i="68"/>
  <c r="BD110" i="68"/>
  <c r="BD210" i="68"/>
  <c r="BD161" i="68"/>
  <c r="AY73" i="68"/>
  <c r="AY129" i="68" s="1"/>
  <c r="AY89" i="68"/>
  <c r="AY130" i="68" s="1"/>
  <c r="AW42" i="71"/>
  <c r="AW49" i="71" s="1"/>
  <c r="AW187" i="72"/>
  <c r="AX121" i="71"/>
  <c r="AX112" i="71"/>
  <c r="AU154" i="71"/>
  <c r="AY185" i="68"/>
  <c r="AY283" i="68" s="1"/>
  <c r="AY55" i="68"/>
  <c r="AY40" i="72" s="1"/>
  <c r="AY39" i="72" s="1"/>
  <c r="AY222" i="68"/>
  <c r="AY288" i="68" s="1"/>
  <c r="AY187" i="68"/>
  <c r="AY284" i="68" s="1"/>
  <c r="AY262" i="68"/>
  <c r="AY290" i="68" s="1"/>
  <c r="AY313" i="68"/>
  <c r="AY36" i="72" s="1"/>
  <c r="AY278" i="68"/>
  <c r="AY291" i="68" s="1"/>
  <c r="AY183" i="68"/>
  <c r="AY282" i="68" s="1"/>
  <c r="AY118" i="68"/>
  <c r="AY119" i="68"/>
  <c r="AY121" i="68"/>
  <c r="AY120" i="68"/>
  <c r="AT109" i="71"/>
  <c r="AR140" i="71"/>
  <c r="AS125" i="72"/>
  <c r="AS57" i="71"/>
  <c r="AT52" i="72"/>
  <c r="AV27" i="72"/>
  <c r="AV26" i="71" s="1"/>
  <c r="AV34" i="72"/>
  <c r="AU35" i="71"/>
  <c r="AU100" i="72"/>
  <c r="AS66" i="71"/>
  <c r="AT59" i="72"/>
  <c r="AS118" i="72"/>
  <c r="AR131" i="71"/>
  <c r="AU26" i="71"/>
  <c r="AU93" i="72"/>
  <c r="AU100" i="71" s="1"/>
  <c r="AW131" i="68"/>
  <c r="AW133" i="68" s="1"/>
  <c r="AX123" i="68"/>
  <c r="AV73" i="71"/>
  <c r="AV80" i="71" s="1"/>
  <c r="AY417" i="68"/>
  <c r="AY476" i="68" s="1"/>
  <c r="AZ17" i="72"/>
  <c r="AW143" i="71"/>
  <c r="AX128" i="72"/>
  <c r="AW151" i="71"/>
  <c r="AX134" i="72"/>
  <c r="AW152" i="71"/>
  <c r="AX135" i="72"/>
  <c r="AZ34" i="68"/>
  <c r="AW139" i="71"/>
  <c r="AX124" i="72"/>
  <c r="AW149" i="71"/>
  <c r="AX132" i="72"/>
  <c r="AX117" i="72"/>
  <c r="AW130" i="71"/>
  <c r="AZ36" i="68"/>
  <c r="AY99" i="72"/>
  <c r="AY108" i="71" s="1"/>
  <c r="AY108" i="72"/>
  <c r="AY119" i="71" s="1"/>
  <c r="AY92" i="72"/>
  <c r="AY99" i="71" s="1"/>
  <c r="AY109" i="72"/>
  <c r="AY120" i="71" s="1"/>
  <c r="AY103" i="72"/>
  <c r="AY110" i="72"/>
  <c r="AY107" i="72"/>
  <c r="AY118" i="71" s="1"/>
  <c r="AY95" i="72"/>
  <c r="AY102" i="71" s="1"/>
  <c r="AZ38" i="68"/>
  <c r="AZ16" i="72"/>
  <c r="AZ37" i="68"/>
  <c r="AX120" i="72"/>
  <c r="AW133" i="71"/>
  <c r="AW150" i="71"/>
  <c r="AX133" i="72"/>
  <c r="AW127" i="72"/>
  <c r="AV142" i="71"/>
  <c r="AW117" i="71"/>
  <c r="AW105" i="72"/>
  <c r="AV116" i="71"/>
  <c r="AV123" i="71" s="1"/>
  <c r="AW64" i="72"/>
  <c r="AW73" i="71" s="1"/>
  <c r="AW74" i="71"/>
  <c r="AX61" i="72"/>
  <c r="AX68" i="71" s="1"/>
  <c r="AX37" i="71"/>
  <c r="AX102" i="72"/>
  <c r="AX111" i="71" s="1"/>
  <c r="AX43" i="71"/>
  <c r="AX106" i="72"/>
  <c r="AV130" i="72"/>
  <c r="AV147" i="71" s="1"/>
  <c r="AV148" i="71"/>
  <c r="AW131" i="72"/>
  <c r="AX65" i="72"/>
  <c r="BE2" i="71"/>
  <c r="BE3" i="3"/>
  <c r="BE3" i="72" s="1"/>
  <c r="BG41" i="72" s="1"/>
  <c r="BG44" i="71" s="1"/>
  <c r="BE2" i="68"/>
  <c r="BA45" i="64"/>
  <c r="BA36" i="64"/>
  <c r="AZ35" i="68"/>
  <c r="BB6" i="65"/>
  <c r="BA46" i="64"/>
  <c r="BB7" i="64"/>
  <c r="BB7" i="65"/>
  <c r="BA37" i="64"/>
  <c r="BA39" i="64"/>
  <c r="BA38" i="64"/>
  <c r="BA35" i="64"/>
  <c r="AO2" i="64"/>
  <c r="AO2" i="65"/>
  <c r="BB5" i="64"/>
  <c r="BB5" i="65"/>
  <c r="BB6" i="64"/>
  <c r="AO2" i="62"/>
  <c r="BB6" i="62"/>
  <c r="BB5" i="62"/>
  <c r="BB7" i="62"/>
  <c r="BD167" i="68" l="1"/>
  <c r="BD159" i="68"/>
  <c r="BE28" i="3"/>
  <c r="BE20" i="65"/>
  <c r="BE20" i="68"/>
  <c r="BE108" i="68" s="1"/>
  <c r="BC270" i="68"/>
  <c r="BC274" i="68" s="1"/>
  <c r="BC232" i="68"/>
  <c r="BC238" i="68" s="1"/>
  <c r="BC305" i="68"/>
  <c r="BC309" i="68" s="1"/>
  <c r="BC254" i="68"/>
  <c r="BC258" i="68" s="1"/>
  <c r="BC203" i="68"/>
  <c r="BC68" i="65"/>
  <c r="BC63" i="68"/>
  <c r="BC69" i="68" s="1"/>
  <c r="BD47" i="68"/>
  <c r="BD51" i="68" s="1"/>
  <c r="BD54" i="65"/>
  <c r="BE24" i="3"/>
  <c r="BD112" i="68"/>
  <c r="AZ89" i="68"/>
  <c r="AZ130" i="68" s="1"/>
  <c r="AZ73" i="68"/>
  <c r="AZ129" i="68" s="1"/>
  <c r="AX42" i="71"/>
  <c r="AX49" i="71" s="1"/>
  <c r="AX187" i="72"/>
  <c r="AY121" i="71"/>
  <c r="AY112" i="71"/>
  <c r="AV154" i="71"/>
  <c r="AW80" i="71"/>
  <c r="AZ55" i="68"/>
  <c r="AZ185" i="68"/>
  <c r="AZ283" i="68" s="1"/>
  <c r="AZ222" i="68"/>
  <c r="AZ288" i="68" s="1"/>
  <c r="AZ187" i="68"/>
  <c r="AZ284" i="68" s="1"/>
  <c r="AZ278" i="68"/>
  <c r="AZ291" i="68" s="1"/>
  <c r="AZ313" i="68"/>
  <c r="AZ262" i="68"/>
  <c r="AZ290" i="68" s="1"/>
  <c r="AZ183" i="68"/>
  <c r="AZ282" i="68" s="1"/>
  <c r="AZ119" i="68"/>
  <c r="AZ118" i="68"/>
  <c r="AZ121" i="68"/>
  <c r="AZ120" i="68"/>
  <c r="AV93" i="72"/>
  <c r="AV100" i="71" s="1"/>
  <c r="AS140" i="71"/>
  <c r="AT125" i="72"/>
  <c r="AV100" i="72"/>
  <c r="AV35" i="71"/>
  <c r="AS131" i="71"/>
  <c r="AT118" i="72"/>
  <c r="AT66" i="71"/>
  <c r="AU59" i="72"/>
  <c r="BK59" i="72" s="1"/>
  <c r="BK66" i="71" s="1"/>
  <c r="AU109" i="71"/>
  <c r="AT57" i="71"/>
  <c r="AU52" i="72"/>
  <c r="BK52" i="72" s="1"/>
  <c r="BK57" i="71" s="1"/>
  <c r="AW34" i="72"/>
  <c r="AW35" i="71" s="1"/>
  <c r="AW27" i="72"/>
  <c r="AW93" i="72" s="1"/>
  <c r="AW100" i="71" s="1"/>
  <c r="AX131" i="68"/>
  <c r="AX133" i="68" s="1"/>
  <c r="AY123" i="68"/>
  <c r="AY131" i="68" s="1"/>
  <c r="BM33" i="72"/>
  <c r="BM34" i="71" s="1"/>
  <c r="BJ26" i="72"/>
  <c r="BJ25" i="71" s="1"/>
  <c r="BH42" i="72"/>
  <c r="BH45" i="71" s="1"/>
  <c r="BL43" i="72"/>
  <c r="BL46" i="71" s="1"/>
  <c r="BK92" i="72"/>
  <c r="BK99" i="71" s="1"/>
  <c r="BJ93" i="72"/>
  <c r="BJ100" i="71" s="1"/>
  <c r="BK108" i="72"/>
  <c r="BK119" i="71" s="1"/>
  <c r="BK99" i="72"/>
  <c r="BK108" i="71" s="1"/>
  <c r="BJ40" i="72"/>
  <c r="BJ43" i="71" s="1"/>
  <c r="BJ37" i="72"/>
  <c r="BJ38" i="71" s="1"/>
  <c r="BI93" i="72"/>
  <c r="BI100" i="71" s="1"/>
  <c r="BI33" i="72"/>
  <c r="BI34" i="71" s="1"/>
  <c r="BL33" i="72"/>
  <c r="BL34" i="71" s="1"/>
  <c r="BL29" i="72"/>
  <c r="BL28" i="71" s="1"/>
  <c r="BJ42" i="72"/>
  <c r="BJ45" i="71" s="1"/>
  <c r="BJ39" i="72"/>
  <c r="BJ42" i="71" s="1"/>
  <c r="BK100" i="72"/>
  <c r="BK109" i="71" s="1"/>
  <c r="BJ106" i="72"/>
  <c r="BJ117" i="71" s="1"/>
  <c r="BJ36" i="72"/>
  <c r="BJ37" i="71" s="1"/>
  <c r="BJ102" i="72"/>
  <c r="BJ111" i="71" s="1"/>
  <c r="BI105" i="72"/>
  <c r="BI116" i="71" s="1"/>
  <c r="BI100" i="72"/>
  <c r="BI109" i="71" s="1"/>
  <c r="BH26" i="72"/>
  <c r="BH25" i="71" s="1"/>
  <c r="BG29" i="72"/>
  <c r="BG28" i="71" s="1"/>
  <c r="BJ44" i="72"/>
  <c r="BJ47" i="71" s="1"/>
  <c r="BI40" i="72"/>
  <c r="BI43" i="71" s="1"/>
  <c r="BI103" i="72"/>
  <c r="BI112" i="71" s="1"/>
  <c r="BI106" i="72"/>
  <c r="BI117" i="71" s="1"/>
  <c r="BH44" i="72"/>
  <c r="BH47" i="71" s="1"/>
  <c r="BG44" i="72"/>
  <c r="BG47" i="71" s="1"/>
  <c r="BJ29" i="72"/>
  <c r="BJ28" i="71" s="1"/>
  <c r="BJ92" i="72"/>
  <c r="BJ99" i="71" s="1"/>
  <c r="BI39" i="72"/>
  <c r="BI42" i="71" s="1"/>
  <c r="BG39" i="72"/>
  <c r="BG42" i="71" s="1"/>
  <c r="BM42" i="72"/>
  <c r="BM45" i="71" s="1"/>
  <c r="BL42" i="72"/>
  <c r="BL45" i="71" s="1"/>
  <c r="BK43" i="72"/>
  <c r="BK46" i="71" s="1"/>
  <c r="BK110" i="72"/>
  <c r="BK121" i="71" s="1"/>
  <c r="BK95" i="72"/>
  <c r="BK102" i="71" s="1"/>
  <c r="BJ95" i="72"/>
  <c r="BJ102" i="71" s="1"/>
  <c r="BK36" i="72"/>
  <c r="BK37" i="71" s="1"/>
  <c r="BK40" i="72"/>
  <c r="BK43" i="71" s="1"/>
  <c r="BK33" i="72"/>
  <c r="BK34" i="71" s="1"/>
  <c r="BI44" i="72"/>
  <c r="BI47" i="71" s="1"/>
  <c r="BI41" i="72"/>
  <c r="BI44" i="71" s="1"/>
  <c r="BI42" i="72"/>
  <c r="BI45" i="71" s="1"/>
  <c r="BH37" i="72"/>
  <c r="BH38" i="71" s="1"/>
  <c r="BG26" i="72"/>
  <c r="BG25" i="71" s="1"/>
  <c r="BG43" i="72"/>
  <c r="BG46" i="71" s="1"/>
  <c r="BH29" i="72"/>
  <c r="BH28" i="71" s="1"/>
  <c r="BG67" i="72"/>
  <c r="BG76" i="71" s="1"/>
  <c r="BH43" i="72"/>
  <c r="BH46" i="71" s="1"/>
  <c r="BH33" i="72"/>
  <c r="BH34" i="71" s="1"/>
  <c r="BG54" i="72"/>
  <c r="BG59" i="71" s="1"/>
  <c r="BG66" i="72"/>
  <c r="BG75" i="71" s="1"/>
  <c r="BH134" i="72"/>
  <c r="BH151" i="71" s="1"/>
  <c r="BG69" i="72"/>
  <c r="BG78" i="71" s="1"/>
  <c r="BG58" i="72"/>
  <c r="BG65" i="71" s="1"/>
  <c r="BG51" i="72"/>
  <c r="BG56" i="71" s="1"/>
  <c r="BG62" i="72"/>
  <c r="BG69" i="71" s="1"/>
  <c r="BH66" i="72"/>
  <c r="BH75" i="71" s="1"/>
  <c r="BH69" i="72"/>
  <c r="BH78" i="71" s="1"/>
  <c r="BH51" i="72"/>
  <c r="BH56" i="71" s="1"/>
  <c r="BH68" i="72"/>
  <c r="BH77" i="71" s="1"/>
  <c r="BH67" i="72"/>
  <c r="BH76" i="71" s="1"/>
  <c r="BH58" i="72"/>
  <c r="BH65" i="71" s="1"/>
  <c r="BH62" i="72"/>
  <c r="BH69" i="71" s="1"/>
  <c r="BG68" i="72"/>
  <c r="BG77" i="71" s="1"/>
  <c r="BH54" i="72"/>
  <c r="BH59" i="71" s="1"/>
  <c r="BI29" i="72"/>
  <c r="BI28" i="71" s="1"/>
  <c r="BI26" i="72"/>
  <c r="BI25" i="71" s="1"/>
  <c r="BI95" i="72"/>
  <c r="BI102" i="71" s="1"/>
  <c r="BI37" i="72"/>
  <c r="BI38" i="71" s="1"/>
  <c r="BI64" i="72"/>
  <c r="BI73" i="71" s="1"/>
  <c r="BI69" i="72"/>
  <c r="BI78" i="71" s="1"/>
  <c r="BI66" i="72"/>
  <c r="BI75" i="71" s="1"/>
  <c r="BI125" i="72"/>
  <c r="BI140" i="71" s="1"/>
  <c r="BI133" i="72"/>
  <c r="BI150" i="71" s="1"/>
  <c r="BI131" i="72"/>
  <c r="BI148" i="71" s="1"/>
  <c r="BI54" i="72"/>
  <c r="BI59" i="71" s="1"/>
  <c r="BI67" i="72"/>
  <c r="BI76" i="71" s="1"/>
  <c r="BI120" i="72"/>
  <c r="BI133" i="71" s="1"/>
  <c r="BI51" i="72"/>
  <c r="BI56" i="71" s="1"/>
  <c r="BI68" i="72"/>
  <c r="BI77" i="71" s="1"/>
  <c r="BI117" i="72"/>
  <c r="BI130" i="71" s="1"/>
  <c r="BI52" i="72"/>
  <c r="BI57" i="71" s="1"/>
  <c r="BI134" i="72"/>
  <c r="BI151" i="71" s="1"/>
  <c r="BI130" i="72"/>
  <c r="BI147" i="71" s="1"/>
  <c r="BI61" i="72"/>
  <c r="BI68" i="71" s="1"/>
  <c r="BI128" i="72"/>
  <c r="BI143" i="71" s="1"/>
  <c r="BI127" i="72"/>
  <c r="BI142" i="71" s="1"/>
  <c r="BI65" i="72"/>
  <c r="BI74" i="71" s="1"/>
  <c r="BI124" i="72"/>
  <c r="BI139" i="71" s="1"/>
  <c r="BI62" i="72"/>
  <c r="BI69" i="71" s="1"/>
  <c r="BI132" i="72"/>
  <c r="BI149" i="71" s="1"/>
  <c r="BI118" i="72"/>
  <c r="BI131" i="71" s="1"/>
  <c r="BI59" i="72"/>
  <c r="BI66" i="71" s="1"/>
  <c r="BI58" i="72"/>
  <c r="BI65" i="71" s="1"/>
  <c r="BI135" i="72"/>
  <c r="BI152" i="71" s="1"/>
  <c r="BJ124" i="72"/>
  <c r="BJ139" i="71" s="1"/>
  <c r="BJ127" i="72"/>
  <c r="BJ142" i="71" s="1"/>
  <c r="BJ68" i="72"/>
  <c r="BJ77" i="71" s="1"/>
  <c r="BJ131" i="72"/>
  <c r="BJ148" i="71" s="1"/>
  <c r="BJ120" i="72"/>
  <c r="BJ133" i="71" s="1"/>
  <c r="BJ67" i="72"/>
  <c r="BJ76" i="71" s="1"/>
  <c r="BJ58" i="72"/>
  <c r="BJ65" i="71" s="1"/>
  <c r="BJ132" i="72"/>
  <c r="BJ149" i="71" s="1"/>
  <c r="BJ65" i="72"/>
  <c r="BJ74" i="71" s="1"/>
  <c r="BJ61" i="72"/>
  <c r="BJ68" i="71" s="1"/>
  <c r="BJ117" i="72"/>
  <c r="BJ130" i="71" s="1"/>
  <c r="BJ64" i="72"/>
  <c r="BJ73" i="71" s="1"/>
  <c r="BJ66" i="72"/>
  <c r="BJ75" i="71" s="1"/>
  <c r="BJ62" i="72"/>
  <c r="BJ69" i="71" s="1"/>
  <c r="BJ125" i="72"/>
  <c r="BJ140" i="71" s="1"/>
  <c r="BJ135" i="72"/>
  <c r="BJ152" i="71" s="1"/>
  <c r="BJ52" i="72"/>
  <c r="BJ57" i="71" s="1"/>
  <c r="BJ51" i="72"/>
  <c r="BJ56" i="71" s="1"/>
  <c r="BJ69" i="72"/>
  <c r="BJ78" i="71" s="1"/>
  <c r="BJ128" i="72"/>
  <c r="BJ143" i="71" s="1"/>
  <c r="BJ134" i="72"/>
  <c r="BJ151" i="71" s="1"/>
  <c r="BJ133" i="72"/>
  <c r="BJ150" i="71" s="1"/>
  <c r="BJ59" i="72"/>
  <c r="BJ66" i="71" s="1"/>
  <c r="BJ54" i="72"/>
  <c r="BJ59" i="71" s="1"/>
  <c r="BJ130" i="72"/>
  <c r="BJ147" i="71" s="1"/>
  <c r="BJ118" i="72"/>
  <c r="BJ131" i="71" s="1"/>
  <c r="BK120" i="72"/>
  <c r="BK133" i="71" s="1"/>
  <c r="BK67" i="72"/>
  <c r="BK76" i="71" s="1"/>
  <c r="BK128" i="72"/>
  <c r="BK143" i="71" s="1"/>
  <c r="BK51" i="72"/>
  <c r="BK56" i="71" s="1"/>
  <c r="BK54" i="72"/>
  <c r="BK59" i="71" s="1"/>
  <c r="BK130" i="72"/>
  <c r="BK147" i="71" s="1"/>
  <c r="BK117" i="72"/>
  <c r="BK130" i="71" s="1"/>
  <c r="BK61" i="72"/>
  <c r="BK68" i="71" s="1"/>
  <c r="BK131" i="72"/>
  <c r="BK148" i="71" s="1"/>
  <c r="BK135" i="72"/>
  <c r="BK152" i="71" s="1"/>
  <c r="BK127" i="72"/>
  <c r="BK142" i="71" s="1"/>
  <c r="BK66" i="72"/>
  <c r="BK75" i="71" s="1"/>
  <c r="BK69" i="72"/>
  <c r="BK78" i="71" s="1"/>
  <c r="BK64" i="72"/>
  <c r="BK73" i="71" s="1"/>
  <c r="BK132" i="72"/>
  <c r="BK149" i="71" s="1"/>
  <c r="BK68" i="72"/>
  <c r="BK77" i="71" s="1"/>
  <c r="BK62" i="72"/>
  <c r="BK69" i="71" s="1"/>
  <c r="BK124" i="72"/>
  <c r="BK139" i="71" s="1"/>
  <c r="BK58" i="72"/>
  <c r="BK65" i="71" s="1"/>
  <c r="BK65" i="72"/>
  <c r="BK74" i="71" s="1"/>
  <c r="BK134" i="72"/>
  <c r="BK151" i="71" s="1"/>
  <c r="BK133" i="72"/>
  <c r="BK150" i="71" s="1"/>
  <c r="BL66" i="72"/>
  <c r="BL75" i="71" s="1"/>
  <c r="BL51" i="72"/>
  <c r="BL56" i="71" s="1"/>
  <c r="BL62" i="72"/>
  <c r="BL69" i="71" s="1"/>
  <c r="BL69" i="72"/>
  <c r="BL78" i="71" s="1"/>
  <c r="BL54" i="72"/>
  <c r="BL59" i="71" s="1"/>
  <c r="BL68" i="72"/>
  <c r="BL77" i="71" s="1"/>
  <c r="BL67" i="72"/>
  <c r="BL76" i="71" s="1"/>
  <c r="BL58" i="72"/>
  <c r="BL65" i="71" s="1"/>
  <c r="BM69" i="72"/>
  <c r="BM78" i="71" s="1"/>
  <c r="BM66" i="72"/>
  <c r="BM75" i="71" s="1"/>
  <c r="BM62" i="72"/>
  <c r="BM69" i="71" s="1"/>
  <c r="BM51" i="72"/>
  <c r="BM56" i="71" s="1"/>
  <c r="BM54" i="72"/>
  <c r="BM59" i="71" s="1"/>
  <c r="BM58" i="72"/>
  <c r="BM65" i="71" s="1"/>
  <c r="BM68" i="72"/>
  <c r="BM77" i="71" s="1"/>
  <c r="BM67" i="72"/>
  <c r="BM76" i="71" s="1"/>
  <c r="BG103" i="72"/>
  <c r="BG112" i="71" s="1"/>
  <c r="BG99" i="72"/>
  <c r="BG108" i="71" s="1"/>
  <c r="BG110" i="72"/>
  <c r="BG121" i="71" s="1"/>
  <c r="BG108" i="72"/>
  <c r="BG119" i="71" s="1"/>
  <c r="BG107" i="72"/>
  <c r="BG118" i="71" s="1"/>
  <c r="BG109" i="72"/>
  <c r="BG120" i="71" s="1"/>
  <c r="BG102" i="72"/>
  <c r="BG111" i="71" s="1"/>
  <c r="BG105" i="72"/>
  <c r="BG116" i="71" s="1"/>
  <c r="BG93" i="72"/>
  <c r="BG100" i="71" s="1"/>
  <c r="BG27" i="72"/>
  <c r="BG26" i="71" s="1"/>
  <c r="BG40" i="72"/>
  <c r="BG43" i="71" s="1"/>
  <c r="BG65" i="72"/>
  <c r="BG74" i="71" s="1"/>
  <c r="BG135" i="72"/>
  <c r="BG152" i="71" s="1"/>
  <c r="BG134" i="72"/>
  <c r="BG151" i="71" s="1"/>
  <c r="BG128" i="72"/>
  <c r="BG143" i="71" s="1"/>
  <c r="BG117" i="72"/>
  <c r="BG130" i="71" s="1"/>
  <c r="BG132" i="72"/>
  <c r="BG149" i="71" s="1"/>
  <c r="BG124" i="72"/>
  <c r="BG139" i="71" s="1"/>
  <c r="BG61" i="72"/>
  <c r="BG68" i="71" s="1"/>
  <c r="BG120" i="72"/>
  <c r="BG133" i="71" s="1"/>
  <c r="BG100" i="72"/>
  <c r="BG109" i="71" s="1"/>
  <c r="BG125" i="72"/>
  <c r="BG140" i="71" s="1"/>
  <c r="BG64" i="72"/>
  <c r="BG73" i="71" s="1"/>
  <c r="BG131" i="72"/>
  <c r="BG148" i="71" s="1"/>
  <c r="BG118" i="72"/>
  <c r="BG131" i="71" s="1"/>
  <c r="BG133" i="72"/>
  <c r="BG150" i="71" s="1"/>
  <c r="BG59" i="72"/>
  <c r="BG66" i="71" s="1"/>
  <c r="BG127" i="72"/>
  <c r="BG142" i="71" s="1"/>
  <c r="BG52" i="72"/>
  <c r="BG57" i="71" s="1"/>
  <c r="BG130" i="72"/>
  <c r="BG147" i="71" s="1"/>
  <c r="BG92" i="72"/>
  <c r="BG99" i="71" s="1"/>
  <c r="BL44" i="72"/>
  <c r="BL47" i="71" s="1"/>
  <c r="BK42" i="72"/>
  <c r="BK45" i="71" s="1"/>
  <c r="BJ108" i="72"/>
  <c r="BJ119" i="71" s="1"/>
  <c r="BI92" i="72"/>
  <c r="BI99" i="71" s="1"/>
  <c r="BI27" i="72"/>
  <c r="BI26" i="71" s="1"/>
  <c r="BI107" i="72"/>
  <c r="BI118" i="71" s="1"/>
  <c r="BG42" i="72"/>
  <c r="BG45" i="71" s="1"/>
  <c r="BK37" i="72"/>
  <c r="BK38" i="71" s="1"/>
  <c r="BG36" i="72"/>
  <c r="BG37" i="71" s="1"/>
  <c r="BK109" i="72"/>
  <c r="BK120" i="71" s="1"/>
  <c r="BJ99" i="72"/>
  <c r="BJ108" i="71" s="1"/>
  <c r="BK41" i="72"/>
  <c r="BK44" i="71" s="1"/>
  <c r="BK39" i="72"/>
  <c r="BK42" i="71" s="1"/>
  <c r="BJ107" i="72"/>
  <c r="BJ118" i="71" s="1"/>
  <c r="BG95" i="72"/>
  <c r="BG102" i="71" s="1"/>
  <c r="BL41" i="72"/>
  <c r="BL44" i="71" s="1"/>
  <c r="BM43" i="72"/>
  <c r="BM46" i="71" s="1"/>
  <c r="BK34" i="72"/>
  <c r="BK35" i="71" s="1"/>
  <c r="BK27" i="72"/>
  <c r="BK26" i="71" s="1"/>
  <c r="BK29" i="72"/>
  <c r="BK28" i="71" s="1"/>
  <c r="BK93" i="72"/>
  <c r="BK100" i="71" s="1"/>
  <c r="BJ43" i="72"/>
  <c r="BJ46" i="71" s="1"/>
  <c r="BI108" i="72"/>
  <c r="BI119" i="71" s="1"/>
  <c r="BI109" i="72"/>
  <c r="BI120" i="71" s="1"/>
  <c r="BG33" i="72"/>
  <c r="BG34" i="71" s="1"/>
  <c r="BK107" i="72"/>
  <c r="BK118" i="71" s="1"/>
  <c r="BK106" i="72"/>
  <c r="BK117" i="71" s="1"/>
  <c r="BL37" i="72"/>
  <c r="BL38" i="71" s="1"/>
  <c r="BM41" i="72"/>
  <c r="BM44" i="71" s="1"/>
  <c r="BK102" i="72"/>
  <c r="BK111" i="71" s="1"/>
  <c r="BK44" i="72"/>
  <c r="BK47" i="71" s="1"/>
  <c r="BJ41" i="72"/>
  <c r="BJ44" i="71" s="1"/>
  <c r="BJ109" i="72"/>
  <c r="BJ120" i="71" s="1"/>
  <c r="BJ33" i="72"/>
  <c r="BJ34" i="71" s="1"/>
  <c r="BJ103" i="72"/>
  <c r="BJ112" i="71" s="1"/>
  <c r="BI99" i="72"/>
  <c r="BI108" i="71" s="1"/>
  <c r="BH41" i="72"/>
  <c r="BH44" i="71" s="1"/>
  <c r="BJ34" i="72"/>
  <c r="BJ35" i="71" s="1"/>
  <c r="BG34" i="72"/>
  <c r="BG35" i="71" s="1"/>
  <c r="BM37" i="72"/>
  <c r="BM38" i="71" s="1"/>
  <c r="BL26" i="72"/>
  <c r="BL25" i="71" s="1"/>
  <c r="BK105" i="72"/>
  <c r="BK116" i="71" s="1"/>
  <c r="BG106" i="72"/>
  <c r="BG117" i="71" s="1"/>
  <c r="BM26" i="72"/>
  <c r="BM25" i="71" s="1"/>
  <c r="BM29" i="72"/>
  <c r="BM28" i="71" s="1"/>
  <c r="BM44" i="72"/>
  <c r="BM47" i="71" s="1"/>
  <c r="BK26" i="72"/>
  <c r="BK25" i="71" s="1"/>
  <c r="BJ110" i="72"/>
  <c r="BJ121" i="71" s="1"/>
  <c r="BJ100" i="72"/>
  <c r="BJ109" i="71" s="1"/>
  <c r="BK103" i="72"/>
  <c r="BK112" i="71" s="1"/>
  <c r="BJ105" i="72"/>
  <c r="BJ116" i="71" s="1"/>
  <c r="BJ27" i="72"/>
  <c r="BJ26" i="71" s="1"/>
  <c r="BI43" i="72"/>
  <c r="BI46" i="71" s="1"/>
  <c r="BI102" i="72"/>
  <c r="BI111" i="71" s="1"/>
  <c r="BI34" i="72"/>
  <c r="BI35" i="71" s="1"/>
  <c r="BI36" i="72"/>
  <c r="BI37" i="71" s="1"/>
  <c r="BG37" i="72"/>
  <c r="BG38" i="71" s="1"/>
  <c r="AY133" i="72"/>
  <c r="AX150" i="71"/>
  <c r="AZ99" i="72"/>
  <c r="AZ108" i="71" s="1"/>
  <c r="AZ110" i="72"/>
  <c r="AZ108" i="72"/>
  <c r="AZ119" i="71" s="1"/>
  <c r="AZ95" i="72"/>
  <c r="AZ102" i="71" s="1"/>
  <c r="AZ107" i="72"/>
  <c r="AZ92" i="72"/>
  <c r="AZ99" i="71" s="1"/>
  <c r="AZ109" i="72"/>
  <c r="AZ103" i="72"/>
  <c r="AX139" i="71"/>
  <c r="AY124" i="72"/>
  <c r="AX151" i="71"/>
  <c r="AY134" i="72"/>
  <c r="BA34" i="68"/>
  <c r="BA37" i="68"/>
  <c r="BA35" i="68"/>
  <c r="AX143" i="71"/>
  <c r="AY128" i="72"/>
  <c r="BA38" i="68"/>
  <c r="AY120" i="72"/>
  <c r="AX133" i="71"/>
  <c r="BA36" i="68"/>
  <c r="AY117" i="72"/>
  <c r="AX130" i="71"/>
  <c r="AX149" i="71"/>
  <c r="AY132" i="72"/>
  <c r="AY135" i="72"/>
  <c r="AX152" i="71"/>
  <c r="BA17" i="72"/>
  <c r="BA16" i="72"/>
  <c r="AW116" i="71"/>
  <c r="AW123" i="71" s="1"/>
  <c r="AW161" i="72"/>
  <c r="AW130" i="72"/>
  <c r="AW147" i="71" s="1"/>
  <c r="AW148" i="71"/>
  <c r="AX131" i="72"/>
  <c r="AY61" i="72"/>
  <c r="AY68" i="71" s="1"/>
  <c r="AY37" i="71"/>
  <c r="AY102" i="72"/>
  <c r="AX64" i="72"/>
  <c r="AX74" i="71"/>
  <c r="AX117" i="71"/>
  <c r="AX105" i="72"/>
  <c r="AY187" i="72"/>
  <c r="AY43" i="71"/>
  <c r="AY106" i="72"/>
  <c r="AX127" i="72"/>
  <c r="AW142" i="71"/>
  <c r="AY65" i="72"/>
  <c r="BB45" i="64"/>
  <c r="BE3" i="68"/>
  <c r="BH238" i="68" s="1"/>
  <c r="BE3" i="71"/>
  <c r="AZ417" i="68"/>
  <c r="AZ476" i="68" s="1"/>
  <c r="BB38" i="64"/>
  <c r="BB39" i="64"/>
  <c r="BB37" i="64"/>
  <c r="BB36" i="64"/>
  <c r="BC7" i="64"/>
  <c r="BC7" i="65"/>
  <c r="BC6" i="64"/>
  <c r="BC6" i="65"/>
  <c r="BC5" i="64"/>
  <c r="BC5" i="65"/>
  <c r="BB46" i="64"/>
  <c r="AO3" i="64"/>
  <c r="AO3" i="65"/>
  <c r="BB35" i="64"/>
  <c r="AO3" i="62"/>
  <c r="BC6" i="62"/>
  <c r="BC7" i="62"/>
  <c r="BC5" i="62"/>
  <c r="BE22" i="65" l="1"/>
  <c r="BE22" i="68"/>
  <c r="BD56" i="65"/>
  <c r="BD66" i="65"/>
  <c r="BD87" i="65" s="1"/>
  <c r="BD147" i="68"/>
  <c r="BD163" i="68" s="1"/>
  <c r="BE81" i="65"/>
  <c r="A81" i="65" s="1"/>
  <c r="BE39" i="65"/>
  <c r="BC204" i="68"/>
  <c r="BC216" i="68" s="1"/>
  <c r="BC79" i="68"/>
  <c r="BC85" i="68" s="1"/>
  <c r="BE26" i="65"/>
  <c r="BE26" i="68"/>
  <c r="BG238" i="68"/>
  <c r="BI238" i="68"/>
  <c r="BJ238" i="68"/>
  <c r="BL238" i="68"/>
  <c r="BK238" i="68"/>
  <c r="BE109" i="68"/>
  <c r="BM109" i="68" s="1"/>
  <c r="BE110" i="68"/>
  <c r="BM110" i="68" s="1"/>
  <c r="BL210" i="68"/>
  <c r="BK210" i="68"/>
  <c r="BJ210" i="68"/>
  <c r="BI210" i="68"/>
  <c r="BG210" i="68"/>
  <c r="BH210" i="68"/>
  <c r="BE107" i="68"/>
  <c r="BM107" i="68" s="1"/>
  <c r="BG175" i="68"/>
  <c r="BH175" i="68"/>
  <c r="BL175" i="68"/>
  <c r="BK175" i="68"/>
  <c r="BJ175" i="68"/>
  <c r="BI175" i="68"/>
  <c r="BI291" i="68"/>
  <c r="BG167" i="68"/>
  <c r="BH167" i="68"/>
  <c r="BL167" i="68"/>
  <c r="BK167" i="68"/>
  <c r="BJ167" i="68"/>
  <c r="BI167" i="68"/>
  <c r="BE161" i="68"/>
  <c r="BM161" i="68" s="1"/>
  <c r="BE383" i="68"/>
  <c r="BM383" i="68" s="1"/>
  <c r="BA73" i="68"/>
  <c r="BA129" i="68" s="1"/>
  <c r="BA89" i="68"/>
  <c r="BA130" i="68" s="1"/>
  <c r="BJ154" i="71"/>
  <c r="AZ121" i="71"/>
  <c r="BK154" i="71"/>
  <c r="BG154" i="71"/>
  <c r="AW154" i="71"/>
  <c r="BI154" i="71"/>
  <c r="BK123" i="71"/>
  <c r="BJ123" i="71"/>
  <c r="BG123" i="71"/>
  <c r="BK80" i="71"/>
  <c r="BI80" i="71"/>
  <c r="BG80" i="71"/>
  <c r="BJ80" i="71"/>
  <c r="BJ49" i="71"/>
  <c r="BK49" i="71"/>
  <c r="BI49" i="71"/>
  <c r="BG49" i="71"/>
  <c r="BL283" i="68"/>
  <c r="BL282" i="68"/>
  <c r="BL288" i="68"/>
  <c r="BL291" i="68"/>
  <c r="BL284" i="68"/>
  <c r="BA185" i="68"/>
  <c r="BA283" i="68" s="1"/>
  <c r="BA55" i="68"/>
  <c r="BA40" i="72" s="1"/>
  <c r="BA39" i="72" s="1"/>
  <c r="BA187" i="68"/>
  <c r="BA284" i="68" s="1"/>
  <c r="BA222" i="68"/>
  <c r="BA288" i="68" s="1"/>
  <c r="BA313" i="68"/>
  <c r="BA262" i="68"/>
  <c r="BA290" i="68" s="1"/>
  <c r="BA278" i="68"/>
  <c r="BA291" i="68" s="1"/>
  <c r="BA183" i="68"/>
  <c r="BA282" i="68" s="1"/>
  <c r="BL290" i="68"/>
  <c r="BG476" i="68"/>
  <c r="BA119" i="68"/>
  <c r="BA121" i="68"/>
  <c r="BA118" i="68"/>
  <c r="BA120" i="68"/>
  <c r="AW26" i="71"/>
  <c r="BK288" i="68"/>
  <c r="AW100" i="72"/>
  <c r="AW109" i="71" s="1"/>
  <c r="BH476" i="68"/>
  <c r="BG282" i="68"/>
  <c r="BG291" i="68"/>
  <c r="BI476" i="68"/>
  <c r="BI284" i="68"/>
  <c r="AU118" i="72"/>
  <c r="AT131" i="71"/>
  <c r="BG283" i="68"/>
  <c r="BK284" i="68"/>
  <c r="BJ288" i="68"/>
  <c r="BJ284" i="68"/>
  <c r="AV109" i="71"/>
  <c r="AX27" i="72"/>
  <c r="AX34" i="72"/>
  <c r="AU57" i="71"/>
  <c r="AV52" i="72"/>
  <c r="BG290" i="68"/>
  <c r="BL476" i="68"/>
  <c r="BK283" i="68"/>
  <c r="BJ282" i="68"/>
  <c r="BJ290" i="68"/>
  <c r="BG284" i="68"/>
  <c r="BK291" i="68"/>
  <c r="BK282" i="68"/>
  <c r="BG288" i="68"/>
  <c r="BK476" i="68"/>
  <c r="BI288" i="68"/>
  <c r="BI290" i="68"/>
  <c r="AU125" i="72"/>
  <c r="AT140" i="71"/>
  <c r="BJ476" i="68"/>
  <c r="AV59" i="72"/>
  <c r="AU66" i="71"/>
  <c r="BK290" i="68"/>
  <c r="BJ283" i="68"/>
  <c r="BJ291" i="68"/>
  <c r="BI283" i="68"/>
  <c r="BI282" i="68"/>
  <c r="BL187" i="68"/>
  <c r="BL130" i="68"/>
  <c r="BI131" i="68"/>
  <c r="BI130" i="68"/>
  <c r="BI129" i="68"/>
  <c r="BI133" i="68"/>
  <c r="BJ133" i="68"/>
  <c r="BG129" i="68"/>
  <c r="BK129" i="68"/>
  <c r="BG133" i="68"/>
  <c r="BG130" i="68"/>
  <c r="BG131" i="68"/>
  <c r="BH131" i="68"/>
  <c r="BK133" i="68"/>
  <c r="BK130" i="68"/>
  <c r="BJ130" i="68"/>
  <c r="AY133" i="68"/>
  <c r="BJ131" i="68"/>
  <c r="BL129" i="68"/>
  <c r="BK131" i="68"/>
  <c r="BJ129" i="68"/>
  <c r="AZ123" i="68"/>
  <c r="BL262" i="68"/>
  <c r="BL183" i="68"/>
  <c r="BL55" i="68"/>
  <c r="BL417" i="68"/>
  <c r="BG123" i="68"/>
  <c r="BI110" i="68"/>
  <c r="BJ107" i="68"/>
  <c r="BL222" i="68"/>
  <c r="BG120" i="68"/>
  <c r="BK185" i="68"/>
  <c r="BG89" i="68"/>
  <c r="BL120" i="68"/>
  <c r="BL185" i="68"/>
  <c r="BK109" i="68"/>
  <c r="BL313" i="68"/>
  <c r="BL278" i="68"/>
  <c r="BK159" i="68"/>
  <c r="BI55" i="68"/>
  <c r="BJ183" i="68"/>
  <c r="BG109" i="68"/>
  <c r="BG112" i="68"/>
  <c r="BG383" i="68"/>
  <c r="BG107" i="68"/>
  <c r="BG51" i="68"/>
  <c r="BH274" i="68"/>
  <c r="BH69" i="68"/>
  <c r="BH258" i="68"/>
  <c r="BH107" i="68"/>
  <c r="BH309" i="68"/>
  <c r="BH85" i="68"/>
  <c r="BH159" i="68"/>
  <c r="BH216" i="68"/>
  <c r="BH112" i="68"/>
  <c r="BH51" i="68"/>
  <c r="BH108" i="68"/>
  <c r="BH109" i="68"/>
  <c r="BH383" i="68"/>
  <c r="BI107" i="68"/>
  <c r="BI383" i="68"/>
  <c r="BI262" i="68"/>
  <c r="BI120" i="68"/>
  <c r="BI109" i="68"/>
  <c r="BI222" i="68"/>
  <c r="BG183" i="68"/>
  <c r="BG262" i="68"/>
  <c r="BG121" i="68"/>
  <c r="BG417" i="68"/>
  <c r="BG222" i="68"/>
  <c r="BG187" i="68"/>
  <c r="BG118" i="68"/>
  <c r="BG278" i="68"/>
  <c r="BG119" i="68"/>
  <c r="BG55" i="68"/>
  <c r="BG163" i="68"/>
  <c r="BG85" i="68"/>
  <c r="BG258" i="68"/>
  <c r="BG309" i="68"/>
  <c r="BI309" i="68"/>
  <c r="BI163" i="68"/>
  <c r="BK383" i="68"/>
  <c r="BL73" i="68"/>
  <c r="BK107" i="68"/>
  <c r="BK85" i="68"/>
  <c r="BK69" i="68"/>
  <c r="BJ118" i="68"/>
  <c r="BL309" i="68"/>
  <c r="BL51" i="68"/>
  <c r="BL112" i="68"/>
  <c r="BL110" i="68"/>
  <c r="BL118" i="68"/>
  <c r="BG108" i="68"/>
  <c r="BG161" i="68"/>
  <c r="BH110" i="68"/>
  <c r="BJ89" i="68"/>
  <c r="BJ274" i="68"/>
  <c r="BJ258" i="68"/>
  <c r="BK119" i="68"/>
  <c r="BJ262" i="68"/>
  <c r="BJ112" i="68"/>
  <c r="BK183" i="68"/>
  <c r="BJ278" i="68"/>
  <c r="BJ108" i="68"/>
  <c r="BL107" i="68"/>
  <c r="BK163" i="68"/>
  <c r="BK112" i="68"/>
  <c r="BG274" i="68"/>
  <c r="BI69" i="68"/>
  <c r="BI108" i="68"/>
  <c r="BI313" i="68"/>
  <c r="BJ222" i="68"/>
  <c r="BK222" i="68"/>
  <c r="BK123" i="68"/>
  <c r="BJ313" i="68"/>
  <c r="BK262" i="68"/>
  <c r="BL274" i="68"/>
  <c r="BK161" i="68"/>
  <c r="BL159" i="68"/>
  <c r="BK258" i="68"/>
  <c r="BL216" i="68"/>
  <c r="BM108" i="68"/>
  <c r="BG185" i="68"/>
  <c r="BI85" i="68"/>
  <c r="BI118" i="68"/>
  <c r="BJ185" i="68"/>
  <c r="BJ187" i="68"/>
  <c r="BK187" i="68"/>
  <c r="BJ159" i="68"/>
  <c r="BK51" i="68"/>
  <c r="BK73" i="68"/>
  <c r="BL69" i="68"/>
  <c r="BL163" i="68"/>
  <c r="BG110" i="68"/>
  <c r="BH161" i="68"/>
  <c r="BI183" i="68"/>
  <c r="BI417" i="68"/>
  <c r="BI112" i="68"/>
  <c r="BI216" i="68"/>
  <c r="BI258" i="68"/>
  <c r="BJ121" i="68"/>
  <c r="BJ51" i="68"/>
  <c r="BJ85" i="68"/>
  <c r="BK274" i="68"/>
  <c r="BK309" i="68"/>
  <c r="BK313" i="68"/>
  <c r="BL121" i="68"/>
  <c r="BL89" i="68"/>
  <c r="BL161" i="68"/>
  <c r="BK110" i="68"/>
  <c r="BG313" i="68"/>
  <c r="BG216" i="68"/>
  <c r="BI187" i="68"/>
  <c r="BI73" i="68"/>
  <c r="BI185" i="68"/>
  <c r="BJ309" i="68"/>
  <c r="BJ383" i="68"/>
  <c r="BJ110" i="68"/>
  <c r="BJ161" i="68"/>
  <c r="BK121" i="68"/>
  <c r="BK55" i="68"/>
  <c r="BK118" i="68"/>
  <c r="BK278" i="68"/>
  <c r="BK89" i="68"/>
  <c r="BG159" i="68"/>
  <c r="BG69" i="68"/>
  <c r="BI161" i="68"/>
  <c r="BI119" i="68"/>
  <c r="BI51" i="68"/>
  <c r="BI274" i="68"/>
  <c r="BI123" i="68"/>
  <c r="BJ109" i="68"/>
  <c r="BJ120" i="68"/>
  <c r="BJ163" i="68"/>
  <c r="BK216" i="68"/>
  <c r="BG73" i="68"/>
  <c r="BL85" i="68"/>
  <c r="BL258" i="68"/>
  <c r="BJ216" i="68"/>
  <c r="BK417" i="68"/>
  <c r="BL383" i="68"/>
  <c r="BL108" i="68"/>
  <c r="BJ73" i="68"/>
  <c r="BJ69" i="68"/>
  <c r="BK120" i="68"/>
  <c r="BJ55" i="68"/>
  <c r="BJ119" i="68"/>
  <c r="BI159" i="68"/>
  <c r="AZ112" i="71"/>
  <c r="BL103" i="72"/>
  <c r="BL112" i="71" s="1"/>
  <c r="BL109" i="68"/>
  <c r="BI89" i="68"/>
  <c r="BH163" i="68"/>
  <c r="BL108" i="72"/>
  <c r="BL119" i="71" s="1"/>
  <c r="BL119" i="68"/>
  <c r="BK108" i="68"/>
  <c r="BJ417" i="68"/>
  <c r="BJ123" i="68"/>
  <c r="BI121" i="68"/>
  <c r="BL95" i="72"/>
  <c r="BL102" i="71" s="1"/>
  <c r="BL110" i="72"/>
  <c r="BL121" i="71" s="1"/>
  <c r="BL92" i="72"/>
  <c r="BL99" i="71" s="1"/>
  <c r="AY42" i="71"/>
  <c r="AY49" i="71" s="1"/>
  <c r="BL99" i="72"/>
  <c r="BL108" i="71" s="1"/>
  <c r="AY111" i="71"/>
  <c r="AZ120" i="71"/>
  <c r="BL109" i="72"/>
  <c r="BL120" i="71" s="1"/>
  <c r="AZ118" i="71"/>
  <c r="BL107" i="72"/>
  <c r="BL118" i="71" s="1"/>
  <c r="AX73" i="71"/>
  <c r="AX80" i="71" s="1"/>
  <c r="BA417" i="68"/>
  <c r="BA476" i="68" s="1"/>
  <c r="AZ117" i="72"/>
  <c r="AY130" i="71"/>
  <c r="BB34" i="68"/>
  <c r="AZ135" i="72"/>
  <c r="BL135" i="72" s="1"/>
  <c r="BL152" i="71" s="1"/>
  <c r="AY152" i="71"/>
  <c r="AZ120" i="72"/>
  <c r="BL120" i="72" s="1"/>
  <c r="BL133" i="71" s="1"/>
  <c r="AY133" i="71"/>
  <c r="BB16" i="72"/>
  <c r="AZ132" i="72"/>
  <c r="BL132" i="72" s="1"/>
  <c r="BL149" i="71" s="1"/>
  <c r="AY149" i="71"/>
  <c r="BB35" i="68"/>
  <c r="AY139" i="71"/>
  <c r="AZ124" i="72"/>
  <c r="BL124" i="72" s="1"/>
  <c r="BL139" i="71" s="1"/>
  <c r="BB36" i="68"/>
  <c r="BA99" i="72"/>
  <c r="BA109" i="72"/>
  <c r="BA103" i="72"/>
  <c r="BA95" i="72"/>
  <c r="BA110" i="72"/>
  <c r="BA107" i="72"/>
  <c r="BA92" i="72"/>
  <c r="BA108" i="72"/>
  <c r="AZ128" i="72"/>
  <c r="BL128" i="72" s="1"/>
  <c r="BL143" i="71" s="1"/>
  <c r="AY143" i="71"/>
  <c r="AZ134" i="72"/>
  <c r="BL134" i="72" s="1"/>
  <c r="BL151" i="71" s="1"/>
  <c r="AY151" i="71"/>
  <c r="BB37" i="68"/>
  <c r="BB17" i="72"/>
  <c r="BB38" i="68"/>
  <c r="AZ133" i="72"/>
  <c r="BL133" i="72" s="1"/>
  <c r="BL150" i="71" s="1"/>
  <c r="AY150" i="71"/>
  <c r="AX116" i="71"/>
  <c r="AX123" i="71" s="1"/>
  <c r="AX161" i="72"/>
  <c r="AY127" i="72"/>
  <c r="AX142" i="71"/>
  <c r="AY117" i="71"/>
  <c r="AY105" i="72"/>
  <c r="AX130" i="72"/>
  <c r="AX147" i="71" s="1"/>
  <c r="AX148" i="71"/>
  <c r="AY131" i="72"/>
  <c r="AY64" i="72"/>
  <c r="AY73" i="71" s="1"/>
  <c r="AY74" i="71"/>
  <c r="AZ36" i="72"/>
  <c r="BL36" i="72" s="1"/>
  <c r="BL37" i="71" s="1"/>
  <c r="AZ40" i="72"/>
  <c r="BC45" i="64"/>
  <c r="BC35" i="64"/>
  <c r="BD5" i="64"/>
  <c r="BD5" i="65"/>
  <c r="BD6" i="64"/>
  <c r="BD6" i="65"/>
  <c r="BC37" i="64"/>
  <c r="BC46" i="64"/>
  <c r="BC38" i="64"/>
  <c r="BD7" i="64"/>
  <c r="BD7" i="65"/>
  <c r="BC39" i="64"/>
  <c r="AP2" i="64"/>
  <c r="AP2" i="65"/>
  <c r="BC36" i="64"/>
  <c r="BD6" i="62"/>
  <c r="AP2" i="62"/>
  <c r="BD5" i="62"/>
  <c r="BD7" i="62"/>
  <c r="BE47" i="68" l="1"/>
  <c r="BE51" i="68" s="1"/>
  <c r="BM51" i="68" s="1"/>
  <c r="BE54" i="65"/>
  <c r="Z39" i="65"/>
  <c r="BD254" i="68"/>
  <c r="BD258" i="68" s="1"/>
  <c r="BD305" i="68"/>
  <c r="BD309" i="68" s="1"/>
  <c r="BD232" i="68"/>
  <c r="BD238" i="68" s="1"/>
  <c r="BD270" i="68"/>
  <c r="BD274" i="68" s="1"/>
  <c r="BD68" i="65"/>
  <c r="BD203" i="68"/>
  <c r="BD63" i="68"/>
  <c r="BD69" i="68" s="1"/>
  <c r="BE112" i="68"/>
  <c r="BM112" i="68" s="1"/>
  <c r="BM114" i="68" s="1"/>
  <c r="BE210" i="68"/>
  <c r="BE175" i="68"/>
  <c r="BE159" i="68"/>
  <c r="BM159" i="68" s="1"/>
  <c r="BE167" i="68"/>
  <c r="BL40" i="72"/>
  <c r="BL43" i="71" s="1"/>
  <c r="AZ39" i="72"/>
  <c r="AZ187" i="72" s="1"/>
  <c r="BB89" i="68"/>
  <c r="BB130" i="68" s="1"/>
  <c r="BB73" i="68"/>
  <c r="BB129" i="68" s="1"/>
  <c r="AX154" i="71"/>
  <c r="BL117" i="72"/>
  <c r="BL130" i="71" s="1"/>
  <c r="AY80" i="71"/>
  <c r="BJ135" i="68"/>
  <c r="BK135" i="68"/>
  <c r="BG135" i="68"/>
  <c r="BI135" i="68"/>
  <c r="BH114" i="68"/>
  <c r="BK125" i="68"/>
  <c r="BG125" i="68"/>
  <c r="BL114" i="68"/>
  <c r="BK114" i="68"/>
  <c r="BG114" i="68"/>
  <c r="BJ114" i="68"/>
  <c r="BI125" i="68"/>
  <c r="BI114" i="68"/>
  <c r="BJ125" i="68"/>
  <c r="BB185" i="68"/>
  <c r="BB283" i="68" s="1"/>
  <c r="BB55" i="68"/>
  <c r="BB40" i="72" s="1"/>
  <c r="BB39" i="72" s="1"/>
  <c r="BB222" i="68"/>
  <c r="BB288" i="68" s="1"/>
  <c r="BB187" i="68"/>
  <c r="BB284" i="68" s="1"/>
  <c r="BB278" i="68"/>
  <c r="BB291" i="68" s="1"/>
  <c r="BB313" i="68"/>
  <c r="BB36" i="72" s="1"/>
  <c r="BB262" i="68"/>
  <c r="BB290" i="68" s="1"/>
  <c r="BB183" i="68"/>
  <c r="BB282" i="68" s="1"/>
  <c r="BB120" i="68"/>
  <c r="BB119" i="68"/>
  <c r="BB118" i="68"/>
  <c r="BB121" i="68"/>
  <c r="AX35" i="71"/>
  <c r="AX100" i="72"/>
  <c r="AU131" i="71"/>
  <c r="AV118" i="72"/>
  <c r="BK118" i="72"/>
  <c r="BK131" i="71" s="1"/>
  <c r="AU140" i="71"/>
  <c r="AV125" i="72"/>
  <c r="BK125" i="72"/>
  <c r="BK140" i="71" s="1"/>
  <c r="AV66" i="71"/>
  <c r="AW59" i="72"/>
  <c r="AX93" i="72"/>
  <c r="AX100" i="71" s="1"/>
  <c r="AX26" i="71"/>
  <c r="AV57" i="71"/>
  <c r="AW52" i="72"/>
  <c r="AY27" i="72"/>
  <c r="AY34" i="72"/>
  <c r="BL123" i="68"/>
  <c r="BL125" i="68" s="1"/>
  <c r="AZ131" i="68"/>
  <c r="BB417" i="68"/>
  <c r="BB476" i="68" s="1"/>
  <c r="BA123" i="68"/>
  <c r="BA131" i="68" s="1"/>
  <c r="BA120" i="71"/>
  <c r="BA119" i="71"/>
  <c r="BA99" i="71"/>
  <c r="BA118" i="71"/>
  <c r="BA121" i="71"/>
  <c r="BA108" i="71"/>
  <c r="BA102" i="71"/>
  <c r="BA36" i="72"/>
  <c r="BA102" i="72" s="1"/>
  <c r="BA112" i="71"/>
  <c r="BC34" i="68"/>
  <c r="BC37" i="68"/>
  <c r="BA134" i="72"/>
  <c r="AZ151" i="71"/>
  <c r="AZ152" i="71"/>
  <c r="BA135" i="72"/>
  <c r="BC36" i="68"/>
  <c r="BC16" i="72"/>
  <c r="BA128" i="72"/>
  <c r="AZ143" i="71"/>
  <c r="AZ149" i="71"/>
  <c r="BA132" i="72"/>
  <c r="AZ139" i="71"/>
  <c r="BA124" i="72"/>
  <c r="BB99" i="72"/>
  <c r="BB108" i="71" s="1"/>
  <c r="BB107" i="72"/>
  <c r="BB118" i="71" s="1"/>
  <c r="BB109" i="72"/>
  <c r="BB120" i="71" s="1"/>
  <c r="BB92" i="72"/>
  <c r="BB99" i="71" s="1"/>
  <c r="BB103" i="72"/>
  <c r="BB95" i="72"/>
  <c r="BB102" i="71" s="1"/>
  <c r="BB108" i="72"/>
  <c r="BB119" i="71" s="1"/>
  <c r="BB110" i="72"/>
  <c r="BC17" i="72"/>
  <c r="BC35" i="68"/>
  <c r="BC38" i="68"/>
  <c r="BA133" i="72"/>
  <c r="AZ150" i="71"/>
  <c r="BA120" i="72"/>
  <c r="AZ133" i="71"/>
  <c r="AZ130" i="71"/>
  <c r="BA117" i="72"/>
  <c r="AY116" i="71"/>
  <c r="AY123" i="71" s="1"/>
  <c r="AY161" i="72"/>
  <c r="BA187" i="72"/>
  <c r="BA43" i="71"/>
  <c r="BA106" i="72"/>
  <c r="AZ61" i="72"/>
  <c r="AZ37" i="71"/>
  <c r="AZ102" i="72"/>
  <c r="AZ43" i="71"/>
  <c r="AZ106" i="72"/>
  <c r="AY130" i="72"/>
  <c r="AY147" i="71" s="1"/>
  <c r="AY148" i="71"/>
  <c r="AY142" i="71"/>
  <c r="AZ65" i="72"/>
  <c r="BL65" i="72" s="1"/>
  <c r="BL74" i="71" s="1"/>
  <c r="BD45" i="64"/>
  <c r="BD39" i="64"/>
  <c r="BD46" i="64"/>
  <c r="BD37" i="64"/>
  <c r="BD36" i="64"/>
  <c r="BE6" i="65"/>
  <c r="BD38" i="64"/>
  <c r="BE7" i="64"/>
  <c r="BE7" i="65"/>
  <c r="BE5" i="64"/>
  <c r="BE5" i="65"/>
  <c r="AP3" i="64"/>
  <c r="AP3" i="65"/>
  <c r="BD35" i="64"/>
  <c r="BE6" i="64"/>
  <c r="BE6" i="62"/>
  <c r="AP3" i="62"/>
  <c r="BE7" i="62"/>
  <c r="BE5" i="62"/>
  <c r="I141" i="72" l="1"/>
  <c r="I75" i="72"/>
  <c r="BE56" i="65"/>
  <c r="BE66" i="65"/>
  <c r="A66" i="65" s="1"/>
  <c r="BE147" i="68"/>
  <c r="BE163" i="68" s="1"/>
  <c r="BM163" i="68" s="1"/>
  <c r="A54" i="65"/>
  <c r="BD204" i="68"/>
  <c r="BD216" i="68" s="1"/>
  <c r="BD79" i="68"/>
  <c r="BD85" i="68" s="1"/>
  <c r="BM210" i="68"/>
  <c r="BM175" i="68"/>
  <c r="BM167" i="68"/>
  <c r="BC89" i="68"/>
  <c r="BC130" i="68" s="1"/>
  <c r="BC73" i="68"/>
  <c r="BC129" i="68" s="1"/>
  <c r="BB121" i="71"/>
  <c r="BB112" i="71"/>
  <c r="AY154" i="71"/>
  <c r="A114" i="68"/>
  <c r="BC55" i="68"/>
  <c r="BC40" i="72" s="1"/>
  <c r="BC39" i="72" s="1"/>
  <c r="BC185" i="68"/>
  <c r="BC283" i="68" s="1"/>
  <c r="BC222" i="68"/>
  <c r="BC288" i="68" s="1"/>
  <c r="BC187" i="68"/>
  <c r="BC284" i="68" s="1"/>
  <c r="BC313" i="68"/>
  <c r="BC262" i="68"/>
  <c r="BC290" i="68" s="1"/>
  <c r="BC278" i="68"/>
  <c r="BC291" i="68" s="1"/>
  <c r="BC183" i="68"/>
  <c r="BC282" i="68" s="1"/>
  <c r="BC118" i="68"/>
  <c r="BC119" i="68"/>
  <c r="BC121" i="68"/>
  <c r="BC120" i="68"/>
  <c r="AX109" i="71"/>
  <c r="AY35" i="71"/>
  <c r="AY100" i="72"/>
  <c r="AY26" i="71"/>
  <c r="AY93" i="72"/>
  <c r="AY100" i="71" s="1"/>
  <c r="AW118" i="72"/>
  <c r="AV131" i="71"/>
  <c r="AW57" i="71"/>
  <c r="AX52" i="72"/>
  <c r="AW66" i="71"/>
  <c r="AX59" i="72"/>
  <c r="AV140" i="71"/>
  <c r="AW125" i="72"/>
  <c r="BL131" i="68"/>
  <c r="AZ133" i="68"/>
  <c r="BA133" i="68"/>
  <c r="BB123" i="68"/>
  <c r="BA111" i="71"/>
  <c r="AZ68" i="71"/>
  <c r="BL61" i="72"/>
  <c r="BL68" i="71" s="1"/>
  <c r="BA42" i="71"/>
  <c r="BA49" i="71" s="1"/>
  <c r="AZ42" i="71"/>
  <c r="AZ49" i="71" s="1"/>
  <c r="BL39" i="72"/>
  <c r="BL42" i="71" s="1"/>
  <c r="BL49" i="71" s="1"/>
  <c r="BA37" i="71"/>
  <c r="AZ111" i="71"/>
  <c r="BL102" i="72"/>
  <c r="BL111" i="71" s="1"/>
  <c r="BC417" i="68"/>
  <c r="BC476" i="68" s="1"/>
  <c r="BA152" i="71"/>
  <c r="BB135" i="72"/>
  <c r="BD35" i="68"/>
  <c r="BA133" i="71"/>
  <c r="BB120" i="72"/>
  <c r="BB124" i="72"/>
  <c r="BA139" i="71"/>
  <c r="BD17" i="72"/>
  <c r="BB133" i="72"/>
  <c r="BA150" i="71"/>
  <c r="BB128" i="72"/>
  <c r="BA143" i="71"/>
  <c r="BB134" i="72"/>
  <c r="BA151" i="71"/>
  <c r="BA149" i="71"/>
  <c r="BB132" i="72"/>
  <c r="BD38" i="68"/>
  <c r="BC110" i="72"/>
  <c r="BC109" i="72"/>
  <c r="BC120" i="71" s="1"/>
  <c r="BC99" i="72"/>
  <c r="BC103" i="72"/>
  <c r="BC92" i="72"/>
  <c r="BC99" i="71" s="1"/>
  <c r="BC107" i="72"/>
  <c r="BC118" i="71" s="1"/>
  <c r="BC95" i="72"/>
  <c r="BC102" i="71" s="1"/>
  <c r="BC108" i="72"/>
  <c r="BC119" i="71" s="1"/>
  <c r="BD34" i="68"/>
  <c r="BB117" i="72"/>
  <c r="BA130" i="71"/>
  <c r="BD36" i="68"/>
  <c r="BD37" i="68"/>
  <c r="BD16" i="72"/>
  <c r="BA61" i="72"/>
  <c r="BA68" i="71" s="1"/>
  <c r="AZ127" i="72"/>
  <c r="BB43" i="71"/>
  <c r="BB106" i="72"/>
  <c r="BA117" i="71"/>
  <c r="BA105" i="72"/>
  <c r="BB37" i="71"/>
  <c r="BB102" i="72"/>
  <c r="BB111" i="71" s="1"/>
  <c r="AZ64" i="72"/>
  <c r="BL64" i="72" s="1"/>
  <c r="BL73" i="71" s="1"/>
  <c r="BL80" i="71" s="1"/>
  <c r="AZ74" i="71"/>
  <c r="AZ105" i="72"/>
  <c r="AZ161" i="72" s="1"/>
  <c r="AZ117" i="71"/>
  <c r="AZ131" i="72"/>
  <c r="BL131" i="72" s="1"/>
  <c r="BL148" i="71" s="1"/>
  <c r="BA65" i="72"/>
  <c r="BE36" i="64"/>
  <c r="A36" i="64" s="1"/>
  <c r="BE39" i="64"/>
  <c r="A39" i="64" s="1"/>
  <c r="BE45" i="64"/>
  <c r="BE38" i="64"/>
  <c r="A38" i="64" s="1"/>
  <c r="BE35" i="64"/>
  <c r="A35" i="64" s="1"/>
  <c r="BE46" i="64"/>
  <c r="AQ2" i="64"/>
  <c r="AQ2" i="65"/>
  <c r="BE37" i="64"/>
  <c r="A37" i="64" s="1"/>
  <c r="AQ2" i="62"/>
  <c r="BE87" i="65" l="1"/>
  <c r="A87" i="65" s="1"/>
  <c r="BE203" i="68"/>
  <c r="BE63" i="68"/>
  <c r="BE69" i="68" s="1"/>
  <c r="BM69" i="68" s="1"/>
  <c r="BE68" i="65"/>
  <c r="A56" i="65"/>
  <c r="BE305" i="68"/>
  <c r="BE309" i="68" s="1"/>
  <c r="BM309" i="68" s="1"/>
  <c r="BE232" i="68"/>
  <c r="BE238" i="68" s="1"/>
  <c r="BM238" i="68" s="1"/>
  <c r="BE270" i="68"/>
  <c r="BE274" i="68" s="1"/>
  <c r="BM274" i="68" s="1"/>
  <c r="BE254" i="68"/>
  <c r="BE258" i="68" s="1"/>
  <c r="BM258" i="68" s="1"/>
  <c r="A46" i="64"/>
  <c r="A45" i="64"/>
  <c r="BD89" i="68"/>
  <c r="BD130" i="68" s="1"/>
  <c r="BD73" i="68"/>
  <c r="BD129" i="68" s="1"/>
  <c r="BB42" i="71"/>
  <c r="BB49" i="71" s="1"/>
  <c r="BB187" i="72"/>
  <c r="BC112" i="71"/>
  <c r="BC121" i="71"/>
  <c r="BD120" i="68"/>
  <c r="BD118" i="68"/>
  <c r="BD119" i="68"/>
  <c r="BD121" i="68"/>
  <c r="BD185" i="68"/>
  <c r="BD283" i="68" s="1"/>
  <c r="BD55" i="68"/>
  <c r="BD40" i="72" s="1"/>
  <c r="BD39" i="72" s="1"/>
  <c r="BD187" i="68"/>
  <c r="BD284" i="68" s="1"/>
  <c r="BD278" i="68"/>
  <c r="BD291" i="68" s="1"/>
  <c r="BD222" i="68"/>
  <c r="BD288" i="68" s="1"/>
  <c r="BD313" i="68"/>
  <c r="BD36" i="72" s="1"/>
  <c r="BD262" i="68"/>
  <c r="BD290" i="68" s="1"/>
  <c r="BD183" i="68"/>
  <c r="BD282" i="68" s="1"/>
  <c r="AW140" i="71"/>
  <c r="AX125" i="72"/>
  <c r="AX57" i="71"/>
  <c r="AY52" i="72"/>
  <c r="AX118" i="72"/>
  <c r="AW131" i="71"/>
  <c r="BA34" i="72"/>
  <c r="BA27" i="72"/>
  <c r="BA26" i="71" s="1"/>
  <c r="AY109" i="71"/>
  <c r="BL133" i="68"/>
  <c r="BL135" i="68" s="1"/>
  <c r="AZ27" i="72"/>
  <c r="AZ34" i="72"/>
  <c r="AX66" i="71"/>
  <c r="AY59" i="72"/>
  <c r="BB131" i="68"/>
  <c r="BC123" i="68"/>
  <c r="BA127" i="72"/>
  <c r="BA142" i="71" s="1"/>
  <c r="BL127" i="72"/>
  <c r="BL142" i="71" s="1"/>
  <c r="BC108" i="71"/>
  <c r="BC36" i="72"/>
  <c r="BC37" i="71" s="1"/>
  <c r="AZ73" i="71"/>
  <c r="AZ80" i="71" s="1"/>
  <c r="BD417" i="68"/>
  <c r="BD476" i="68" s="1"/>
  <c r="BE38" i="68"/>
  <c r="BC134" i="72"/>
  <c r="BB151" i="71"/>
  <c r="BB139" i="71"/>
  <c r="BC124" i="72"/>
  <c r="BE35" i="68"/>
  <c r="BC120" i="72"/>
  <c r="BB133" i="71"/>
  <c r="BE36" i="68"/>
  <c r="BB143" i="71"/>
  <c r="BC128" i="72"/>
  <c r="BE17" i="72"/>
  <c r="BB150" i="71"/>
  <c r="BC133" i="72"/>
  <c r="BE34" i="68"/>
  <c r="BD99" i="72"/>
  <c r="BD108" i="71" s="1"/>
  <c r="BD108" i="72"/>
  <c r="BD119" i="71" s="1"/>
  <c r="BD92" i="72"/>
  <c r="BD99" i="71" s="1"/>
  <c r="BD107" i="72"/>
  <c r="BD118" i="71" s="1"/>
  <c r="BD109" i="72"/>
  <c r="BD120" i="71" s="1"/>
  <c r="BD103" i="72"/>
  <c r="BD110" i="72"/>
  <c r="BD95" i="72"/>
  <c r="BC132" i="72"/>
  <c r="BB149" i="71"/>
  <c r="BC135" i="72"/>
  <c r="BB152" i="71"/>
  <c r="BE16" i="72"/>
  <c r="BE37" i="68"/>
  <c r="BC117" i="72"/>
  <c r="BB130" i="71"/>
  <c r="BB61" i="72"/>
  <c r="BB68" i="71" s="1"/>
  <c r="AZ142" i="71"/>
  <c r="BA116" i="71"/>
  <c r="BA123" i="71" s="1"/>
  <c r="BA161" i="72"/>
  <c r="AZ130" i="72"/>
  <c r="AZ148" i="71"/>
  <c r="BA131" i="72"/>
  <c r="BC43" i="71"/>
  <c r="BC106" i="72"/>
  <c r="BB117" i="71"/>
  <c r="BB105" i="72"/>
  <c r="AZ116" i="71"/>
  <c r="AZ123" i="71" s="1"/>
  <c r="BA64" i="72"/>
  <c r="BA74" i="71"/>
  <c r="BB65" i="72"/>
  <c r="AQ3" i="64"/>
  <c r="AQ3" i="65"/>
  <c r="AQ3" i="62"/>
  <c r="K87" i="65" l="1"/>
  <c r="K99" i="65" s="1"/>
  <c r="BB99" i="65" s="1"/>
  <c r="A8" i="64"/>
  <c r="H17" i="12" s="1"/>
  <c r="BE204" i="68"/>
  <c r="BE216" i="68" s="1"/>
  <c r="BM216" i="68" s="1"/>
  <c r="BE79" i="68"/>
  <c r="BE85" i="68" s="1"/>
  <c r="BM85" i="68" s="1"/>
  <c r="A68" i="65"/>
  <c r="BE73" i="68"/>
  <c r="BE129" i="68" s="1"/>
  <c r="BC42" i="71"/>
  <c r="BC49" i="71" s="1"/>
  <c r="BC187" i="72"/>
  <c r="BD121" i="71"/>
  <c r="BD112" i="71"/>
  <c r="BE55" i="68"/>
  <c r="BE40" i="72" s="1"/>
  <c r="BE39" i="72" s="1"/>
  <c r="BE185" i="68"/>
  <c r="BE283" i="68" s="1"/>
  <c r="BE187" i="68"/>
  <c r="BE284" i="68" s="1"/>
  <c r="BE278" i="68"/>
  <c r="BE291" i="68" s="1"/>
  <c r="BE313" i="68"/>
  <c r="BE36" i="72" s="1"/>
  <c r="BH36" i="72" s="1"/>
  <c r="BH37" i="71" s="1"/>
  <c r="BE262" i="68"/>
  <c r="BM262" i="68" s="1"/>
  <c r="BE183" i="68"/>
  <c r="BE282" i="68" s="1"/>
  <c r="BE118" i="68"/>
  <c r="BM118" i="68" s="1"/>
  <c r="BE119" i="68"/>
  <c r="BM119" i="68" s="1"/>
  <c r="BE121" i="68"/>
  <c r="BM121" i="68" s="1"/>
  <c r="BE120" i="68"/>
  <c r="BM120" i="68" s="1"/>
  <c r="AY66" i="71"/>
  <c r="AZ59" i="72"/>
  <c r="AY118" i="72"/>
  <c r="AX131" i="71"/>
  <c r="BA100" i="72"/>
  <c r="BA35" i="71"/>
  <c r="BA93" i="72"/>
  <c r="BA100" i="71" s="1"/>
  <c r="AY57" i="71"/>
  <c r="AZ52" i="72"/>
  <c r="AZ100" i="72"/>
  <c r="AZ35" i="71"/>
  <c r="BL27" i="72"/>
  <c r="BL26" i="71" s="1"/>
  <c r="AZ26" i="71"/>
  <c r="AZ93" i="72"/>
  <c r="AZ100" i="71" s="1"/>
  <c r="AX140" i="71"/>
  <c r="AY125" i="72"/>
  <c r="BB133" i="68"/>
  <c r="BC131" i="68"/>
  <c r="BC133" i="68" s="1"/>
  <c r="BC102" i="72"/>
  <c r="BC111" i="71" s="1"/>
  <c r="BH313" i="68"/>
  <c r="BE417" i="68"/>
  <c r="BD123" i="68"/>
  <c r="BD131" i="68" s="1"/>
  <c r="BH118" i="68"/>
  <c r="BB127" i="72"/>
  <c r="BB142" i="71" s="1"/>
  <c r="BH55" i="68"/>
  <c r="BH73" i="68"/>
  <c r="BH222" i="68"/>
  <c r="BH120" i="68"/>
  <c r="BH121" i="68"/>
  <c r="BH119" i="68"/>
  <c r="AZ147" i="71"/>
  <c r="AZ154" i="71" s="1"/>
  <c r="BL130" i="72"/>
  <c r="BL147" i="71" s="1"/>
  <c r="BL154" i="71" s="1"/>
  <c r="BI278" i="68"/>
  <c r="BH278" i="68"/>
  <c r="BD102" i="71"/>
  <c r="BA73" i="71"/>
  <c r="BA80" i="71" s="1"/>
  <c r="BE109" i="72"/>
  <c r="BH109" i="72" s="1"/>
  <c r="BH120" i="71" s="1"/>
  <c r="BE108" i="72"/>
  <c r="BH108" i="72" s="1"/>
  <c r="BH119" i="71" s="1"/>
  <c r="BE99" i="72"/>
  <c r="BH99" i="72" s="1"/>
  <c r="BH108" i="71" s="1"/>
  <c r="BE110" i="72"/>
  <c r="BE107" i="72"/>
  <c r="BH107" i="72" s="1"/>
  <c r="BH118" i="71" s="1"/>
  <c r="BE103" i="72"/>
  <c r="BE95" i="72"/>
  <c r="BH95" i="72" s="1"/>
  <c r="BH102" i="71" s="1"/>
  <c r="BE92" i="72"/>
  <c r="BH92" i="72" s="1"/>
  <c r="BH99" i="71" s="1"/>
  <c r="BD124" i="72"/>
  <c r="BC139" i="71"/>
  <c r="BC143" i="71"/>
  <c r="BD128" i="72"/>
  <c r="BD135" i="72"/>
  <c r="BC152" i="71"/>
  <c r="BD120" i="72"/>
  <c r="BC133" i="71"/>
  <c r="BD134" i="72"/>
  <c r="BC151" i="71"/>
  <c r="BC150" i="71"/>
  <c r="BD133" i="72"/>
  <c r="BC130" i="71"/>
  <c r="BD117" i="72"/>
  <c r="BD132" i="72"/>
  <c r="BC149" i="71"/>
  <c r="BC61" i="72"/>
  <c r="BC68" i="71" s="1"/>
  <c r="BB116" i="71"/>
  <c r="BB123" i="71" s="1"/>
  <c r="BB161" i="72"/>
  <c r="BB64" i="72"/>
  <c r="BB73" i="71" s="1"/>
  <c r="BB74" i="71"/>
  <c r="BD43" i="71"/>
  <c r="BD106" i="72"/>
  <c r="BA130" i="72"/>
  <c r="BA147" i="71" s="1"/>
  <c r="BA148" i="71"/>
  <c r="BB131" i="72"/>
  <c r="BC117" i="71"/>
  <c r="BC105" i="72"/>
  <c r="BD37" i="71"/>
  <c r="BD102" i="72"/>
  <c r="BD111" i="71" s="1"/>
  <c r="BC65" i="72"/>
  <c r="AR2" i="64"/>
  <c r="AR2" i="65"/>
  <c r="AR2" i="62"/>
  <c r="AD99" i="65" l="1"/>
  <c r="AC99" i="65"/>
  <c r="AU99" i="65"/>
  <c r="AU347" i="68" s="1"/>
  <c r="AP99" i="65"/>
  <c r="AP347" i="68" s="1"/>
  <c r="AM99" i="65"/>
  <c r="AM447" i="68" s="1"/>
  <c r="AV99" i="65"/>
  <c r="AV347" i="68" s="1"/>
  <c r="AA99" i="65"/>
  <c r="AA447" i="68" s="1"/>
  <c r="BC99" i="65"/>
  <c r="BC447" i="68" s="1"/>
  <c r="AT99" i="65"/>
  <c r="AT347" i="68" s="1"/>
  <c r="AK99" i="65"/>
  <c r="AK447" i="68" s="1"/>
  <c r="AZ99" i="65"/>
  <c r="AZ447" i="68" s="1"/>
  <c r="AI99" i="65"/>
  <c r="AI447" i="68" s="1"/>
  <c r="AJ99" i="65"/>
  <c r="AJ347" i="68" s="1"/>
  <c r="AO99" i="65"/>
  <c r="AO447" i="68" s="1"/>
  <c r="BD99" i="65"/>
  <c r="BD347" i="68" s="1"/>
  <c r="AH99" i="65"/>
  <c r="AH347" i="68" s="1"/>
  <c r="AX99" i="65"/>
  <c r="AX347" i="68" s="1"/>
  <c r="AE99" i="65"/>
  <c r="AE447" i="68" s="1"/>
  <c r="BE99" i="65"/>
  <c r="BE447" i="68" s="1"/>
  <c r="AQ99" i="65"/>
  <c r="AQ447" i="68" s="1"/>
  <c r="BM185" i="68"/>
  <c r="AR99" i="65"/>
  <c r="AR347" i="68" s="1"/>
  <c r="AL99" i="65"/>
  <c r="AL347" i="68" s="1"/>
  <c r="AB99" i="65"/>
  <c r="AB447" i="68" s="1"/>
  <c r="AN99" i="65"/>
  <c r="AN347" i="68" s="1"/>
  <c r="AF99" i="65"/>
  <c r="AF447" i="68" s="1"/>
  <c r="AW99" i="65"/>
  <c r="AW347" i="68" s="1"/>
  <c r="AG99" i="65"/>
  <c r="AG447" i="68" s="1"/>
  <c r="AS99" i="65"/>
  <c r="AS347" i="68" s="1"/>
  <c r="AY99" i="65"/>
  <c r="AY347" i="68" s="1"/>
  <c r="BA99" i="65"/>
  <c r="BA447" i="68" s="1"/>
  <c r="BE222" i="68"/>
  <c r="BE288" i="68" s="1"/>
  <c r="BM288" i="68" s="1"/>
  <c r="BE89" i="68"/>
  <c r="BM89" i="68" s="1"/>
  <c r="AC447" i="68"/>
  <c r="AC347" i="68"/>
  <c r="AK347" i="68"/>
  <c r="AD447" i="68"/>
  <c r="AD347" i="68"/>
  <c r="AF347" i="68"/>
  <c r="BB447" i="68"/>
  <c r="BB347" i="68"/>
  <c r="BD42" i="71"/>
  <c r="BD49" i="71" s="1"/>
  <c r="BD187" i="72"/>
  <c r="BH103" i="72"/>
  <c r="BH112" i="71" s="1"/>
  <c r="BA154" i="71"/>
  <c r="BB80" i="71"/>
  <c r="BH417" i="68"/>
  <c r="BE476" i="68"/>
  <c r="BM476" i="68" s="1"/>
  <c r="BH284" i="68"/>
  <c r="BM284" i="68"/>
  <c r="BC27" i="72"/>
  <c r="BC93" i="72" s="1"/>
  <c r="BC100" i="71" s="1"/>
  <c r="BC34" i="72"/>
  <c r="AZ109" i="71"/>
  <c r="BH291" i="68"/>
  <c r="BM291" i="68"/>
  <c r="AY131" i="71"/>
  <c r="AZ118" i="72"/>
  <c r="BL52" i="72"/>
  <c r="BL57" i="71" s="1"/>
  <c r="BA52" i="72"/>
  <c r="AZ57" i="71"/>
  <c r="BA109" i="71"/>
  <c r="BL59" i="72"/>
  <c r="BL66" i="71" s="1"/>
  <c r="AZ66" i="71"/>
  <c r="BA59" i="72"/>
  <c r="BH283" i="68"/>
  <c r="BM283" i="68"/>
  <c r="BH262" i="68"/>
  <c r="BE290" i="68"/>
  <c r="BB27" i="72"/>
  <c r="BB34" i="72"/>
  <c r="AY140" i="71"/>
  <c r="AZ125" i="72"/>
  <c r="BH282" i="68"/>
  <c r="BM282" i="68"/>
  <c r="BH288" i="68"/>
  <c r="BM55" i="68"/>
  <c r="BM73" i="68"/>
  <c r="BH187" i="68"/>
  <c r="BH185" i="68"/>
  <c r="BH183" i="68"/>
  <c r="BH129" i="68"/>
  <c r="BM129" i="68"/>
  <c r="BH89" i="68"/>
  <c r="BD133" i="68"/>
  <c r="BM278" i="68"/>
  <c r="BM183" i="68"/>
  <c r="BM187" i="68"/>
  <c r="BM313" i="68"/>
  <c r="BE123" i="68"/>
  <c r="BM417" i="68"/>
  <c r="BC127" i="72"/>
  <c r="BC142" i="71" s="1"/>
  <c r="BM107" i="72"/>
  <c r="BM118" i="71" s="1"/>
  <c r="BI110" i="72"/>
  <c r="BI121" i="71" s="1"/>
  <c r="BI123" i="71" s="1"/>
  <c r="BH110" i="72"/>
  <c r="BH121" i="71" s="1"/>
  <c r="BM95" i="72"/>
  <c r="BM102" i="71" s="1"/>
  <c r="BM36" i="72"/>
  <c r="BM37" i="71" s="1"/>
  <c r="BM109" i="72"/>
  <c r="BM120" i="71" s="1"/>
  <c r="BM99" i="72"/>
  <c r="BM108" i="71" s="1"/>
  <c r="BH123" i="68"/>
  <c r="BH125" i="68" s="1"/>
  <c r="BM92" i="72"/>
  <c r="BM99" i="71" s="1"/>
  <c r="BM108" i="72"/>
  <c r="BM119" i="71" s="1"/>
  <c r="BH40" i="72"/>
  <c r="BH43" i="71" s="1"/>
  <c r="BM40" i="72"/>
  <c r="BM43" i="71" s="1"/>
  <c r="BM110" i="72"/>
  <c r="BM121" i="71" s="1"/>
  <c r="BM103" i="72"/>
  <c r="BM112" i="71" s="1"/>
  <c r="BD139" i="71"/>
  <c r="BE124" i="72"/>
  <c r="BD61" i="72"/>
  <c r="BD68" i="71" s="1"/>
  <c r="BE117" i="72"/>
  <c r="BD130" i="71"/>
  <c r="BE132" i="72"/>
  <c r="BD149" i="71"/>
  <c r="BD152" i="71"/>
  <c r="BE135" i="72"/>
  <c r="BE118" i="71"/>
  <c r="I107" i="72"/>
  <c r="I118" i="71" s="1"/>
  <c r="BE133" i="72"/>
  <c r="BD150" i="71"/>
  <c r="BD143" i="71"/>
  <c r="BE128" i="72"/>
  <c r="BE99" i="71"/>
  <c r="I92" i="72"/>
  <c r="I99" i="71" s="1"/>
  <c r="BE121" i="71"/>
  <c r="I110" i="72"/>
  <c r="I121" i="71" s="1"/>
  <c r="BE112" i="71"/>
  <c r="I103" i="72"/>
  <c r="I112" i="71" s="1"/>
  <c r="BE108" i="71"/>
  <c r="I99" i="72"/>
  <c r="I108" i="71" s="1"/>
  <c r="BD133" i="71"/>
  <c r="BE120" i="72"/>
  <c r="BE102" i="71"/>
  <c r="I95" i="72"/>
  <c r="I102" i="71" s="1"/>
  <c r="BE119" i="71"/>
  <c r="I108" i="72"/>
  <c r="I119" i="71" s="1"/>
  <c r="BE134" i="72"/>
  <c r="BD151" i="71"/>
  <c r="BE120" i="71"/>
  <c r="I109" i="72"/>
  <c r="I120" i="71" s="1"/>
  <c r="BC116" i="71"/>
  <c r="BC123" i="71" s="1"/>
  <c r="BC161" i="72"/>
  <c r="BD117" i="71"/>
  <c r="BD105" i="72"/>
  <c r="I36" i="72"/>
  <c r="I37" i="71" s="1"/>
  <c r="BE37" i="71"/>
  <c r="BE102" i="72"/>
  <c r="BH102" i="72" s="1"/>
  <c r="BH111" i="71" s="1"/>
  <c r="BC64" i="72"/>
  <c r="BC74" i="71"/>
  <c r="BB130" i="72"/>
  <c r="BB147" i="71" s="1"/>
  <c r="BB148" i="71"/>
  <c r="BC131" i="72"/>
  <c r="BE187" i="72"/>
  <c r="BE43" i="71"/>
  <c r="BE106" i="72"/>
  <c r="BD65" i="72"/>
  <c r="I40" i="72"/>
  <c r="I43" i="71" s="1"/>
  <c r="AR3" i="64"/>
  <c r="AR3" i="65"/>
  <c r="AR3" i="62"/>
  <c r="AM347" i="68" l="1"/>
  <c r="AP447" i="68"/>
  <c r="AI347" i="68"/>
  <c r="AQ347" i="68"/>
  <c r="AQ372" i="68" s="1"/>
  <c r="AU447" i="68"/>
  <c r="AU455" i="68" s="1"/>
  <c r="AU467" i="68" s="1"/>
  <c r="AA347" i="68"/>
  <c r="AV447" i="68"/>
  <c r="AV453" i="68" s="1"/>
  <c r="BC347" i="68"/>
  <c r="BC364" i="68" s="1"/>
  <c r="BC398" i="68" s="1"/>
  <c r="AE347" i="68"/>
  <c r="AE372" i="68" s="1"/>
  <c r="AE406" i="68" s="1"/>
  <c r="BE347" i="68"/>
  <c r="BE358" i="68" s="1"/>
  <c r="AT447" i="68"/>
  <c r="AT454" i="68" s="1"/>
  <c r="AT466" i="68" s="1"/>
  <c r="AW447" i="68"/>
  <c r="AW455" i="68" s="1"/>
  <c r="AW467" i="68" s="1"/>
  <c r="AZ347" i="68"/>
  <c r="AZ357" i="68" s="1"/>
  <c r="AZ391" i="68" s="1"/>
  <c r="AO347" i="68"/>
  <c r="AO375" i="68" s="1"/>
  <c r="AO409" i="68" s="1"/>
  <c r="AR447" i="68"/>
  <c r="AR451" i="68" s="1"/>
  <c r="AJ447" i="68"/>
  <c r="AJ453" i="68" s="1"/>
  <c r="AJ465" i="68" s="1"/>
  <c r="AH447" i="68"/>
  <c r="AH451" i="68" s="1"/>
  <c r="AY447" i="68"/>
  <c r="AY454" i="68" s="1"/>
  <c r="AY466" i="68" s="1"/>
  <c r="AN447" i="68"/>
  <c r="AN455" i="68" s="1"/>
  <c r="AN467" i="68" s="1"/>
  <c r="AX447" i="68"/>
  <c r="AX453" i="68" s="1"/>
  <c r="AX465" i="68" s="1"/>
  <c r="BD447" i="68"/>
  <c r="BD455" i="68" s="1"/>
  <c r="BD467" i="68" s="1"/>
  <c r="BE130" i="68"/>
  <c r="BM130" i="68" s="1"/>
  <c r="BA347" i="68"/>
  <c r="BA371" i="68" s="1"/>
  <c r="AB347" i="68"/>
  <c r="AB375" i="68" s="1"/>
  <c r="BM222" i="68"/>
  <c r="A99" i="65"/>
  <c r="AL447" i="68"/>
  <c r="AL453" i="68" s="1"/>
  <c r="AG347" i="68"/>
  <c r="AG369" i="68" s="1"/>
  <c r="AS447" i="68"/>
  <c r="AS455" i="68" s="1"/>
  <c r="AS467" i="68" s="1"/>
  <c r="AS353" i="68"/>
  <c r="AS372" i="68"/>
  <c r="AS406" i="68" s="1"/>
  <c r="AS373" i="68"/>
  <c r="AS407" i="68" s="1"/>
  <c r="AS375" i="68"/>
  <c r="AS409" i="68" s="1"/>
  <c r="AS364" i="68"/>
  <c r="AS398" i="68" s="1"/>
  <c r="AS356" i="68"/>
  <c r="AS390" i="68" s="1"/>
  <c r="AS371" i="68"/>
  <c r="AS405" i="68" s="1"/>
  <c r="AS354" i="68"/>
  <c r="AS388" i="68" s="1"/>
  <c r="AS357" i="68"/>
  <c r="AS391" i="68" s="1"/>
  <c r="AS355" i="68"/>
  <c r="AS389" i="68" s="1"/>
  <c r="AS377" i="68"/>
  <c r="AS411" i="68" s="1"/>
  <c r="AS370" i="68"/>
  <c r="AS404" i="68" s="1"/>
  <c r="AS360" i="68"/>
  <c r="AS394" i="68" s="1"/>
  <c r="AS367" i="68"/>
  <c r="AS401" i="68" s="1"/>
  <c r="AS361" i="68"/>
  <c r="AS395" i="68" s="1"/>
  <c r="AS363" i="68"/>
  <c r="AS397" i="68" s="1"/>
  <c r="AS365" i="68"/>
  <c r="AS399" i="68" s="1"/>
  <c r="AS376" i="68"/>
  <c r="AS410" i="68" s="1"/>
  <c r="AS359" i="68"/>
  <c r="AS393" i="68" s="1"/>
  <c r="AS374" i="68"/>
  <c r="AS408" i="68" s="1"/>
  <c r="AS369" i="68"/>
  <c r="AS403" i="68" s="1"/>
  <c r="AS362" i="68"/>
  <c r="AS396" i="68" s="1"/>
  <c r="AS368" i="68"/>
  <c r="AS402" i="68" s="1"/>
  <c r="AS358" i="68"/>
  <c r="AS392" i="68" s="1"/>
  <c r="AS366" i="68"/>
  <c r="AS400" i="68" s="1"/>
  <c r="AN375" i="68"/>
  <c r="AN409" i="68" s="1"/>
  <c r="AN354" i="68"/>
  <c r="AN388" i="68" s="1"/>
  <c r="AN359" i="68"/>
  <c r="AN393" i="68" s="1"/>
  <c r="AN362" i="68"/>
  <c r="AN396" i="68" s="1"/>
  <c r="AN367" i="68"/>
  <c r="AN401" i="68" s="1"/>
  <c r="AN374" i="68"/>
  <c r="AN408" i="68" s="1"/>
  <c r="AN368" i="68"/>
  <c r="AN402" i="68" s="1"/>
  <c r="AN376" i="68"/>
  <c r="AN410" i="68" s="1"/>
  <c r="AN370" i="68"/>
  <c r="AN404" i="68" s="1"/>
  <c r="AN363" i="68"/>
  <c r="AN397" i="68" s="1"/>
  <c r="AN358" i="68"/>
  <c r="AN392" i="68" s="1"/>
  <c r="AN355" i="68"/>
  <c r="AN389" i="68" s="1"/>
  <c r="AN364" i="68"/>
  <c r="AN398" i="68" s="1"/>
  <c r="AN372" i="68"/>
  <c r="AN406" i="68" s="1"/>
  <c r="AN360" i="68"/>
  <c r="AN394" i="68" s="1"/>
  <c r="AN361" i="68"/>
  <c r="AN395" i="68" s="1"/>
  <c r="AN373" i="68"/>
  <c r="AN407" i="68" s="1"/>
  <c r="AN366" i="68"/>
  <c r="AN400" i="68" s="1"/>
  <c r="AN357" i="68"/>
  <c r="AN391" i="68" s="1"/>
  <c r="AN365" i="68"/>
  <c r="AN399" i="68" s="1"/>
  <c r="AN353" i="68"/>
  <c r="AN369" i="68"/>
  <c r="AN403" i="68" s="1"/>
  <c r="AN377" i="68"/>
  <c r="AN411" i="68" s="1"/>
  <c r="AN356" i="68"/>
  <c r="AN390" i="68" s="1"/>
  <c r="AN371" i="68"/>
  <c r="AN405" i="68" s="1"/>
  <c r="BE369" i="68"/>
  <c r="AD376" i="68"/>
  <c r="AD410" i="68" s="1"/>
  <c r="AD371" i="68"/>
  <c r="AD405" i="68" s="1"/>
  <c r="AD365" i="68"/>
  <c r="AD399" i="68" s="1"/>
  <c r="AD373" i="68"/>
  <c r="AD407" i="68" s="1"/>
  <c r="AD368" i="68"/>
  <c r="AD402" i="68" s="1"/>
  <c r="AD374" i="68"/>
  <c r="AD408" i="68" s="1"/>
  <c r="AD362" i="68"/>
  <c r="AD396" i="68" s="1"/>
  <c r="AD356" i="68"/>
  <c r="AD390" i="68" s="1"/>
  <c r="AD363" i="68"/>
  <c r="AD397" i="68" s="1"/>
  <c r="AD372" i="68"/>
  <c r="AD406" i="68" s="1"/>
  <c r="AD360" i="68"/>
  <c r="AD394" i="68" s="1"/>
  <c r="AD370" i="68"/>
  <c r="AD404" i="68" s="1"/>
  <c r="AD364" i="68"/>
  <c r="AD398" i="68" s="1"/>
  <c r="AD366" i="68"/>
  <c r="AD400" i="68" s="1"/>
  <c r="AD361" i="68"/>
  <c r="AD395" i="68" s="1"/>
  <c r="AD375" i="68"/>
  <c r="AD409" i="68" s="1"/>
  <c r="AD358" i="68"/>
  <c r="AD392" i="68" s="1"/>
  <c r="AD354" i="68"/>
  <c r="AD388" i="68" s="1"/>
  <c r="AD377" i="68"/>
  <c r="AD411" i="68" s="1"/>
  <c r="AD367" i="68"/>
  <c r="AD401" i="68" s="1"/>
  <c r="AD355" i="68"/>
  <c r="AD389" i="68" s="1"/>
  <c r="AD353" i="68"/>
  <c r="AD357" i="68"/>
  <c r="AD391" i="68" s="1"/>
  <c r="AD369" i="68"/>
  <c r="AD403" i="68" s="1"/>
  <c r="AD359" i="68"/>
  <c r="AD393" i="68" s="1"/>
  <c r="AM451" i="68"/>
  <c r="AM454" i="68"/>
  <c r="AM466" i="68" s="1"/>
  <c r="AM452" i="68"/>
  <c r="AM464" i="68" s="1"/>
  <c r="AM453" i="68"/>
  <c r="AM465" i="68" s="1"/>
  <c r="AM455" i="68"/>
  <c r="AM467" i="68" s="1"/>
  <c r="AI453" i="68"/>
  <c r="AI465" i="68" s="1"/>
  <c r="AI451" i="68"/>
  <c r="AI454" i="68"/>
  <c r="AI466" i="68" s="1"/>
  <c r="AI455" i="68"/>
  <c r="AI467" i="68" s="1"/>
  <c r="AI452" i="68"/>
  <c r="AI464" i="68" s="1"/>
  <c r="BB377" i="68"/>
  <c r="BB411" i="68" s="1"/>
  <c r="BB374" i="68"/>
  <c r="BB408" i="68" s="1"/>
  <c r="BB355" i="68"/>
  <c r="BB389" i="68" s="1"/>
  <c r="BB370" i="68"/>
  <c r="BB404" i="68" s="1"/>
  <c r="BB354" i="68"/>
  <c r="BB388" i="68" s="1"/>
  <c r="BB362" i="68"/>
  <c r="BB396" i="68" s="1"/>
  <c r="BB366" i="68"/>
  <c r="BB400" i="68" s="1"/>
  <c r="BB368" i="68"/>
  <c r="BB402" i="68" s="1"/>
  <c r="BB359" i="68"/>
  <c r="BB393" i="68" s="1"/>
  <c r="BB356" i="68"/>
  <c r="BB390" i="68" s="1"/>
  <c r="BB367" i="68"/>
  <c r="BB401" i="68" s="1"/>
  <c r="BB358" i="68"/>
  <c r="BB392" i="68" s="1"/>
  <c r="BB363" i="68"/>
  <c r="BB397" i="68" s="1"/>
  <c r="BB360" i="68"/>
  <c r="BB394" i="68" s="1"/>
  <c r="BB371" i="68"/>
  <c r="BB405" i="68" s="1"/>
  <c r="BB361" i="68"/>
  <c r="BB395" i="68" s="1"/>
  <c r="BB376" i="68"/>
  <c r="BB410" i="68" s="1"/>
  <c r="BB372" i="68"/>
  <c r="BB406" i="68" s="1"/>
  <c r="BB357" i="68"/>
  <c r="BB391" i="68" s="1"/>
  <c r="BB375" i="68"/>
  <c r="BB409" i="68" s="1"/>
  <c r="BB364" i="68"/>
  <c r="BB398" i="68" s="1"/>
  <c r="BB365" i="68"/>
  <c r="BB399" i="68" s="1"/>
  <c r="BB373" i="68"/>
  <c r="BB407" i="68" s="1"/>
  <c r="BB353" i="68"/>
  <c r="BB369" i="68"/>
  <c r="BB403" i="68" s="1"/>
  <c r="AG453" i="68"/>
  <c r="AG452" i="68"/>
  <c r="AG455" i="68"/>
  <c r="AG454" i="68"/>
  <c r="AG451" i="68"/>
  <c r="AD451" i="68"/>
  <c r="AD454" i="68"/>
  <c r="AD466" i="68" s="1"/>
  <c r="AD455" i="68"/>
  <c r="AD467" i="68" s="1"/>
  <c r="AD453" i="68"/>
  <c r="AD465" i="68" s="1"/>
  <c r="AD452" i="68"/>
  <c r="AD464" i="68" s="1"/>
  <c r="AJ367" i="68"/>
  <c r="AJ401" i="68" s="1"/>
  <c r="AJ354" i="68"/>
  <c r="AJ388" i="68" s="1"/>
  <c r="AJ371" i="68"/>
  <c r="AJ405" i="68" s="1"/>
  <c r="AJ377" i="68"/>
  <c r="AJ411" i="68" s="1"/>
  <c r="AJ365" i="68"/>
  <c r="AJ399" i="68" s="1"/>
  <c r="AJ355" i="68"/>
  <c r="AJ389" i="68" s="1"/>
  <c r="AJ362" i="68"/>
  <c r="AJ396" i="68" s="1"/>
  <c r="AJ370" i="68"/>
  <c r="AJ404" i="68" s="1"/>
  <c r="AJ376" i="68"/>
  <c r="AJ410" i="68" s="1"/>
  <c r="AJ366" i="68"/>
  <c r="AJ400" i="68" s="1"/>
  <c r="AJ364" i="68"/>
  <c r="AJ398" i="68" s="1"/>
  <c r="AJ372" i="68"/>
  <c r="AJ406" i="68" s="1"/>
  <c r="AJ356" i="68"/>
  <c r="AJ390" i="68" s="1"/>
  <c r="AJ375" i="68"/>
  <c r="AJ409" i="68" s="1"/>
  <c r="AJ360" i="68"/>
  <c r="AJ394" i="68" s="1"/>
  <c r="AJ361" i="68"/>
  <c r="AJ395" i="68" s="1"/>
  <c r="AJ374" i="68"/>
  <c r="AJ408" i="68" s="1"/>
  <c r="AJ373" i="68"/>
  <c r="AJ407" i="68" s="1"/>
  <c r="AJ363" i="68"/>
  <c r="AJ397" i="68" s="1"/>
  <c r="AJ368" i="68"/>
  <c r="AJ402" i="68" s="1"/>
  <c r="AJ358" i="68"/>
  <c r="AJ392" i="68" s="1"/>
  <c r="AJ353" i="68"/>
  <c r="AJ369" i="68"/>
  <c r="AJ403" i="68" s="1"/>
  <c r="AJ359" i="68"/>
  <c r="AJ393" i="68" s="1"/>
  <c r="AJ357" i="68"/>
  <c r="AJ391" i="68" s="1"/>
  <c r="AM355" i="68"/>
  <c r="AM389" i="68" s="1"/>
  <c r="AM370" i="68"/>
  <c r="AM404" i="68" s="1"/>
  <c r="AM369" i="68"/>
  <c r="AM403" i="68" s="1"/>
  <c r="AM354" i="68"/>
  <c r="AM388" i="68" s="1"/>
  <c r="AM358" i="68"/>
  <c r="AM392" i="68" s="1"/>
  <c r="AM363" i="68"/>
  <c r="AM397" i="68" s="1"/>
  <c r="AM372" i="68"/>
  <c r="AM406" i="68" s="1"/>
  <c r="AM357" i="68"/>
  <c r="AM391" i="68" s="1"/>
  <c r="AM377" i="68"/>
  <c r="AM411" i="68" s="1"/>
  <c r="AM375" i="68"/>
  <c r="AM409" i="68" s="1"/>
  <c r="AM376" i="68"/>
  <c r="AM410" i="68" s="1"/>
  <c r="AM373" i="68"/>
  <c r="AM407" i="68" s="1"/>
  <c r="AM359" i="68"/>
  <c r="AM393" i="68" s="1"/>
  <c r="AM364" i="68"/>
  <c r="AM398" i="68" s="1"/>
  <c r="AM356" i="68"/>
  <c r="AM390" i="68" s="1"/>
  <c r="AM374" i="68"/>
  <c r="AM408" i="68" s="1"/>
  <c r="AM353" i="68"/>
  <c r="AM365" i="68"/>
  <c r="AM399" i="68" s="1"/>
  <c r="AM362" i="68"/>
  <c r="AM396" i="68" s="1"/>
  <c r="AM371" i="68"/>
  <c r="AM405" i="68" s="1"/>
  <c r="AM361" i="68"/>
  <c r="AM395" i="68" s="1"/>
  <c r="AM368" i="68"/>
  <c r="AM402" i="68" s="1"/>
  <c r="AM366" i="68"/>
  <c r="AM400" i="68" s="1"/>
  <c r="AM360" i="68"/>
  <c r="AM394" i="68" s="1"/>
  <c r="AM367" i="68"/>
  <c r="AM401" i="68" s="1"/>
  <c r="AI360" i="68"/>
  <c r="AI394" i="68" s="1"/>
  <c r="AI359" i="68"/>
  <c r="AI393" i="68" s="1"/>
  <c r="AI353" i="68"/>
  <c r="AI356" i="68"/>
  <c r="AI390" i="68" s="1"/>
  <c r="AI374" i="68"/>
  <c r="AI408" i="68" s="1"/>
  <c r="AI365" i="68"/>
  <c r="AI399" i="68" s="1"/>
  <c r="AI361" i="68"/>
  <c r="AI395" i="68" s="1"/>
  <c r="AI375" i="68"/>
  <c r="AI409" i="68" s="1"/>
  <c r="AI370" i="68"/>
  <c r="AI404" i="68" s="1"/>
  <c r="AI368" i="68"/>
  <c r="AI402" i="68" s="1"/>
  <c r="AI377" i="68"/>
  <c r="AI411" i="68" s="1"/>
  <c r="AI366" i="68"/>
  <c r="AI400" i="68" s="1"/>
  <c r="AI371" i="68"/>
  <c r="AI405" i="68" s="1"/>
  <c r="AI358" i="68"/>
  <c r="AI392" i="68" s="1"/>
  <c r="AI355" i="68"/>
  <c r="AI389" i="68" s="1"/>
  <c r="AI363" i="68"/>
  <c r="AI397" i="68" s="1"/>
  <c r="AI354" i="68"/>
  <c r="AI388" i="68" s="1"/>
  <c r="AI362" i="68"/>
  <c r="AI396" i="68" s="1"/>
  <c r="AI373" i="68"/>
  <c r="AI407" i="68" s="1"/>
  <c r="AI372" i="68"/>
  <c r="AI406" i="68" s="1"/>
  <c r="AI357" i="68"/>
  <c r="AI391" i="68" s="1"/>
  <c r="AI376" i="68"/>
  <c r="AI410" i="68" s="1"/>
  <c r="AI367" i="68"/>
  <c r="AI401" i="68" s="1"/>
  <c r="AI364" i="68"/>
  <c r="AI398" i="68" s="1"/>
  <c r="AI369" i="68"/>
  <c r="AI403" i="68" s="1"/>
  <c r="BB452" i="68"/>
  <c r="BB464" i="68" s="1"/>
  <c r="BB453" i="68"/>
  <c r="BB465" i="68" s="1"/>
  <c r="BB454" i="68"/>
  <c r="BB466" i="68" s="1"/>
  <c r="BB455" i="68"/>
  <c r="BB467" i="68" s="1"/>
  <c r="BB451" i="68"/>
  <c r="AB455" i="68"/>
  <c r="AB453" i="68"/>
  <c r="AB451" i="68"/>
  <c r="AB452" i="68"/>
  <c r="AB454" i="68"/>
  <c r="AR369" i="68"/>
  <c r="AR403" i="68" s="1"/>
  <c r="AR366" i="68"/>
  <c r="AR400" i="68" s="1"/>
  <c r="AR362" i="68"/>
  <c r="AR396" i="68" s="1"/>
  <c r="AR361" i="68"/>
  <c r="AR395" i="68" s="1"/>
  <c r="AR357" i="68"/>
  <c r="AR391" i="68" s="1"/>
  <c r="AR355" i="68"/>
  <c r="AR389" i="68" s="1"/>
  <c r="AR365" i="68"/>
  <c r="AR399" i="68" s="1"/>
  <c r="AR376" i="68"/>
  <c r="AR410" i="68" s="1"/>
  <c r="AR354" i="68"/>
  <c r="AR388" i="68" s="1"/>
  <c r="AR373" i="68"/>
  <c r="AR407" i="68" s="1"/>
  <c r="AR353" i="68"/>
  <c r="AR374" i="68"/>
  <c r="AR408" i="68" s="1"/>
  <c r="AR375" i="68"/>
  <c r="AR409" i="68" s="1"/>
  <c r="AR371" i="68"/>
  <c r="AR405" i="68" s="1"/>
  <c r="AR370" i="68"/>
  <c r="AR404" i="68" s="1"/>
  <c r="AR368" i="68"/>
  <c r="AR402" i="68" s="1"/>
  <c r="AR360" i="68"/>
  <c r="AR394" i="68" s="1"/>
  <c r="AR363" i="68"/>
  <c r="AR397" i="68" s="1"/>
  <c r="AR372" i="68"/>
  <c r="AR406" i="68" s="1"/>
  <c r="AR367" i="68"/>
  <c r="AR401" i="68" s="1"/>
  <c r="AR356" i="68"/>
  <c r="AR390" i="68" s="1"/>
  <c r="AR358" i="68"/>
  <c r="AR392" i="68" s="1"/>
  <c r="AR364" i="68"/>
  <c r="AR398" i="68" s="1"/>
  <c r="AR377" i="68"/>
  <c r="AR411" i="68" s="1"/>
  <c r="AR359" i="68"/>
  <c r="AR393" i="68" s="1"/>
  <c r="AK355" i="68"/>
  <c r="AK389" i="68" s="1"/>
  <c r="AK354" i="68"/>
  <c r="AK388" i="68" s="1"/>
  <c r="AK375" i="68"/>
  <c r="AK409" i="68" s="1"/>
  <c r="AK366" i="68"/>
  <c r="AK400" i="68" s="1"/>
  <c r="AK363" i="68"/>
  <c r="AK397" i="68" s="1"/>
  <c r="AK368" i="68"/>
  <c r="AK402" i="68" s="1"/>
  <c r="AK357" i="68"/>
  <c r="AK391" i="68" s="1"/>
  <c r="AK370" i="68"/>
  <c r="AK404" i="68" s="1"/>
  <c r="AK356" i="68"/>
  <c r="AK390" i="68" s="1"/>
  <c r="AK367" i="68"/>
  <c r="AK401" i="68" s="1"/>
  <c r="AK359" i="68"/>
  <c r="AK393" i="68" s="1"/>
  <c r="AK374" i="68"/>
  <c r="AK408" i="68" s="1"/>
  <c r="AK353" i="68"/>
  <c r="AK371" i="68"/>
  <c r="AK405" i="68" s="1"/>
  <c r="AK364" i="68"/>
  <c r="AK398" i="68" s="1"/>
  <c r="AK377" i="68"/>
  <c r="AK411" i="68" s="1"/>
  <c r="AK361" i="68"/>
  <c r="AK395" i="68" s="1"/>
  <c r="AK362" i="68"/>
  <c r="AK396" i="68" s="1"/>
  <c r="AK365" i="68"/>
  <c r="AK399" i="68" s="1"/>
  <c r="AK376" i="68"/>
  <c r="AK410" i="68" s="1"/>
  <c r="AK373" i="68"/>
  <c r="AK407" i="68" s="1"/>
  <c r="AK369" i="68"/>
  <c r="AK403" i="68" s="1"/>
  <c r="AK358" i="68"/>
  <c r="AK392" i="68" s="1"/>
  <c r="AK360" i="68"/>
  <c r="AK394" i="68" s="1"/>
  <c r="AK372" i="68"/>
  <c r="AK406" i="68" s="1"/>
  <c r="AZ452" i="68"/>
  <c r="AZ464" i="68" s="1"/>
  <c r="AZ453" i="68"/>
  <c r="AZ465" i="68" s="1"/>
  <c r="AZ451" i="68"/>
  <c r="AZ455" i="68"/>
  <c r="AZ467" i="68" s="1"/>
  <c r="AZ454" i="68"/>
  <c r="AZ466" i="68" s="1"/>
  <c r="AQ453" i="68"/>
  <c r="AQ452" i="68"/>
  <c r="AQ454" i="68"/>
  <c r="AQ455" i="68"/>
  <c r="AQ451" i="68"/>
  <c r="AW363" i="68"/>
  <c r="AW397" i="68" s="1"/>
  <c r="AW357" i="68"/>
  <c r="AW391" i="68" s="1"/>
  <c r="AW375" i="68"/>
  <c r="AW409" i="68" s="1"/>
  <c r="AW364" i="68"/>
  <c r="AW398" i="68" s="1"/>
  <c r="AW371" i="68"/>
  <c r="AW405" i="68" s="1"/>
  <c r="AW360" i="68"/>
  <c r="AW394" i="68" s="1"/>
  <c r="AW356" i="68"/>
  <c r="AW390" i="68" s="1"/>
  <c r="AW370" i="68"/>
  <c r="AW404" i="68" s="1"/>
  <c r="AW361" i="68"/>
  <c r="AW395" i="68" s="1"/>
  <c r="AW365" i="68"/>
  <c r="AW399" i="68" s="1"/>
  <c r="AW374" i="68"/>
  <c r="AW408" i="68" s="1"/>
  <c r="AW353" i="68"/>
  <c r="AW369" i="68"/>
  <c r="AW403" i="68" s="1"/>
  <c r="AW377" i="68"/>
  <c r="AW411" i="68" s="1"/>
  <c r="AW376" i="68"/>
  <c r="AW410" i="68" s="1"/>
  <c r="AW367" i="68"/>
  <c r="AW401" i="68" s="1"/>
  <c r="AW354" i="68"/>
  <c r="AW388" i="68" s="1"/>
  <c r="AW373" i="68"/>
  <c r="AW407" i="68" s="1"/>
  <c r="AW362" i="68"/>
  <c r="AW396" i="68" s="1"/>
  <c r="AW366" i="68"/>
  <c r="AW400" i="68" s="1"/>
  <c r="AW359" i="68"/>
  <c r="AW393" i="68" s="1"/>
  <c r="AW372" i="68"/>
  <c r="AW406" i="68" s="1"/>
  <c r="AW355" i="68"/>
  <c r="AW389" i="68" s="1"/>
  <c r="AW368" i="68"/>
  <c r="AW402" i="68" s="1"/>
  <c r="AW358" i="68"/>
  <c r="AW392" i="68" s="1"/>
  <c r="AV354" i="68"/>
  <c r="AV360" i="68"/>
  <c r="AV353" i="68"/>
  <c r="AV377" i="68"/>
  <c r="AV372" i="68"/>
  <c r="AV368" i="68"/>
  <c r="AV376" i="68"/>
  <c r="AV361" i="68"/>
  <c r="AV366" i="68"/>
  <c r="AV364" i="68"/>
  <c r="AV356" i="68"/>
  <c r="AV357" i="68"/>
  <c r="AV375" i="68"/>
  <c r="AV363" i="68"/>
  <c r="AV365" i="68"/>
  <c r="AV369" i="68"/>
  <c r="AV358" i="68"/>
  <c r="AV370" i="68"/>
  <c r="AV359" i="68"/>
  <c r="AV355" i="68"/>
  <c r="AV367" i="68"/>
  <c r="AV374" i="68"/>
  <c r="AV371" i="68"/>
  <c r="AV373" i="68"/>
  <c r="AV362" i="68"/>
  <c r="AA372" i="68"/>
  <c r="AA376" i="68"/>
  <c r="AA354" i="68"/>
  <c r="AA355" i="68"/>
  <c r="AA357" i="68"/>
  <c r="AA356" i="68"/>
  <c r="AA362" i="68"/>
  <c r="AA361" i="68"/>
  <c r="AA370" i="68"/>
  <c r="AA358" i="68"/>
  <c r="AA367" i="68"/>
  <c r="AA368" i="68"/>
  <c r="AA366" i="68"/>
  <c r="AA375" i="68"/>
  <c r="AA369" i="68"/>
  <c r="AA371" i="68"/>
  <c r="AA359" i="68"/>
  <c r="AA365" i="68"/>
  <c r="AA377" i="68"/>
  <c r="AA353" i="68"/>
  <c r="AA374" i="68"/>
  <c r="AA360" i="68"/>
  <c r="AA364" i="68"/>
  <c r="AA373" i="68"/>
  <c r="AA363" i="68"/>
  <c r="AK453" i="68"/>
  <c r="AK465" i="68" s="1"/>
  <c r="AK455" i="68"/>
  <c r="AK467" i="68" s="1"/>
  <c r="AK452" i="68"/>
  <c r="AK464" i="68" s="1"/>
  <c r="AK451" i="68"/>
  <c r="AK454" i="68"/>
  <c r="AK466" i="68" s="1"/>
  <c r="AT365" i="68"/>
  <c r="AT399" i="68" s="1"/>
  <c r="AT367" i="68"/>
  <c r="AT401" i="68" s="1"/>
  <c r="AT363" i="68"/>
  <c r="AT397" i="68" s="1"/>
  <c r="AT357" i="68"/>
  <c r="AT391" i="68" s="1"/>
  <c r="AT355" i="68"/>
  <c r="AT389" i="68" s="1"/>
  <c r="AT377" i="68"/>
  <c r="AT411" i="68" s="1"/>
  <c r="AT373" i="68"/>
  <c r="AT407" i="68" s="1"/>
  <c r="AT358" i="68"/>
  <c r="AT392" i="68" s="1"/>
  <c r="AT359" i="68"/>
  <c r="AT393" i="68" s="1"/>
  <c r="AT370" i="68"/>
  <c r="AT404" i="68" s="1"/>
  <c r="AT375" i="68"/>
  <c r="AT409" i="68" s="1"/>
  <c r="AT371" i="68"/>
  <c r="AT405" i="68" s="1"/>
  <c r="AT369" i="68"/>
  <c r="AT403" i="68" s="1"/>
  <c r="AT356" i="68"/>
  <c r="AT390" i="68" s="1"/>
  <c r="AT360" i="68"/>
  <c r="AT394" i="68" s="1"/>
  <c r="AT372" i="68"/>
  <c r="AT406" i="68" s="1"/>
  <c r="AT362" i="68"/>
  <c r="AT396" i="68" s="1"/>
  <c r="AT354" i="68"/>
  <c r="AT388" i="68" s="1"/>
  <c r="AT368" i="68"/>
  <c r="AT402" i="68" s="1"/>
  <c r="AT366" i="68"/>
  <c r="AT400" i="68" s="1"/>
  <c r="AT374" i="68"/>
  <c r="AT408" i="68" s="1"/>
  <c r="AT364" i="68"/>
  <c r="AT398" i="68" s="1"/>
  <c r="AT376" i="68"/>
  <c r="AT410" i="68" s="1"/>
  <c r="AT353" i="68"/>
  <c r="AT361" i="68"/>
  <c r="AT395" i="68" s="1"/>
  <c r="AQ375" i="68"/>
  <c r="AQ353" i="68"/>
  <c r="AQ359" i="68"/>
  <c r="AQ376" i="68"/>
  <c r="AQ360" i="68"/>
  <c r="AQ377" i="68"/>
  <c r="AQ358" i="68"/>
  <c r="AQ367" i="68"/>
  <c r="AQ357" i="68"/>
  <c r="AQ354" i="68"/>
  <c r="AQ365" i="68"/>
  <c r="AQ363" i="68"/>
  <c r="AQ355" i="68"/>
  <c r="BA451" i="68"/>
  <c r="BA453" i="68"/>
  <c r="BA455" i="68"/>
  <c r="BA452" i="68"/>
  <c r="BA464" i="68" s="1"/>
  <c r="BA454" i="68"/>
  <c r="BA466" i="68" s="1"/>
  <c r="AV452" i="68"/>
  <c r="AE369" i="68"/>
  <c r="AE403" i="68" s="1"/>
  <c r="AE364" i="68"/>
  <c r="AE398" i="68" s="1"/>
  <c r="AE375" i="68"/>
  <c r="AE409" i="68" s="1"/>
  <c r="AE377" i="68"/>
  <c r="AE411" i="68" s="1"/>
  <c r="AE362" i="68"/>
  <c r="AE396" i="68" s="1"/>
  <c r="AE357" i="68"/>
  <c r="AE391" i="68" s="1"/>
  <c r="AC362" i="68"/>
  <c r="AC396" i="68" s="1"/>
  <c r="AC376" i="68"/>
  <c r="AC410" i="68" s="1"/>
  <c r="AC360" i="68"/>
  <c r="AC394" i="68" s="1"/>
  <c r="AC368" i="68"/>
  <c r="AC402" i="68" s="1"/>
  <c r="AC353" i="68"/>
  <c r="AC365" i="68"/>
  <c r="AC399" i="68" s="1"/>
  <c r="AC359" i="68"/>
  <c r="AC393" i="68" s="1"/>
  <c r="AC361" i="68"/>
  <c r="AC395" i="68" s="1"/>
  <c r="AC357" i="68"/>
  <c r="AC391" i="68" s="1"/>
  <c r="AC356" i="68"/>
  <c r="AC390" i="68" s="1"/>
  <c r="AC374" i="68"/>
  <c r="AC408" i="68" s="1"/>
  <c r="AC370" i="68"/>
  <c r="AC404" i="68" s="1"/>
  <c r="AC375" i="68"/>
  <c r="AC409" i="68" s="1"/>
  <c r="AC371" i="68"/>
  <c r="AC405" i="68" s="1"/>
  <c r="AC377" i="68"/>
  <c r="AC411" i="68" s="1"/>
  <c r="AC363" i="68"/>
  <c r="AC397" i="68" s="1"/>
  <c r="AC367" i="68"/>
  <c r="AC401" i="68" s="1"/>
  <c r="AC355" i="68"/>
  <c r="AC389" i="68" s="1"/>
  <c r="AC358" i="68"/>
  <c r="AC392" i="68" s="1"/>
  <c r="AC373" i="68"/>
  <c r="AC407" i="68" s="1"/>
  <c r="AC364" i="68"/>
  <c r="AC398" i="68" s="1"/>
  <c r="AC354" i="68"/>
  <c r="AC388" i="68" s="1"/>
  <c r="AC366" i="68"/>
  <c r="AC400" i="68" s="1"/>
  <c r="AC369" i="68"/>
  <c r="AC403" i="68" s="1"/>
  <c r="AC372" i="68"/>
  <c r="AC406" i="68" s="1"/>
  <c r="AU454" i="68"/>
  <c r="AU466" i="68" s="1"/>
  <c r="AY453" i="68"/>
  <c r="AY465" i="68" s="1"/>
  <c r="AF451" i="68"/>
  <c r="AF454" i="68"/>
  <c r="AF466" i="68" s="1"/>
  <c r="AF452" i="68"/>
  <c r="AF464" i="68" s="1"/>
  <c r="AF453" i="68"/>
  <c r="AF465" i="68" s="1"/>
  <c r="AF455" i="68"/>
  <c r="AF467" i="68" s="1"/>
  <c r="AP366" i="68"/>
  <c r="AP400" i="68" s="1"/>
  <c r="AP356" i="68"/>
  <c r="AP390" i="68" s="1"/>
  <c r="AP358" i="68"/>
  <c r="AP392" i="68" s="1"/>
  <c r="AP367" i="68"/>
  <c r="AP401" i="68" s="1"/>
  <c r="AP374" i="68"/>
  <c r="AP408" i="68" s="1"/>
  <c r="AP377" i="68"/>
  <c r="AP411" i="68" s="1"/>
  <c r="AP363" i="68"/>
  <c r="AP397" i="68" s="1"/>
  <c r="AP365" i="68"/>
  <c r="AP399" i="68" s="1"/>
  <c r="AP371" i="68"/>
  <c r="AP405" i="68" s="1"/>
  <c r="AP361" i="68"/>
  <c r="AP395" i="68" s="1"/>
  <c r="AP372" i="68"/>
  <c r="AP406" i="68" s="1"/>
  <c r="AP357" i="68"/>
  <c r="AP391" i="68" s="1"/>
  <c r="AP355" i="68"/>
  <c r="AP389" i="68" s="1"/>
  <c r="AP360" i="68"/>
  <c r="AP394" i="68" s="1"/>
  <c r="AP375" i="68"/>
  <c r="AP409" i="68" s="1"/>
  <c r="AP359" i="68"/>
  <c r="AP393" i="68" s="1"/>
  <c r="AP368" i="68"/>
  <c r="AP402" i="68" s="1"/>
  <c r="AP369" i="68"/>
  <c r="AP403" i="68" s="1"/>
  <c r="AP354" i="68"/>
  <c r="AP388" i="68" s="1"/>
  <c r="AP376" i="68"/>
  <c r="AP410" i="68" s="1"/>
  <c r="AP373" i="68"/>
  <c r="AP407" i="68" s="1"/>
  <c r="AP362" i="68"/>
  <c r="AP396" i="68" s="1"/>
  <c r="AP370" i="68"/>
  <c r="AP404" i="68" s="1"/>
  <c r="AP353" i="68"/>
  <c r="AP364" i="68"/>
  <c r="AP398" i="68" s="1"/>
  <c r="AA451" i="68"/>
  <c r="AA452" i="68"/>
  <c r="AA455" i="68"/>
  <c r="AA453" i="68"/>
  <c r="AA454" i="68"/>
  <c r="AE454" i="68"/>
  <c r="AE466" i="68" s="1"/>
  <c r="AE455" i="68"/>
  <c r="AE467" i="68" s="1"/>
  <c r="AE453" i="68"/>
  <c r="AE465" i="68" s="1"/>
  <c r="AE452" i="68"/>
  <c r="AE464" i="68" s="1"/>
  <c r="AE451" i="68"/>
  <c r="AC453" i="68"/>
  <c r="AC465" i="68" s="1"/>
  <c r="AC451" i="68"/>
  <c r="AC454" i="68"/>
  <c r="AC466" i="68" s="1"/>
  <c r="AC452" i="68"/>
  <c r="AC464" i="68" s="1"/>
  <c r="AC455" i="68"/>
  <c r="AC467" i="68" s="1"/>
  <c r="BC454" i="68"/>
  <c r="BC466" i="68" s="1"/>
  <c r="BC451" i="68"/>
  <c r="BC452" i="68"/>
  <c r="BC464" i="68" s="1"/>
  <c r="BC453" i="68"/>
  <c r="BC465" i="68" s="1"/>
  <c r="BC455" i="68"/>
  <c r="BC467" i="68" s="1"/>
  <c r="AU366" i="68"/>
  <c r="AU400" i="68" s="1"/>
  <c r="AU355" i="68"/>
  <c r="AU389" i="68" s="1"/>
  <c r="AU360" i="68"/>
  <c r="AU394" i="68" s="1"/>
  <c r="AU377" i="68"/>
  <c r="AU411" i="68" s="1"/>
  <c r="AU358" i="68"/>
  <c r="AU392" i="68" s="1"/>
  <c r="AU359" i="68"/>
  <c r="AU393" i="68" s="1"/>
  <c r="AU374" i="68"/>
  <c r="AU408" i="68" s="1"/>
  <c r="AU356" i="68"/>
  <c r="AU390" i="68" s="1"/>
  <c r="AU369" i="68"/>
  <c r="AU403" i="68" s="1"/>
  <c r="AU375" i="68"/>
  <c r="AU409" i="68" s="1"/>
  <c r="AU364" i="68"/>
  <c r="AU398" i="68" s="1"/>
  <c r="AU368" i="68"/>
  <c r="AU402" i="68" s="1"/>
  <c r="AU371" i="68"/>
  <c r="AU405" i="68" s="1"/>
  <c r="AU362" i="68"/>
  <c r="AU396" i="68" s="1"/>
  <c r="AU367" i="68"/>
  <c r="AU401" i="68" s="1"/>
  <c r="AU361" i="68"/>
  <c r="AU395" i="68" s="1"/>
  <c r="AU376" i="68"/>
  <c r="AU410" i="68" s="1"/>
  <c r="AU370" i="68"/>
  <c r="AU404" i="68" s="1"/>
  <c r="AU365" i="68"/>
  <c r="AU399" i="68" s="1"/>
  <c r="AU363" i="68"/>
  <c r="AU397" i="68" s="1"/>
  <c r="AU353" i="68"/>
  <c r="AU354" i="68"/>
  <c r="AU388" i="68" s="1"/>
  <c r="AU357" i="68"/>
  <c r="AU391" i="68" s="1"/>
  <c r="AU372" i="68"/>
  <c r="AU406" i="68" s="1"/>
  <c r="AU373" i="68"/>
  <c r="AU407" i="68" s="1"/>
  <c r="AY372" i="68"/>
  <c r="AY406" i="68" s="1"/>
  <c r="AY365" i="68"/>
  <c r="AY399" i="68" s="1"/>
  <c r="AY376" i="68"/>
  <c r="AY410" i="68" s="1"/>
  <c r="AY370" i="68"/>
  <c r="AY404" i="68" s="1"/>
  <c r="AY369" i="68"/>
  <c r="AY403" i="68" s="1"/>
  <c r="AY368" i="68"/>
  <c r="AY402" i="68" s="1"/>
  <c r="AY373" i="68"/>
  <c r="AY407" i="68" s="1"/>
  <c r="AY358" i="68"/>
  <c r="AY392" i="68" s="1"/>
  <c r="AY367" i="68"/>
  <c r="AY401" i="68" s="1"/>
  <c r="AY360" i="68"/>
  <c r="AY394" i="68" s="1"/>
  <c r="AY374" i="68"/>
  <c r="AY408" i="68" s="1"/>
  <c r="AY362" i="68"/>
  <c r="AY396" i="68" s="1"/>
  <c r="AY377" i="68"/>
  <c r="AY411" i="68" s="1"/>
  <c r="AY353" i="68"/>
  <c r="AY357" i="68"/>
  <c r="AY391" i="68" s="1"/>
  <c r="AY366" i="68"/>
  <c r="AY400" i="68" s="1"/>
  <c r="AY364" i="68"/>
  <c r="AY398" i="68" s="1"/>
  <c r="AY359" i="68"/>
  <c r="AY393" i="68" s="1"/>
  <c r="AY375" i="68"/>
  <c r="AY409" i="68" s="1"/>
  <c r="AY363" i="68"/>
  <c r="AY397" i="68" s="1"/>
  <c r="AY371" i="68"/>
  <c r="AY405" i="68" s="1"/>
  <c r="AY354" i="68"/>
  <c r="AY388" i="68" s="1"/>
  <c r="AY361" i="68"/>
  <c r="AY395" i="68" s="1"/>
  <c r="AY356" i="68"/>
  <c r="AY390" i="68" s="1"/>
  <c r="AY355" i="68"/>
  <c r="AY389" i="68" s="1"/>
  <c r="AF357" i="68"/>
  <c r="AF391" i="68" s="1"/>
  <c r="AF367" i="68"/>
  <c r="AF401" i="68" s="1"/>
  <c r="AF358" i="68"/>
  <c r="AF392" i="68" s="1"/>
  <c r="AF364" i="68"/>
  <c r="AF398" i="68" s="1"/>
  <c r="AF368" i="68"/>
  <c r="AF402" i="68" s="1"/>
  <c r="AF372" i="68"/>
  <c r="AF406" i="68" s="1"/>
  <c r="AF375" i="68"/>
  <c r="AF409" i="68" s="1"/>
  <c r="AF356" i="68"/>
  <c r="AF390" i="68" s="1"/>
  <c r="AF377" i="68"/>
  <c r="AF411" i="68" s="1"/>
  <c r="AF373" i="68"/>
  <c r="AF407" i="68" s="1"/>
  <c r="AF365" i="68"/>
  <c r="AF399" i="68" s="1"/>
  <c r="AF362" i="68"/>
  <c r="AF396" i="68" s="1"/>
  <c r="AF359" i="68"/>
  <c r="AF393" i="68" s="1"/>
  <c r="AF354" i="68"/>
  <c r="AF388" i="68" s="1"/>
  <c r="AF355" i="68"/>
  <c r="AF389" i="68" s="1"/>
  <c r="AF370" i="68"/>
  <c r="AF404" i="68" s="1"/>
  <c r="AF360" i="68"/>
  <c r="AF394" i="68" s="1"/>
  <c r="AF371" i="68"/>
  <c r="AF405" i="68" s="1"/>
  <c r="AF361" i="68"/>
  <c r="AF395" i="68" s="1"/>
  <c r="AF366" i="68"/>
  <c r="AF400" i="68" s="1"/>
  <c r="AF369" i="68"/>
  <c r="AF403" i="68" s="1"/>
  <c r="AF376" i="68"/>
  <c r="AF410" i="68" s="1"/>
  <c r="AF353" i="68"/>
  <c r="AF363" i="68"/>
  <c r="AF397" i="68" s="1"/>
  <c r="AF374" i="68"/>
  <c r="AF408" i="68" s="1"/>
  <c r="AP451" i="68"/>
  <c r="AP453" i="68"/>
  <c r="AP465" i="68" s="1"/>
  <c r="AP455" i="68"/>
  <c r="AP467" i="68" s="1"/>
  <c r="AP454" i="68"/>
  <c r="AP466" i="68" s="1"/>
  <c r="AP452" i="68"/>
  <c r="AP464" i="68" s="1"/>
  <c r="AH453" i="68"/>
  <c r="AH465" i="68" s="1"/>
  <c r="AO357" i="68"/>
  <c r="AO391" i="68" s="1"/>
  <c r="AO360" i="68"/>
  <c r="AO394" i="68" s="1"/>
  <c r="AO372" i="68"/>
  <c r="AO406" i="68" s="1"/>
  <c r="AO359" i="68"/>
  <c r="AO393" i="68" s="1"/>
  <c r="AO353" i="68"/>
  <c r="AO368" i="68"/>
  <c r="AO402" i="68" s="1"/>
  <c r="AO377" i="68"/>
  <c r="AO411" i="68" s="1"/>
  <c r="AO358" i="68"/>
  <c r="AO392" i="68" s="1"/>
  <c r="AO355" i="68"/>
  <c r="AO389" i="68" s="1"/>
  <c r="AO362" i="68"/>
  <c r="AO396" i="68" s="1"/>
  <c r="AO361" i="68"/>
  <c r="AO395" i="68" s="1"/>
  <c r="AO370" i="68"/>
  <c r="AO404" i="68" s="1"/>
  <c r="AN451" i="68"/>
  <c r="BE453" i="68"/>
  <c r="BE465" i="68" s="1"/>
  <c r="BE452" i="68"/>
  <c r="BE451" i="68"/>
  <c r="BE454" i="68"/>
  <c r="BE455" i="68"/>
  <c r="BE467" i="68" s="1"/>
  <c r="AH361" i="68"/>
  <c r="AH395" i="68" s="1"/>
  <c r="AH376" i="68"/>
  <c r="AH410" i="68" s="1"/>
  <c r="AH373" i="68"/>
  <c r="AH407" i="68" s="1"/>
  <c r="AH367" i="68"/>
  <c r="AH401" i="68" s="1"/>
  <c r="AH366" i="68"/>
  <c r="AH400" i="68" s="1"/>
  <c r="AH363" i="68"/>
  <c r="AH397" i="68" s="1"/>
  <c r="AH377" i="68"/>
  <c r="AH411" i="68" s="1"/>
  <c r="AH368" i="68"/>
  <c r="AH402" i="68" s="1"/>
  <c r="AH356" i="68"/>
  <c r="AH390" i="68" s="1"/>
  <c r="AH355" i="68"/>
  <c r="AH389" i="68" s="1"/>
  <c r="AH359" i="68"/>
  <c r="AH393" i="68" s="1"/>
  <c r="AH354" i="68"/>
  <c r="AH388" i="68" s="1"/>
  <c r="AH360" i="68"/>
  <c r="AH394" i="68" s="1"/>
  <c r="AH369" i="68"/>
  <c r="AH403" i="68" s="1"/>
  <c r="AH364" i="68"/>
  <c r="AH398" i="68" s="1"/>
  <c r="AH374" i="68"/>
  <c r="AH408" i="68" s="1"/>
  <c r="AH372" i="68"/>
  <c r="AH406" i="68" s="1"/>
  <c r="AH365" i="68"/>
  <c r="AH399" i="68" s="1"/>
  <c r="AH353" i="68"/>
  <c r="AH375" i="68"/>
  <c r="AH409" i="68" s="1"/>
  <c r="AH362" i="68"/>
  <c r="AH396" i="68" s="1"/>
  <c r="AH371" i="68"/>
  <c r="AH405" i="68" s="1"/>
  <c r="AH358" i="68"/>
  <c r="AH392" i="68" s="1"/>
  <c r="AH370" i="68"/>
  <c r="AH404" i="68" s="1"/>
  <c r="AH357" i="68"/>
  <c r="AH391" i="68" s="1"/>
  <c r="AL377" i="68"/>
  <c r="AL366" i="68"/>
  <c r="AL369" i="68"/>
  <c r="AL367" i="68"/>
  <c r="AL375" i="68"/>
  <c r="AL356" i="68"/>
  <c r="AL372" i="68"/>
  <c r="AL371" i="68"/>
  <c r="AL365" i="68"/>
  <c r="AL376" i="68"/>
  <c r="AL370" i="68"/>
  <c r="AL374" i="68"/>
  <c r="AL360" i="68"/>
  <c r="AL354" i="68"/>
  <c r="AL373" i="68"/>
  <c r="AL368" i="68"/>
  <c r="AL353" i="68"/>
  <c r="AL359" i="68"/>
  <c r="AL362" i="68"/>
  <c r="AL357" i="68"/>
  <c r="AL358" i="68"/>
  <c r="AL364" i="68"/>
  <c r="AL361" i="68"/>
  <c r="AL355" i="68"/>
  <c r="AL363" i="68"/>
  <c r="AO454" i="68"/>
  <c r="AO466" i="68" s="1"/>
  <c r="AO453" i="68"/>
  <c r="AO465" i="68" s="1"/>
  <c r="AO455" i="68"/>
  <c r="AO467" i="68" s="1"/>
  <c r="AO452" i="68"/>
  <c r="AO464" i="68" s="1"/>
  <c r="AO451" i="68"/>
  <c r="AX363" i="68"/>
  <c r="AX397" i="68" s="1"/>
  <c r="AX353" i="68"/>
  <c r="AX364" i="68"/>
  <c r="AX398" i="68" s="1"/>
  <c r="AX356" i="68"/>
  <c r="AX390" i="68" s="1"/>
  <c r="AX365" i="68"/>
  <c r="AX399" i="68" s="1"/>
  <c r="AX357" i="68"/>
  <c r="AX391" i="68" s="1"/>
  <c r="AX370" i="68"/>
  <c r="AX404" i="68" s="1"/>
  <c r="AX358" i="68"/>
  <c r="AX392" i="68" s="1"/>
  <c r="AX369" i="68"/>
  <c r="AX403" i="68" s="1"/>
  <c r="AX367" i="68"/>
  <c r="AX401" i="68" s="1"/>
  <c r="AX359" i="68"/>
  <c r="AX393" i="68" s="1"/>
  <c r="AX371" i="68"/>
  <c r="AX405" i="68" s="1"/>
  <c r="AX354" i="68"/>
  <c r="AX388" i="68" s="1"/>
  <c r="AX374" i="68"/>
  <c r="AX408" i="68" s="1"/>
  <c r="AX355" i="68"/>
  <c r="AX389" i="68" s="1"/>
  <c r="AX362" i="68"/>
  <c r="AX396" i="68" s="1"/>
  <c r="AX361" i="68"/>
  <c r="AX395" i="68" s="1"/>
  <c r="AX376" i="68"/>
  <c r="AX410" i="68" s="1"/>
  <c r="AX366" i="68"/>
  <c r="AX400" i="68" s="1"/>
  <c r="AX360" i="68"/>
  <c r="AX394" i="68" s="1"/>
  <c r="AX372" i="68"/>
  <c r="AX406" i="68" s="1"/>
  <c r="AX377" i="68"/>
  <c r="AX411" i="68" s="1"/>
  <c r="AX375" i="68"/>
  <c r="AX409" i="68" s="1"/>
  <c r="AX368" i="68"/>
  <c r="AX402" i="68" s="1"/>
  <c r="AX373" i="68"/>
  <c r="AX407" i="68" s="1"/>
  <c r="BD362" i="68"/>
  <c r="BD396" i="68" s="1"/>
  <c r="BD367" i="68"/>
  <c r="BD401" i="68" s="1"/>
  <c r="BD365" i="68"/>
  <c r="BD399" i="68" s="1"/>
  <c r="BD374" i="68"/>
  <c r="BD408" i="68" s="1"/>
  <c r="BD363" i="68"/>
  <c r="BD397" i="68" s="1"/>
  <c r="BD375" i="68"/>
  <c r="BD409" i="68" s="1"/>
  <c r="BD359" i="68"/>
  <c r="BD393" i="68" s="1"/>
  <c r="BD353" i="68"/>
  <c r="BD369" i="68"/>
  <c r="BD403" i="68" s="1"/>
  <c r="BD355" i="68"/>
  <c r="BD389" i="68" s="1"/>
  <c r="BD357" i="68"/>
  <c r="BD391" i="68" s="1"/>
  <c r="BD377" i="68"/>
  <c r="BD411" i="68" s="1"/>
  <c r="BD368" i="68"/>
  <c r="BD402" i="68" s="1"/>
  <c r="BD354" i="68"/>
  <c r="BD388" i="68" s="1"/>
  <c r="BD372" i="68"/>
  <c r="BD406" i="68" s="1"/>
  <c r="BD376" i="68"/>
  <c r="BD410" i="68" s="1"/>
  <c r="BD358" i="68"/>
  <c r="BD392" i="68" s="1"/>
  <c r="BD364" i="68"/>
  <c r="BD398" i="68" s="1"/>
  <c r="BD366" i="68"/>
  <c r="BD400" i="68" s="1"/>
  <c r="BD371" i="68"/>
  <c r="BD405" i="68" s="1"/>
  <c r="BD361" i="68"/>
  <c r="BD395" i="68" s="1"/>
  <c r="BD356" i="68"/>
  <c r="BD390" i="68" s="1"/>
  <c r="BD370" i="68"/>
  <c r="BD404" i="68" s="1"/>
  <c r="BD373" i="68"/>
  <c r="BD407" i="68" s="1"/>
  <c r="BD360" i="68"/>
  <c r="BD394" i="68" s="1"/>
  <c r="BB154" i="71"/>
  <c r="BC26" i="71"/>
  <c r="BA57" i="71"/>
  <c r="BB52" i="72"/>
  <c r="BC35" i="71"/>
  <c r="BC100" i="72"/>
  <c r="BB59" i="72"/>
  <c r="BA66" i="71"/>
  <c r="BB100" i="72"/>
  <c r="BB35" i="71"/>
  <c r="BB93" i="72"/>
  <c r="BB26" i="71"/>
  <c r="BH290" i="68"/>
  <c r="BM290" i="68"/>
  <c r="BD27" i="72"/>
  <c r="BD34" i="72"/>
  <c r="BL125" i="72"/>
  <c r="BL140" i="71" s="1"/>
  <c r="AZ140" i="71"/>
  <c r="BA125" i="72"/>
  <c r="BL118" i="72"/>
  <c r="BL131" i="71" s="1"/>
  <c r="AZ131" i="71"/>
  <c r="BA118" i="72"/>
  <c r="BD127" i="72"/>
  <c r="BE127" i="72" s="1"/>
  <c r="BM123" i="68"/>
  <c r="BM125" i="68" s="1"/>
  <c r="A125" i="68" s="1"/>
  <c r="BE131" i="68"/>
  <c r="BH130" i="68"/>
  <c r="BE42" i="71"/>
  <c r="BE49" i="71" s="1"/>
  <c r="BH39" i="72"/>
  <c r="BH42" i="71" s="1"/>
  <c r="BH49" i="71" s="1"/>
  <c r="BE130" i="71"/>
  <c r="BH117" i="72"/>
  <c r="BH130" i="71" s="1"/>
  <c r="BM117" i="72"/>
  <c r="BM130" i="71" s="1"/>
  <c r="BH106" i="72"/>
  <c r="BH117" i="71" s="1"/>
  <c r="BL106" i="72"/>
  <c r="BL117" i="71" s="1"/>
  <c r="BM106" i="72"/>
  <c r="BM117" i="71" s="1"/>
  <c r="BE152" i="71"/>
  <c r="BH135" i="72"/>
  <c r="BH152" i="71" s="1"/>
  <c r="BM135" i="72"/>
  <c r="BM152" i="71" s="1"/>
  <c r="BM102" i="72"/>
  <c r="BM111" i="71" s="1"/>
  <c r="BE150" i="71"/>
  <c r="BH133" i="72"/>
  <c r="BH150" i="71" s="1"/>
  <c r="BM133" i="72"/>
  <c r="BM150" i="71" s="1"/>
  <c r="BH124" i="72"/>
  <c r="BH139" i="71" s="1"/>
  <c r="BM124" i="72"/>
  <c r="BM139" i="71" s="1"/>
  <c r="BH34" i="72"/>
  <c r="BH35" i="71" s="1"/>
  <c r="BL34" i="72"/>
  <c r="BL35" i="71" s="1"/>
  <c r="BE133" i="71"/>
  <c r="BH120" i="72"/>
  <c r="BH133" i="71" s="1"/>
  <c r="BM120" i="72"/>
  <c r="BM133" i="71" s="1"/>
  <c r="BM39" i="72"/>
  <c r="BM42" i="71" s="1"/>
  <c r="BM49" i="71" s="1"/>
  <c r="BH27" i="72"/>
  <c r="BH26" i="71" s="1"/>
  <c r="BE151" i="71"/>
  <c r="BM134" i="72"/>
  <c r="BM151" i="71" s="1"/>
  <c r="BE149" i="71"/>
  <c r="BH132" i="72"/>
  <c r="BH149" i="71" s="1"/>
  <c r="BM132" i="72"/>
  <c r="BM149" i="71" s="1"/>
  <c r="BE143" i="71"/>
  <c r="BH128" i="72"/>
  <c r="BH143" i="71" s="1"/>
  <c r="BM128" i="72"/>
  <c r="BM143" i="71" s="1"/>
  <c r="BC73" i="71"/>
  <c r="BC80" i="71" s="1"/>
  <c r="BE139" i="71"/>
  <c r="BE61" i="72"/>
  <c r="I39" i="72"/>
  <c r="BD116" i="71"/>
  <c r="BD123" i="71" s="1"/>
  <c r="BD161" i="72"/>
  <c r="BE111" i="71"/>
  <c r="I102" i="72"/>
  <c r="I111" i="71" s="1"/>
  <c r="BE105" i="72"/>
  <c r="BE117" i="71"/>
  <c r="I106" i="72"/>
  <c r="I117" i="71" s="1"/>
  <c r="BD64" i="72"/>
  <c r="BD73" i="71" s="1"/>
  <c r="BD74" i="71"/>
  <c r="BC130" i="72"/>
  <c r="BC147" i="71" s="1"/>
  <c r="BC148" i="71"/>
  <c r="BD131" i="72"/>
  <c r="BE65" i="72"/>
  <c r="AS2" i="64"/>
  <c r="AS2" i="65"/>
  <c r="AS2" i="62"/>
  <c r="BC363" i="68" l="1"/>
  <c r="BC397" i="68" s="1"/>
  <c r="BC371" i="68"/>
  <c r="BC405" i="68" s="1"/>
  <c r="AB367" i="68"/>
  <c r="BC376" i="68"/>
  <c r="BC410" i="68" s="1"/>
  <c r="BC354" i="68"/>
  <c r="BC388" i="68" s="1"/>
  <c r="AB366" i="68"/>
  <c r="AB362" i="68"/>
  <c r="AB396" i="68" s="1"/>
  <c r="BH396" i="68" s="1"/>
  <c r="BC369" i="68"/>
  <c r="BC403" i="68" s="1"/>
  <c r="BC377" i="68"/>
  <c r="BC411" i="68" s="1"/>
  <c r="AB373" i="68"/>
  <c r="AB369" i="68"/>
  <c r="AB403" i="68" s="1"/>
  <c r="BH403" i="68" s="1"/>
  <c r="BC361" i="68"/>
  <c r="BC395" i="68" s="1"/>
  <c r="BC362" i="68"/>
  <c r="BC396" i="68" s="1"/>
  <c r="AV451" i="68"/>
  <c r="AB376" i="68"/>
  <c r="AB410" i="68" s="1"/>
  <c r="AB354" i="68"/>
  <c r="BC358" i="68"/>
  <c r="BC392" i="68" s="1"/>
  <c r="AB361" i="68"/>
  <c r="AB357" i="68"/>
  <c r="AB391" i="68" s="1"/>
  <c r="BH391" i="68" s="1"/>
  <c r="BC368" i="68"/>
  <c r="BC402" i="68" s="1"/>
  <c r="AV454" i="68"/>
  <c r="AB365" i="68"/>
  <c r="AJ452" i="68"/>
  <c r="AJ464" i="68" s="1"/>
  <c r="BC367" i="68"/>
  <c r="BC401" i="68" s="1"/>
  <c r="AV455" i="68"/>
  <c r="AB371" i="68"/>
  <c r="AJ455" i="68"/>
  <c r="AJ467" i="68" s="1"/>
  <c r="BC359" i="68"/>
  <c r="BC393" i="68" s="1"/>
  <c r="AB370" i="68"/>
  <c r="AU452" i="68"/>
  <c r="AU464" i="68" s="1"/>
  <c r="AE373" i="68"/>
  <c r="AE407" i="68" s="1"/>
  <c r="AE365" i="68"/>
  <c r="AE399" i="68" s="1"/>
  <c r="AE367" i="68"/>
  <c r="AE401" i="68" s="1"/>
  <c r="AH455" i="68"/>
  <c r="AH467" i="68" s="1"/>
  <c r="AU451" i="68"/>
  <c r="AU463" i="68" s="1"/>
  <c r="BC370" i="68"/>
  <c r="BC404" i="68" s="1"/>
  <c r="BC375" i="68"/>
  <c r="BC409" i="68" s="1"/>
  <c r="BC373" i="68"/>
  <c r="BC407" i="68" s="1"/>
  <c r="AE363" i="68"/>
  <c r="AE397" i="68" s="1"/>
  <c r="AE368" i="68"/>
  <c r="AE402" i="68" s="1"/>
  <c r="AE353" i="68"/>
  <c r="AQ364" i="68"/>
  <c r="AQ356" i="68"/>
  <c r="AQ390" i="68" s="1"/>
  <c r="BK390" i="68" s="1"/>
  <c r="AQ371" i="68"/>
  <c r="AQ405" i="68" s="1"/>
  <c r="BK405" i="68" s="1"/>
  <c r="AZ376" i="68"/>
  <c r="AZ410" i="68" s="1"/>
  <c r="AB355" i="68"/>
  <c r="AB358" i="68"/>
  <c r="AB392" i="68" s="1"/>
  <c r="AB353" i="68"/>
  <c r="AB356" i="68"/>
  <c r="AH452" i="68"/>
  <c r="AH464" i="68" s="1"/>
  <c r="BC366" i="68"/>
  <c r="BC400" i="68" s="1"/>
  <c r="BC372" i="68"/>
  <c r="BC406" i="68" s="1"/>
  <c r="BC355" i="68"/>
  <c r="BC389" i="68" s="1"/>
  <c r="BC357" i="68"/>
  <c r="BC391" i="68" s="1"/>
  <c r="AE355" i="68"/>
  <c r="AE389" i="68" s="1"/>
  <c r="AE359" i="68"/>
  <c r="AE393" i="68" s="1"/>
  <c r="AE356" i="68"/>
  <c r="AE390" i="68" s="1"/>
  <c r="AW451" i="68"/>
  <c r="AQ373" i="68"/>
  <c r="AQ407" i="68" s="1"/>
  <c r="BK407" i="68" s="1"/>
  <c r="AQ362" i="68"/>
  <c r="AQ368" i="68"/>
  <c r="AQ402" i="68" s="1"/>
  <c r="BK402" i="68" s="1"/>
  <c r="AB372" i="68"/>
  <c r="AB377" i="68"/>
  <c r="AB411" i="68" s="1"/>
  <c r="BH411" i="68" s="1"/>
  <c r="AB360" i="68"/>
  <c r="AB394" i="68" s="1"/>
  <c r="AJ454" i="68"/>
  <c r="AJ466" i="68" s="1"/>
  <c r="AE374" i="68"/>
  <c r="AE408" i="68" s="1"/>
  <c r="AE370" i="68"/>
  <c r="AE404" i="68" s="1"/>
  <c r="AH454" i="68"/>
  <c r="AH466" i="68" s="1"/>
  <c r="AU453" i="68"/>
  <c r="AU465" i="68" s="1"/>
  <c r="BC365" i="68"/>
  <c r="BC399" i="68" s="1"/>
  <c r="BC360" i="68"/>
  <c r="BC394" i="68" s="1"/>
  <c r="BC356" i="68"/>
  <c r="BC390" i="68" s="1"/>
  <c r="AE376" i="68"/>
  <c r="AE410" i="68" s="1"/>
  <c r="AE354" i="68"/>
  <c r="AE388" i="68" s="1"/>
  <c r="AE371" i="68"/>
  <c r="AE405" i="68" s="1"/>
  <c r="AQ361" i="68"/>
  <c r="AQ395" i="68" s="1"/>
  <c r="BK395" i="68" s="1"/>
  <c r="AQ374" i="68"/>
  <c r="AQ408" i="68" s="1"/>
  <c r="BK408" i="68" s="1"/>
  <c r="AQ370" i="68"/>
  <c r="AB364" i="68"/>
  <c r="AB398" i="68" s="1"/>
  <c r="BH398" i="68" s="1"/>
  <c r="AB368" i="68"/>
  <c r="AB402" i="68" s="1"/>
  <c r="BH402" i="68" s="1"/>
  <c r="AB359" i="68"/>
  <c r="AJ451" i="68"/>
  <c r="AE360" i="68"/>
  <c r="AE394" i="68" s="1"/>
  <c r="AE361" i="68"/>
  <c r="AE395" i="68" s="1"/>
  <c r="BC374" i="68"/>
  <c r="BC408" i="68" s="1"/>
  <c r="BC353" i="68"/>
  <c r="AE358" i="68"/>
  <c r="AE392" i="68" s="1"/>
  <c r="AE366" i="68"/>
  <c r="AE400" i="68" s="1"/>
  <c r="AQ366" i="68"/>
  <c r="AQ369" i="68"/>
  <c r="AB363" i="68"/>
  <c r="AB374" i="68"/>
  <c r="AB408" i="68" s="1"/>
  <c r="AY451" i="68"/>
  <c r="BE376" i="68"/>
  <c r="BE373" i="68"/>
  <c r="BE407" i="68" s="1"/>
  <c r="BE362" i="68"/>
  <c r="BE396" i="68" s="1"/>
  <c r="BE374" i="68"/>
  <c r="BE367" i="68"/>
  <c r="AY452" i="68"/>
  <c r="AY464" i="68" s="1"/>
  <c r="BE366" i="68"/>
  <c r="BE400" i="68" s="1"/>
  <c r="BE360" i="68"/>
  <c r="BE365" i="68"/>
  <c r="BE399" i="68" s="1"/>
  <c r="AT453" i="68"/>
  <c r="AT465" i="68" s="1"/>
  <c r="BE354" i="68"/>
  <c r="BE388" i="68" s="1"/>
  <c r="BE359" i="68"/>
  <c r="BE393" i="68" s="1"/>
  <c r="BE361" i="68"/>
  <c r="BE370" i="68"/>
  <c r="BE404" i="68" s="1"/>
  <c r="AT452" i="68"/>
  <c r="AT464" i="68" s="1"/>
  <c r="BE363" i="68"/>
  <c r="BE397" i="68" s="1"/>
  <c r="BE375" i="68"/>
  <c r="BE355" i="68"/>
  <c r="AN452" i="68"/>
  <c r="AN464" i="68" s="1"/>
  <c r="AT451" i="68"/>
  <c r="BE357" i="68"/>
  <c r="BE391" i="68" s="1"/>
  <c r="BE377" i="68"/>
  <c r="BE372" i="68"/>
  <c r="BE406" i="68" s="1"/>
  <c r="AN453" i="68"/>
  <c r="AN465" i="68" s="1"/>
  <c r="AL452" i="68"/>
  <c r="AY455" i="68"/>
  <c r="AY467" i="68" s="1"/>
  <c r="AT455" i="68"/>
  <c r="AT467" i="68" s="1"/>
  <c r="BE356" i="68"/>
  <c r="BE364" i="68"/>
  <c r="BE368" i="68"/>
  <c r="BE402" i="68" s="1"/>
  <c r="AN454" i="68"/>
  <c r="AN466" i="68" s="1"/>
  <c r="BE371" i="68"/>
  <c r="BE405" i="68" s="1"/>
  <c r="BE353" i="68"/>
  <c r="AZ367" i="68"/>
  <c r="AZ401" i="68" s="1"/>
  <c r="AZ364" i="68"/>
  <c r="AZ398" i="68" s="1"/>
  <c r="AG367" i="68"/>
  <c r="AG357" i="68"/>
  <c r="BI357" i="68" s="1"/>
  <c r="AW454" i="68"/>
  <c r="AW466" i="68" s="1"/>
  <c r="AW453" i="68"/>
  <c r="AW465" i="68" s="1"/>
  <c r="AX454" i="68"/>
  <c r="AX466" i="68" s="1"/>
  <c r="AW452" i="68"/>
  <c r="AW464" i="68" s="1"/>
  <c r="AG362" i="68"/>
  <c r="AG396" i="68" s="1"/>
  <c r="BI396" i="68" s="1"/>
  <c r="AZ365" i="68"/>
  <c r="AZ399" i="68" s="1"/>
  <c r="AZ370" i="68"/>
  <c r="AZ404" i="68" s="1"/>
  <c r="AZ373" i="68"/>
  <c r="AZ407" i="68" s="1"/>
  <c r="AZ355" i="68"/>
  <c r="AZ389" i="68" s="1"/>
  <c r="AZ363" i="68"/>
  <c r="AZ397" i="68" s="1"/>
  <c r="AZ375" i="68"/>
  <c r="AZ409" i="68" s="1"/>
  <c r="AZ377" i="68"/>
  <c r="AZ411" i="68" s="1"/>
  <c r="AZ362" i="68"/>
  <c r="AZ396" i="68" s="1"/>
  <c r="AZ372" i="68"/>
  <c r="AZ406" i="68" s="1"/>
  <c r="AZ359" i="68"/>
  <c r="AZ393" i="68" s="1"/>
  <c r="AZ354" i="68"/>
  <c r="AZ388" i="68" s="1"/>
  <c r="AZ356" i="68"/>
  <c r="AZ390" i="68" s="1"/>
  <c r="AZ361" i="68"/>
  <c r="AZ395" i="68" s="1"/>
  <c r="AZ371" i="68"/>
  <c r="AZ405" i="68" s="1"/>
  <c r="AZ368" i="68"/>
  <c r="AZ402" i="68" s="1"/>
  <c r="AZ374" i="68"/>
  <c r="AZ408" i="68" s="1"/>
  <c r="AZ366" i="68"/>
  <c r="AZ400" i="68" s="1"/>
  <c r="AZ360" i="68"/>
  <c r="AZ394" i="68" s="1"/>
  <c r="AZ369" i="68"/>
  <c r="AZ403" i="68" s="1"/>
  <c r="AZ358" i="68"/>
  <c r="AZ392" i="68" s="1"/>
  <c r="AZ353" i="68"/>
  <c r="BL353" i="68" s="1"/>
  <c r="BA361" i="68"/>
  <c r="BA395" i="68" s="1"/>
  <c r="AO374" i="68"/>
  <c r="AO408" i="68" s="1"/>
  <c r="AO369" i="68"/>
  <c r="AO403" i="68" s="1"/>
  <c r="AO354" i="68"/>
  <c r="AO388" i="68" s="1"/>
  <c r="AO371" i="68"/>
  <c r="AO405" i="68" s="1"/>
  <c r="AO364" i="68"/>
  <c r="AO398" i="68" s="1"/>
  <c r="AO363" i="68"/>
  <c r="AO397" i="68" s="1"/>
  <c r="AO376" i="68"/>
  <c r="AO410" i="68" s="1"/>
  <c r="AO367" i="68"/>
  <c r="AO401" i="68" s="1"/>
  <c r="AO356" i="68"/>
  <c r="AO390" i="68" s="1"/>
  <c r="AO373" i="68"/>
  <c r="AO407" i="68" s="1"/>
  <c r="AO366" i="68"/>
  <c r="AO400" i="68" s="1"/>
  <c r="AO365" i="68"/>
  <c r="AO399" i="68" s="1"/>
  <c r="BA367" i="68"/>
  <c r="BA401" i="68" s="1"/>
  <c r="BA370" i="68"/>
  <c r="BM370" i="68" s="1"/>
  <c r="BA374" i="68"/>
  <c r="BA408" i="68" s="1"/>
  <c r="BA375" i="68"/>
  <c r="BA409" i="68" s="1"/>
  <c r="BA369" i="68"/>
  <c r="BA403" i="68" s="1"/>
  <c r="AR454" i="68"/>
  <c r="AR466" i="68" s="1"/>
  <c r="BA368" i="68"/>
  <c r="BA402" i="68" s="1"/>
  <c r="BA372" i="68"/>
  <c r="BA406" i="68" s="1"/>
  <c r="BA376" i="68"/>
  <c r="BA410" i="68" s="1"/>
  <c r="BA360" i="68"/>
  <c r="BA394" i="68" s="1"/>
  <c r="BA363" i="68"/>
  <c r="BA373" i="68"/>
  <c r="BA366" i="68"/>
  <c r="BA400" i="68" s="1"/>
  <c r="BA355" i="68"/>
  <c r="BA389" i="68" s="1"/>
  <c r="BA356" i="68"/>
  <c r="BA390" i="68" s="1"/>
  <c r="AR453" i="68"/>
  <c r="AR465" i="68" s="1"/>
  <c r="BA358" i="68"/>
  <c r="BA392" i="68" s="1"/>
  <c r="BA362" i="68"/>
  <c r="BA377" i="68"/>
  <c r="BA411" i="68" s="1"/>
  <c r="BA357" i="68"/>
  <c r="BA391" i="68" s="1"/>
  <c r="AR452" i="68"/>
  <c r="AR464" i="68" s="1"/>
  <c r="BA365" i="68"/>
  <c r="BA399" i="68" s="1"/>
  <c r="BA353" i="68"/>
  <c r="BM353" i="68" s="1"/>
  <c r="BA364" i="68"/>
  <c r="BA398" i="68" s="1"/>
  <c r="AR455" i="68"/>
  <c r="AR467" i="68" s="1"/>
  <c r="BA354" i="68"/>
  <c r="BA359" i="68"/>
  <c r="BA393" i="68" s="1"/>
  <c r="BM393" i="68" s="1"/>
  <c r="AX451" i="68"/>
  <c r="BL451" i="68" s="1"/>
  <c r="AG375" i="68"/>
  <c r="AG409" i="68" s="1"/>
  <c r="BI409" i="68" s="1"/>
  <c r="AG359" i="68"/>
  <c r="AG393" i="68" s="1"/>
  <c r="BI393" i="68" s="1"/>
  <c r="AG376" i="68"/>
  <c r="AG410" i="68" s="1"/>
  <c r="BI410" i="68" s="1"/>
  <c r="AX455" i="68"/>
  <c r="AX467" i="68" s="1"/>
  <c r="AG353" i="68"/>
  <c r="AG387" i="68" s="1"/>
  <c r="AG373" i="68"/>
  <c r="AG407" i="68" s="1"/>
  <c r="BI407" i="68" s="1"/>
  <c r="AG358" i="68"/>
  <c r="BI358" i="68" s="1"/>
  <c r="AG354" i="68"/>
  <c r="AG388" i="68" s="1"/>
  <c r="BI388" i="68" s="1"/>
  <c r="AG356" i="68"/>
  <c r="AG390" i="68" s="1"/>
  <c r="BI390" i="68" s="1"/>
  <c r="AG372" i="68"/>
  <c r="AG406" i="68" s="1"/>
  <c r="BI406" i="68" s="1"/>
  <c r="AG360" i="68"/>
  <c r="AG394" i="68" s="1"/>
  <c r="BI394" i="68" s="1"/>
  <c r="AG370" i="68"/>
  <c r="AG371" i="68"/>
  <c r="BI371" i="68" s="1"/>
  <c r="AG374" i="68"/>
  <c r="AG408" i="68" s="1"/>
  <c r="BI408" i="68" s="1"/>
  <c r="AG366" i="68"/>
  <c r="AG400" i="68" s="1"/>
  <c r="BI400" i="68" s="1"/>
  <c r="AG363" i="68"/>
  <c r="BI363" i="68" s="1"/>
  <c r="AG368" i="68"/>
  <c r="AG402" i="68" s="1"/>
  <c r="BI402" i="68" s="1"/>
  <c r="AX452" i="68"/>
  <c r="AX464" i="68" s="1"/>
  <c r="AG361" i="68"/>
  <c r="AG395" i="68" s="1"/>
  <c r="BI395" i="68" s="1"/>
  <c r="AG355" i="68"/>
  <c r="AG377" i="68"/>
  <c r="AG411" i="68" s="1"/>
  <c r="BI411" i="68" s="1"/>
  <c r="AG364" i="68"/>
  <c r="AG398" i="68" s="1"/>
  <c r="BI398" i="68" s="1"/>
  <c r="AG365" i="68"/>
  <c r="AG399" i="68" s="1"/>
  <c r="BI399" i="68" s="1"/>
  <c r="AS451" i="68"/>
  <c r="AS463" i="68" s="1"/>
  <c r="AS454" i="68"/>
  <c r="AS466" i="68" s="1"/>
  <c r="BD453" i="68"/>
  <c r="BD465" i="68" s="1"/>
  <c r="BD454" i="68"/>
  <c r="BD466" i="68" s="1"/>
  <c r="BD452" i="68"/>
  <c r="BD464" i="68" s="1"/>
  <c r="AS453" i="68"/>
  <c r="AS465" i="68" s="1"/>
  <c r="BD451" i="68"/>
  <c r="BD463" i="68" s="1"/>
  <c r="AS452" i="68"/>
  <c r="AS464" i="68" s="1"/>
  <c r="AL451" i="68"/>
  <c r="AL463" i="68" s="1"/>
  <c r="AL455" i="68"/>
  <c r="AL467" i="68" s="1"/>
  <c r="BJ467" i="68" s="1"/>
  <c r="AL454" i="68"/>
  <c r="AL466" i="68" s="1"/>
  <c r="AL388" i="68"/>
  <c r="BJ388" i="68" s="1"/>
  <c r="AQ388" i="68"/>
  <c r="BK388" i="68" s="1"/>
  <c r="BK354" i="68"/>
  <c r="AQ387" i="68"/>
  <c r="BK353" i="68"/>
  <c r="AA399" i="68"/>
  <c r="BG399" i="68" s="1"/>
  <c r="BG365" i="68"/>
  <c r="AA410" i="68"/>
  <c r="BG410" i="68" s="1"/>
  <c r="BG376" i="68"/>
  <c r="AV393" i="68"/>
  <c r="BL393" i="68" s="1"/>
  <c r="BL359" i="68"/>
  <c r="AV390" i="68"/>
  <c r="AV379" i="68"/>
  <c r="AV387" i="68"/>
  <c r="AW379" i="68"/>
  <c r="AW427" i="68" s="1"/>
  <c r="AW429" i="68" s="1"/>
  <c r="AW387" i="68"/>
  <c r="AW413" i="68" s="1"/>
  <c r="AL392" i="68"/>
  <c r="BJ392" i="68" s="1"/>
  <c r="BJ358" i="68"/>
  <c r="AL394" i="68"/>
  <c r="BJ394" i="68" s="1"/>
  <c r="BJ360" i="68"/>
  <c r="AL409" i="68"/>
  <c r="BJ409" i="68" s="1"/>
  <c r="BJ375" i="68"/>
  <c r="BE457" i="68"/>
  <c r="BE463" i="68"/>
  <c r="AQ389" i="68"/>
  <c r="BK389" i="68" s="1"/>
  <c r="BK355" i="68"/>
  <c r="AQ391" i="68"/>
  <c r="BK391" i="68" s="1"/>
  <c r="BK357" i="68"/>
  <c r="AQ394" i="68"/>
  <c r="BK394" i="68" s="1"/>
  <c r="BK360" i="68"/>
  <c r="AQ409" i="68"/>
  <c r="BK409" i="68" s="1"/>
  <c r="BK375" i="68"/>
  <c r="AA397" i="68"/>
  <c r="BG397" i="68" s="1"/>
  <c r="BG363" i="68"/>
  <c r="AA393" i="68"/>
  <c r="BG393" i="68" s="1"/>
  <c r="BG359" i="68"/>
  <c r="AA404" i="68"/>
  <c r="BG404" i="68" s="1"/>
  <c r="BG370" i="68"/>
  <c r="AA406" i="68"/>
  <c r="BG406" i="68" s="1"/>
  <c r="BG372" i="68"/>
  <c r="AV404" i="68"/>
  <c r="BL404" i="68" s="1"/>
  <c r="BL370" i="68"/>
  <c r="AV398" i="68"/>
  <c r="AV394" i="68"/>
  <c r="BL394" i="68" s="1"/>
  <c r="BL360" i="68"/>
  <c r="AQ465" i="68"/>
  <c r="AT463" i="68"/>
  <c r="AB465" i="68"/>
  <c r="BH465" i="68" s="1"/>
  <c r="BH453" i="68"/>
  <c r="AG401" i="68"/>
  <c r="BI401" i="68" s="1"/>
  <c r="BI367" i="68"/>
  <c r="AG391" i="68"/>
  <c r="BI391" i="68" s="1"/>
  <c r="AB407" i="68"/>
  <c r="BH373" i="68"/>
  <c r="AB405" i="68"/>
  <c r="BH371" i="68"/>
  <c r="AG467" i="68"/>
  <c r="BE387" i="68"/>
  <c r="BE392" i="68"/>
  <c r="AK379" i="68"/>
  <c r="AK427" i="68" s="1"/>
  <c r="AK429" i="68" s="1"/>
  <c r="AK387" i="68"/>
  <c r="AK413" i="68" s="1"/>
  <c r="BE390" i="68"/>
  <c r="AL391" i="68"/>
  <c r="BJ391" i="68" s="1"/>
  <c r="BJ357" i="68"/>
  <c r="AL408" i="68"/>
  <c r="BJ374" i="68"/>
  <c r="AL401" i="68"/>
  <c r="BE464" i="68"/>
  <c r="AL464" i="68"/>
  <c r="AF379" i="68"/>
  <c r="AF427" i="68" s="1"/>
  <c r="AF429" i="68" s="1"/>
  <c r="AF387" i="68"/>
  <c r="AF413" i="68" s="1"/>
  <c r="AA466" i="68"/>
  <c r="BG466" i="68" s="1"/>
  <c r="BG454" i="68"/>
  <c r="AV457" i="68"/>
  <c r="AV463" i="68"/>
  <c r="AQ398" i="68"/>
  <c r="BK398" i="68" s="1"/>
  <c r="BK364" i="68"/>
  <c r="BK371" i="68"/>
  <c r="AA407" i="68"/>
  <c r="BG407" i="68" s="1"/>
  <c r="BG373" i="68"/>
  <c r="AA405" i="68"/>
  <c r="BG405" i="68" s="1"/>
  <c r="BG371" i="68"/>
  <c r="AA395" i="68"/>
  <c r="BG395" i="68" s="1"/>
  <c r="BG361" i="68"/>
  <c r="AV396" i="68"/>
  <c r="AV392" i="68"/>
  <c r="AV400" i="68"/>
  <c r="AV388" i="68"/>
  <c r="AB467" i="68"/>
  <c r="BH467" i="68" s="1"/>
  <c r="BH455" i="68"/>
  <c r="AM379" i="68"/>
  <c r="AM427" i="68" s="1"/>
  <c r="AM429" i="68" s="1"/>
  <c r="AM387" i="68"/>
  <c r="AM413" i="68" s="1"/>
  <c r="BH364" i="68"/>
  <c r="AB393" i="68"/>
  <c r="AG464" i="68"/>
  <c r="AJ463" i="68"/>
  <c r="BE401" i="68"/>
  <c r="BE410" i="68"/>
  <c r="AN379" i="68"/>
  <c r="AN427" i="68" s="1"/>
  <c r="AN429" i="68" s="1"/>
  <c r="AN387" i="68"/>
  <c r="AN413" i="68" s="1"/>
  <c r="AL398" i="68"/>
  <c r="AQ464" i="68"/>
  <c r="AB457" i="68"/>
  <c r="AB463" i="68"/>
  <c r="BH451" i="68"/>
  <c r="BI364" i="68"/>
  <c r="AG403" i="68"/>
  <c r="BI403" i="68" s="1"/>
  <c r="BI369" i="68"/>
  <c r="AD457" i="68"/>
  <c r="AD463" i="68"/>
  <c r="AD469" i="68" s="1"/>
  <c r="AD478" i="68" s="1"/>
  <c r="AB399" i="68"/>
  <c r="AG466" i="68"/>
  <c r="AI457" i="68"/>
  <c r="AI463" i="68"/>
  <c r="AI469" i="68" s="1"/>
  <c r="AI478" i="68" s="1"/>
  <c r="AL396" i="68"/>
  <c r="BJ396" i="68" s="1"/>
  <c r="BJ362" i="68"/>
  <c r="AL404" i="68"/>
  <c r="BJ404" i="68" s="1"/>
  <c r="BJ370" i="68"/>
  <c r="AL403" i="68"/>
  <c r="AC457" i="68"/>
  <c r="AC463" i="68"/>
  <c r="AC469" i="68" s="1"/>
  <c r="AC478" i="68" s="1"/>
  <c r="AA465" i="68"/>
  <c r="BG465" i="68" s="1"/>
  <c r="BG453" i="68"/>
  <c r="BC387" i="68"/>
  <c r="AV464" i="68"/>
  <c r="BK373" i="68"/>
  <c r="AQ396" i="68"/>
  <c r="BK396" i="68" s="1"/>
  <c r="BK362" i="68"/>
  <c r="AA398" i="68"/>
  <c r="BG398" i="68" s="1"/>
  <c r="BG364" i="68"/>
  <c r="AA403" i="68"/>
  <c r="BG403" i="68" s="1"/>
  <c r="BG369" i="68"/>
  <c r="AA396" i="68"/>
  <c r="BG396" i="68" s="1"/>
  <c r="BG362" i="68"/>
  <c r="AV407" i="68"/>
  <c r="AV403" i="68"/>
  <c r="BL369" i="68"/>
  <c r="AV395" i="68"/>
  <c r="AR379" i="68"/>
  <c r="AR427" i="68" s="1"/>
  <c r="AR429" i="68" s="1"/>
  <c r="AR387" i="68"/>
  <c r="AR413" i="68" s="1"/>
  <c r="BI354" i="68"/>
  <c r="AB397" i="68"/>
  <c r="AB409" i="68"/>
  <c r="BH375" i="68"/>
  <c r="AG465" i="68"/>
  <c r="BI465" i="68" s="1"/>
  <c r="BI453" i="68"/>
  <c r="BE408" i="68"/>
  <c r="BE403" i="68"/>
  <c r="BE466" i="68"/>
  <c r="BA457" i="68"/>
  <c r="BA463" i="68"/>
  <c r="AQ411" i="68"/>
  <c r="BK411" i="68" s="1"/>
  <c r="BK377" i="68"/>
  <c r="AA392" i="68"/>
  <c r="BG392" i="68" s="1"/>
  <c r="BG358" i="68"/>
  <c r="AB400" i="68"/>
  <c r="AL393" i="68"/>
  <c r="BJ393" i="68" s="1"/>
  <c r="BJ359" i="68"/>
  <c r="AL410" i="68"/>
  <c r="AL400" i="68"/>
  <c r="AH379" i="68"/>
  <c r="AH427" i="68" s="1"/>
  <c r="AH429" i="68" s="1"/>
  <c r="AH387" i="68"/>
  <c r="AH413" i="68" s="1"/>
  <c r="AY379" i="68"/>
  <c r="AY427" i="68" s="1"/>
  <c r="AY429" i="68" s="1"/>
  <c r="AY387" i="68"/>
  <c r="AY413" i="68" s="1"/>
  <c r="AA467" i="68"/>
  <c r="BG467" i="68" s="1"/>
  <c r="BG455" i="68"/>
  <c r="AF457" i="68"/>
  <c r="AF463" i="68"/>
  <c r="AF469" i="68" s="1"/>
  <c r="AF478" i="68" s="1"/>
  <c r="AC379" i="68"/>
  <c r="AC427" i="68" s="1"/>
  <c r="AC429" i="68" s="1"/>
  <c r="AC387" i="68"/>
  <c r="AC413" i="68" s="1"/>
  <c r="AV466" i="68"/>
  <c r="AQ397" i="68"/>
  <c r="BK397" i="68" s="1"/>
  <c r="BK363" i="68"/>
  <c r="AQ401" i="68"/>
  <c r="BK401" i="68" s="1"/>
  <c r="BK367" i="68"/>
  <c r="AQ410" i="68"/>
  <c r="BK410" i="68" s="1"/>
  <c r="BK376" i="68"/>
  <c r="AT379" i="68"/>
  <c r="AT427" i="68" s="1"/>
  <c r="AT429" i="68" s="1"/>
  <c r="AT387" i="68"/>
  <c r="AT413" i="68" s="1"/>
  <c r="AA394" i="68"/>
  <c r="BG394" i="68" s="1"/>
  <c r="BG360" i="68"/>
  <c r="AA409" i="68"/>
  <c r="BG409" i="68" s="1"/>
  <c r="BG375" i="68"/>
  <c r="AA390" i="68"/>
  <c r="BG390" i="68" s="1"/>
  <c r="BG356" i="68"/>
  <c r="AV405" i="68"/>
  <c r="AV399" i="68"/>
  <c r="AV410" i="68"/>
  <c r="AZ457" i="68"/>
  <c r="AZ463" i="68"/>
  <c r="AZ469" i="68" s="1"/>
  <c r="AZ478" i="68" s="1"/>
  <c r="BB457" i="68"/>
  <c r="BB463" i="68"/>
  <c r="BB469" i="68" s="1"/>
  <c r="BB478" i="68" s="1"/>
  <c r="BH376" i="68"/>
  <c r="AB404" i="68"/>
  <c r="AL465" i="68"/>
  <c r="AE457" i="68"/>
  <c r="AE463" i="68"/>
  <c r="AE469" i="68" s="1"/>
  <c r="AE478" i="68" s="1"/>
  <c r="AA464" i="68"/>
  <c r="BG464" i="68" s="1"/>
  <c r="BG452" i="68"/>
  <c r="AV467" i="68"/>
  <c r="BL455" i="68"/>
  <c r="AQ399" i="68"/>
  <c r="BK399" i="68" s="1"/>
  <c r="BK365" i="68"/>
  <c r="AQ392" i="68"/>
  <c r="BK392" i="68" s="1"/>
  <c r="BK358" i="68"/>
  <c r="AQ393" i="68"/>
  <c r="BK393" i="68" s="1"/>
  <c r="BK359" i="68"/>
  <c r="AK457" i="68"/>
  <c r="AK463" i="68"/>
  <c r="AK469" i="68" s="1"/>
  <c r="AK478" i="68" s="1"/>
  <c r="AA408" i="68"/>
  <c r="BG408" i="68" s="1"/>
  <c r="BG374" i="68"/>
  <c r="AA400" i="68"/>
  <c r="BG400" i="68" s="1"/>
  <c r="BG366" i="68"/>
  <c r="AA391" i="68"/>
  <c r="BG391" i="68" s="1"/>
  <c r="BG357" i="68"/>
  <c r="AV408" i="68"/>
  <c r="BL374" i="68"/>
  <c r="AV397" i="68"/>
  <c r="AV402" i="68"/>
  <c r="AQ457" i="68"/>
  <c r="AQ463" i="68"/>
  <c r="AG404" i="68"/>
  <c r="BI404" i="68" s="1"/>
  <c r="BI370" i="68"/>
  <c r="AR463" i="68"/>
  <c r="AB395" i="68"/>
  <c r="AB401" i="68"/>
  <c r="BH367" i="68"/>
  <c r="BB379" i="68"/>
  <c r="BB427" i="68" s="1"/>
  <c r="BB429" i="68" s="1"/>
  <c r="BB387" i="68"/>
  <c r="BB413" i="68" s="1"/>
  <c r="AO457" i="68"/>
  <c r="AO463" i="68"/>
  <c r="AO469" i="68" s="1"/>
  <c r="AO478" i="68" s="1"/>
  <c r="AP379" i="68"/>
  <c r="AP427" i="68" s="1"/>
  <c r="AP429" i="68" s="1"/>
  <c r="AP387" i="68"/>
  <c r="AP413" i="68" s="1"/>
  <c r="AY463" i="68"/>
  <c r="AL379" i="68"/>
  <c r="AL387" i="68"/>
  <c r="BJ353" i="68"/>
  <c r="AX379" i="68"/>
  <c r="AX427" i="68" s="1"/>
  <c r="AX429" i="68" s="1"/>
  <c r="AX387" i="68"/>
  <c r="AX413" i="68" s="1"/>
  <c r="AL389" i="68"/>
  <c r="BJ389" i="68" s="1"/>
  <c r="BJ355" i="68"/>
  <c r="AL402" i="68"/>
  <c r="BJ402" i="68" s="1"/>
  <c r="BJ368" i="68"/>
  <c r="AL405" i="68"/>
  <c r="BJ405" i="68" s="1"/>
  <c r="BJ371" i="68"/>
  <c r="AU379" i="68"/>
  <c r="AU427" i="68" s="1"/>
  <c r="AU429" i="68" s="1"/>
  <c r="AU387" i="68"/>
  <c r="AU413" i="68" s="1"/>
  <c r="BC457" i="68"/>
  <c r="BC463" i="68"/>
  <c r="BC469" i="68" s="1"/>
  <c r="BC478" i="68" s="1"/>
  <c r="AA457" i="68"/>
  <c r="BG457" i="68" s="1"/>
  <c r="AA463" i="68"/>
  <c r="BG451" i="68"/>
  <c r="AE387" i="68"/>
  <c r="AV465" i="68"/>
  <c r="BL465" i="68" s="1"/>
  <c r="BA467" i="68"/>
  <c r="BM467" i="68" s="1"/>
  <c r="BM455" i="68"/>
  <c r="AQ404" i="68"/>
  <c r="BK404" i="68" s="1"/>
  <c r="BK370" i="68"/>
  <c r="AA379" i="68"/>
  <c r="AA387" i="68"/>
  <c r="BG353" i="68"/>
  <c r="AA402" i="68"/>
  <c r="BG402" i="68" s="1"/>
  <c r="BG368" i="68"/>
  <c r="AA389" i="68"/>
  <c r="BG389" i="68" s="1"/>
  <c r="BG355" i="68"/>
  <c r="AV401" i="68"/>
  <c r="BL401" i="68" s="1"/>
  <c r="AV409" i="68"/>
  <c r="AV406" i="68"/>
  <c r="AQ467" i="68"/>
  <c r="AB466" i="68"/>
  <c r="BH454" i="68"/>
  <c r="AG397" i="68"/>
  <c r="BI397" i="68" s="1"/>
  <c r="AJ379" i="68"/>
  <c r="AJ427" i="68" s="1"/>
  <c r="AJ429" i="68" s="1"/>
  <c r="AJ387" i="68"/>
  <c r="AJ413" i="68" s="1"/>
  <c r="AB389" i="68"/>
  <c r="BH389" i="68" s="1"/>
  <c r="BH355" i="68"/>
  <c r="AB390" i="68"/>
  <c r="BH390" i="68" s="1"/>
  <c r="BH356" i="68"/>
  <c r="AM457" i="68"/>
  <c r="AM463" i="68"/>
  <c r="AM469" i="68" s="1"/>
  <c r="AM478" i="68" s="1"/>
  <c r="BE409" i="68"/>
  <c r="BE389" i="68"/>
  <c r="AL390" i="68"/>
  <c r="AL397" i="68"/>
  <c r="BJ363" i="68"/>
  <c r="AL399" i="68"/>
  <c r="BJ399" i="68" s="1"/>
  <c r="BJ365" i="68"/>
  <c r="AL411" i="68"/>
  <c r="BJ411" i="68" s="1"/>
  <c r="BJ377" i="68"/>
  <c r="BD379" i="68"/>
  <c r="BD427" i="68" s="1"/>
  <c r="BD429" i="68" s="1"/>
  <c r="BD387" i="68"/>
  <c r="BD413" i="68" s="1"/>
  <c r="AL395" i="68"/>
  <c r="BJ395" i="68" s="1"/>
  <c r="BJ361" i="68"/>
  <c r="AL407" i="68"/>
  <c r="BJ373" i="68"/>
  <c r="AL406" i="68"/>
  <c r="BJ406" i="68" s="1"/>
  <c r="BJ372" i="68"/>
  <c r="AN463" i="68"/>
  <c r="AO387" i="68"/>
  <c r="AH463" i="68"/>
  <c r="AH469" i="68" s="1"/>
  <c r="AH478" i="68" s="1"/>
  <c r="AP457" i="68"/>
  <c r="AP463" i="68"/>
  <c r="AP469" i="68" s="1"/>
  <c r="AP478" i="68" s="1"/>
  <c r="AW463" i="68"/>
  <c r="BA465" i="68"/>
  <c r="AQ400" i="68"/>
  <c r="BK400" i="68" s="1"/>
  <c r="BK366" i="68"/>
  <c r="AQ403" i="68"/>
  <c r="BK403" i="68" s="1"/>
  <c r="BK369" i="68"/>
  <c r="AQ406" i="68"/>
  <c r="BK406" i="68" s="1"/>
  <c r="BK372" i="68"/>
  <c r="AA411" i="68"/>
  <c r="BG411" i="68" s="1"/>
  <c r="BG377" i="68"/>
  <c r="AA401" i="68"/>
  <c r="BG401" i="68" s="1"/>
  <c r="BG367" i="68"/>
  <c r="AA388" i="68"/>
  <c r="BG388" i="68" s="1"/>
  <c r="BG354" i="68"/>
  <c r="AV389" i="68"/>
  <c r="BL389" i="68" s="1"/>
  <c r="BL355" i="68"/>
  <c r="AV391" i="68"/>
  <c r="BL391" i="68" s="1"/>
  <c r="BL357" i="68"/>
  <c r="AV411" i="68"/>
  <c r="BL411" i="68" s="1"/>
  <c r="BL377" i="68"/>
  <c r="BA388" i="68"/>
  <c r="BA405" i="68"/>
  <c r="AQ466" i="68"/>
  <c r="BK454" i="68"/>
  <c r="AB464" i="68"/>
  <c r="BH464" i="68" s="1"/>
  <c r="BH452" i="68"/>
  <c r="AG389" i="68"/>
  <c r="BI389" i="68" s="1"/>
  <c r="BI355" i="68"/>
  <c r="BI377" i="68"/>
  <c r="AI379" i="68"/>
  <c r="AI427" i="68" s="1"/>
  <c r="AI429" i="68" s="1"/>
  <c r="AI387" i="68"/>
  <c r="AI413" i="68" s="1"/>
  <c r="AB406" i="68"/>
  <c r="BH406" i="68" s="1"/>
  <c r="BH372" i="68"/>
  <c r="BH377" i="68"/>
  <c r="AG457" i="68"/>
  <c r="AG463" i="68"/>
  <c r="BI451" i="68"/>
  <c r="AD379" i="68"/>
  <c r="AD427" i="68" s="1"/>
  <c r="AD429" i="68" s="1"/>
  <c r="AD387" i="68"/>
  <c r="AD413" i="68" s="1"/>
  <c r="BE411" i="68"/>
  <c r="BM372" i="68"/>
  <c r="AS379" i="68"/>
  <c r="AS427" i="68" s="1"/>
  <c r="AS429" i="68" s="1"/>
  <c r="AS387" i="68"/>
  <c r="AS413" i="68" s="1"/>
  <c r="I83" i="72"/>
  <c r="I90" i="71" s="1"/>
  <c r="I179" i="72"/>
  <c r="BC154" i="71"/>
  <c r="BD80" i="71"/>
  <c r="A49" i="71"/>
  <c r="BD142" i="71"/>
  <c r="BD100" i="72"/>
  <c r="BD109" i="71" s="1"/>
  <c r="BC109" i="71"/>
  <c r="BA131" i="71"/>
  <c r="BB118" i="72"/>
  <c r="BB109" i="71"/>
  <c r="BD35" i="71"/>
  <c r="BB100" i="71"/>
  <c r="BB57" i="71"/>
  <c r="BC52" i="72"/>
  <c r="BC59" i="72"/>
  <c r="BB66" i="71"/>
  <c r="BA140" i="71"/>
  <c r="BB125" i="72"/>
  <c r="BD26" i="71"/>
  <c r="BD93" i="72"/>
  <c r="BD100" i="71" s="1"/>
  <c r="BM131" i="68"/>
  <c r="BE133" i="68"/>
  <c r="BH65" i="72"/>
  <c r="BH74" i="71" s="1"/>
  <c r="BM65" i="72"/>
  <c r="BM74" i="71" s="1"/>
  <c r="BE161" i="72"/>
  <c r="I161" i="72" s="1"/>
  <c r="BH105" i="72"/>
  <c r="BH116" i="71" s="1"/>
  <c r="BH123" i="71" s="1"/>
  <c r="BL105" i="72"/>
  <c r="BL116" i="71" s="1"/>
  <c r="BL123" i="71" s="1"/>
  <c r="BM105" i="72"/>
  <c r="BM116" i="71" s="1"/>
  <c r="BM123" i="71" s="1"/>
  <c r="BH93" i="72"/>
  <c r="BH100" i="71" s="1"/>
  <c r="BL93" i="72"/>
  <c r="BL100" i="71" s="1"/>
  <c r="BH100" i="72"/>
  <c r="BH109" i="71" s="1"/>
  <c r="BL100" i="72"/>
  <c r="BL109" i="71" s="1"/>
  <c r="BH52" i="72"/>
  <c r="BH57" i="71" s="1"/>
  <c r="BH59" i="72"/>
  <c r="BH66" i="71" s="1"/>
  <c r="BE142" i="71"/>
  <c r="BH127" i="72"/>
  <c r="BH142" i="71" s="1"/>
  <c r="BM127" i="72"/>
  <c r="BM142" i="71" s="1"/>
  <c r="BE68" i="71"/>
  <c r="BH61" i="72"/>
  <c r="BH68" i="71" s="1"/>
  <c r="BM61" i="72"/>
  <c r="BM68" i="71" s="1"/>
  <c r="I42" i="71"/>
  <c r="BD130" i="72"/>
  <c r="BD147" i="71" s="1"/>
  <c r="BD148" i="71"/>
  <c r="BE131" i="72"/>
  <c r="BE116" i="71"/>
  <c r="BE123" i="71" s="1"/>
  <c r="I105" i="72"/>
  <c r="I149" i="72" s="1"/>
  <c r="BE64" i="72"/>
  <c r="BE74" i="71"/>
  <c r="AS3" i="64"/>
  <c r="AS3" i="65"/>
  <c r="AS3" i="62"/>
  <c r="BH353" i="68" l="1"/>
  <c r="BH354" i="68"/>
  <c r="BL467" i="68"/>
  <c r="BH407" i="68"/>
  <c r="BH358" i="68"/>
  <c r="BM373" i="68"/>
  <c r="BH362" i="68"/>
  <c r="BH408" i="68"/>
  <c r="BH397" i="68"/>
  <c r="BH363" i="68"/>
  <c r="BI362" i="68"/>
  <c r="BI452" i="68"/>
  <c r="BL367" i="68"/>
  <c r="BI464" i="68"/>
  <c r="BM388" i="68"/>
  <c r="BM399" i="68"/>
  <c r="AB387" i="68"/>
  <c r="BJ452" i="68"/>
  <c r="BJ464" i="68"/>
  <c r="AB388" i="68"/>
  <c r="BH388" i="68" s="1"/>
  <c r="BH366" i="68"/>
  <c r="BH365" i="68"/>
  <c r="BH400" i="68"/>
  <c r="BH399" i="68"/>
  <c r="BM406" i="68"/>
  <c r="BH359" i="68"/>
  <c r="BL364" i="68"/>
  <c r="BM354" i="68"/>
  <c r="BM362" i="68"/>
  <c r="BH360" i="68"/>
  <c r="BH393" i="68"/>
  <c r="BL398" i="68"/>
  <c r="AB379" i="68"/>
  <c r="BH368" i="68"/>
  <c r="BH405" i="68"/>
  <c r="AE413" i="68"/>
  <c r="BA404" i="68"/>
  <c r="BM404" i="68" s="1"/>
  <c r="AJ469" i="68"/>
  <c r="AJ478" i="68" s="1"/>
  <c r="BL358" i="68"/>
  <c r="BI374" i="68"/>
  <c r="AJ457" i="68"/>
  <c r="BK356" i="68"/>
  <c r="BI455" i="68"/>
  <c r="BJ397" i="68"/>
  <c r="BH357" i="68"/>
  <c r="BI467" i="68"/>
  <c r="AY469" i="68"/>
  <c r="AY478" i="68" s="1"/>
  <c r="BH370" i="68"/>
  <c r="BA396" i="68"/>
  <c r="BM396" i="68" s="1"/>
  <c r="BH369" i="68"/>
  <c r="BM360" i="68"/>
  <c r="AY457" i="68"/>
  <c r="BH404" i="68"/>
  <c r="BL356" i="68"/>
  <c r="BM375" i="68"/>
  <c r="BL376" i="68"/>
  <c r="BM363" i="68"/>
  <c r="BM405" i="68"/>
  <c r="BK374" i="68"/>
  <c r="AE379" i="68"/>
  <c r="AE427" i="68" s="1"/>
  <c r="AE429" i="68" s="1"/>
  <c r="BE394" i="68"/>
  <c r="BM394" i="68" s="1"/>
  <c r="BL410" i="68"/>
  <c r="BI454" i="68"/>
  <c r="BJ401" i="68"/>
  <c r="AQ379" i="68"/>
  <c r="BM359" i="68"/>
  <c r="AU469" i="68"/>
  <c r="AU478" i="68" s="1"/>
  <c r="BK451" i="68"/>
  <c r="BI466" i="68"/>
  <c r="BM364" i="68"/>
  <c r="BM361" i="68"/>
  <c r="BK361" i="68"/>
  <c r="AU457" i="68"/>
  <c r="AX463" i="68"/>
  <c r="AX469" i="68" s="1"/>
  <c r="AX478" i="68" s="1"/>
  <c r="BH361" i="68"/>
  <c r="BL371" i="68"/>
  <c r="BL454" i="68"/>
  <c r="BH374" i="68"/>
  <c r="BL395" i="68"/>
  <c r="BA407" i="68"/>
  <c r="BM407" i="68" s="1"/>
  <c r="BJ367" i="68"/>
  <c r="BM411" i="68"/>
  <c r="AH457" i="68"/>
  <c r="BL375" i="68"/>
  <c r="BL405" i="68"/>
  <c r="BL466" i="68"/>
  <c r="BC413" i="68"/>
  <c r="BC475" i="68" s="1"/>
  <c r="BM371" i="68"/>
  <c r="BL409" i="68"/>
  <c r="BJ453" i="68"/>
  <c r="BK368" i="68"/>
  <c r="BC379" i="68"/>
  <c r="BC427" i="68" s="1"/>
  <c r="BC429" i="68" s="1"/>
  <c r="BL397" i="68"/>
  <c r="BJ465" i="68"/>
  <c r="BM377" i="68"/>
  <c r="BM408" i="68"/>
  <c r="AT469" i="68"/>
  <c r="AT478" i="68" s="1"/>
  <c r="BM374" i="68"/>
  <c r="BA397" i="68"/>
  <c r="BM397" i="68" s="1"/>
  <c r="AT457" i="68"/>
  <c r="AZ387" i="68"/>
  <c r="BL387" i="68" s="1"/>
  <c r="BJ376" i="68"/>
  <c r="BJ410" i="68"/>
  <c r="AN469" i="68"/>
  <c r="AN478" i="68" s="1"/>
  <c r="BJ466" i="68"/>
  <c r="AN457" i="68"/>
  <c r="BM400" i="68"/>
  <c r="AW469" i="68"/>
  <c r="AW478" i="68" s="1"/>
  <c r="BL453" i="68"/>
  <c r="BL363" i="68"/>
  <c r="BL361" i="68"/>
  <c r="BE395" i="68"/>
  <c r="BL403" i="68"/>
  <c r="BL373" i="68"/>
  <c r="BL407" i="68"/>
  <c r="BM410" i="68"/>
  <c r="BK455" i="68"/>
  <c r="BE398" i="68"/>
  <c r="BM398" i="68" s="1"/>
  <c r="BM357" i="68"/>
  <c r="AG405" i="68"/>
  <c r="BI405" i="68" s="1"/>
  <c r="BM391" i="68"/>
  <c r="BL354" i="68"/>
  <c r="BE379" i="68"/>
  <c r="BE427" i="68" s="1"/>
  <c r="BE429" i="68" s="1"/>
  <c r="BJ364" i="68"/>
  <c r="BL388" i="68"/>
  <c r="AW457" i="68"/>
  <c r="BM403" i="68"/>
  <c r="BM366" i="68"/>
  <c r="BM369" i="68"/>
  <c r="BI356" i="68"/>
  <c r="BJ408" i="68"/>
  <c r="BI375" i="68"/>
  <c r="BJ366" i="68"/>
  <c r="BL365" i="68"/>
  <c r="BM453" i="68"/>
  <c r="AO379" i="68"/>
  <c r="AO427" i="68" s="1"/>
  <c r="AO429" i="68" s="1"/>
  <c r="BL399" i="68"/>
  <c r="BL366" i="68"/>
  <c r="BL390" i="68"/>
  <c r="BI361" i="68"/>
  <c r="BJ356" i="68"/>
  <c r="BL400" i="68"/>
  <c r="BJ400" i="68"/>
  <c r="BJ455" i="68"/>
  <c r="BM368" i="68"/>
  <c r="BJ390" i="68"/>
  <c r="BI368" i="68"/>
  <c r="BL372" i="68"/>
  <c r="BL368" i="68"/>
  <c r="BI360" i="68"/>
  <c r="BI373" i="68"/>
  <c r="BL392" i="68"/>
  <c r="BA387" i="68"/>
  <c r="BL406" i="68"/>
  <c r="BL402" i="68"/>
  <c r="BM466" i="68"/>
  <c r="BJ354" i="68"/>
  <c r="AO413" i="68"/>
  <c r="AO475" i="68" s="1"/>
  <c r="BM365" i="68"/>
  <c r="BJ451" i="68"/>
  <c r="BM402" i="68"/>
  <c r="BM454" i="68"/>
  <c r="BM390" i="68"/>
  <c r="BM356" i="68"/>
  <c r="BI376" i="68"/>
  <c r="BL408" i="68"/>
  <c r="BL362" i="68"/>
  <c r="BL396" i="68"/>
  <c r="BK466" i="68"/>
  <c r="BJ407" i="68"/>
  <c r="BJ369" i="68"/>
  <c r="BJ403" i="68"/>
  <c r="AZ413" i="68"/>
  <c r="AZ475" i="68" s="1"/>
  <c r="AZ379" i="68"/>
  <c r="AZ427" i="68" s="1"/>
  <c r="AZ429" i="68" s="1"/>
  <c r="BM392" i="68"/>
  <c r="BJ398" i="68"/>
  <c r="BM358" i="68"/>
  <c r="BI353" i="68"/>
  <c r="BM376" i="68"/>
  <c r="BM401" i="68"/>
  <c r="BK467" i="68"/>
  <c r="BM367" i="68"/>
  <c r="AR457" i="68"/>
  <c r="AR469" i="68"/>
  <c r="AR478" i="68" s="1"/>
  <c r="BK453" i="68"/>
  <c r="BK465" i="68"/>
  <c r="BM464" i="68"/>
  <c r="BM452" i="68"/>
  <c r="BL452" i="68"/>
  <c r="BL464" i="68"/>
  <c r="BM389" i="68"/>
  <c r="BI359" i="68"/>
  <c r="AL457" i="68"/>
  <c r="BM355" i="68"/>
  <c r="BI372" i="68"/>
  <c r="BJ454" i="68"/>
  <c r="BM465" i="68"/>
  <c r="AX457" i="68"/>
  <c r="BA379" i="68"/>
  <c r="BA427" i="68" s="1"/>
  <c r="BD469" i="68"/>
  <c r="BD478" i="68" s="1"/>
  <c r="AG392" i="68"/>
  <c r="BI392" i="68" s="1"/>
  <c r="BI365" i="68"/>
  <c r="BI366" i="68"/>
  <c r="AG379" i="68"/>
  <c r="BI379" i="68" s="1"/>
  <c r="AS469" i="68"/>
  <c r="AS478" i="68" s="1"/>
  <c r="AS457" i="68"/>
  <c r="BK452" i="68"/>
  <c r="BK464" i="68"/>
  <c r="BD457" i="68"/>
  <c r="BM457" i="68" s="1"/>
  <c r="BM451" i="68"/>
  <c r="BH409" i="68"/>
  <c r="BI457" i="68"/>
  <c r="BH395" i="68"/>
  <c r="BM409" i="68"/>
  <c r="AG469" i="68"/>
  <c r="BI463" i="68"/>
  <c r="AV469" i="68"/>
  <c r="BL463" i="68"/>
  <c r="AJ433" i="68"/>
  <c r="AJ435" i="68" s="1"/>
  <c r="AJ477" i="68" s="1"/>
  <c r="AJ475" i="68"/>
  <c r="AX433" i="68"/>
  <c r="AX435" i="68" s="1"/>
  <c r="AX477" i="68" s="1"/>
  <c r="AX475" i="68"/>
  <c r="BB433" i="68"/>
  <c r="BB435" i="68" s="1"/>
  <c r="BB477" i="68" s="1"/>
  <c r="BB475" i="68"/>
  <c r="BH394" i="68"/>
  <c r="BH392" i="68"/>
  <c r="AA413" i="68"/>
  <c r="BG387" i="68"/>
  <c r="BG459" i="68"/>
  <c r="AQ469" i="68"/>
  <c r="BK463" i="68"/>
  <c r="BA469" i="68"/>
  <c r="BI387" i="68"/>
  <c r="AQ413" i="68"/>
  <c r="BK387" i="68"/>
  <c r="AI433" i="68"/>
  <c r="AI435" i="68" s="1"/>
  <c r="AI477" i="68" s="1"/>
  <c r="AI475" i="68"/>
  <c r="AC475" i="68"/>
  <c r="AC433" i="68"/>
  <c r="AC435" i="68" s="1"/>
  <c r="AC477" i="68" s="1"/>
  <c r="BM395" i="68"/>
  <c r="AV427" i="68"/>
  <c r="AB413" i="68"/>
  <c r="BH387" i="68"/>
  <c r="AA427" i="68"/>
  <c r="BG379" i="68"/>
  <c r="BG381" i="68" s="1"/>
  <c r="AA469" i="68"/>
  <c r="BG463" i="68"/>
  <c r="AN433" i="68"/>
  <c r="AN435" i="68" s="1"/>
  <c r="AN477" i="68" s="1"/>
  <c r="AN475" i="68"/>
  <c r="BM463" i="68"/>
  <c r="BE469" i="68"/>
  <c r="BE478" i="68" s="1"/>
  <c r="AQ427" i="68"/>
  <c r="BK379" i="68"/>
  <c r="AL427" i="68"/>
  <c r="AP433" i="68"/>
  <c r="AP435" i="68" s="1"/>
  <c r="AP477" i="68" s="1"/>
  <c r="AP475" i="68"/>
  <c r="AB427" i="68"/>
  <c r="BH379" i="68"/>
  <c r="AL413" i="68"/>
  <c r="BJ387" i="68"/>
  <c r="AH433" i="68"/>
  <c r="AH435" i="68" s="1"/>
  <c r="AH477" i="68" s="1"/>
  <c r="AH475" i="68"/>
  <c r="BH466" i="68"/>
  <c r="AR433" i="68"/>
  <c r="AR435" i="68" s="1"/>
  <c r="AR477" i="68" s="1"/>
  <c r="AR475" i="68"/>
  <c r="AB469" i="68"/>
  <c r="AB478" i="68" s="1"/>
  <c r="BH478" i="68" s="1"/>
  <c r="BH463" i="68"/>
  <c r="AM433" i="68"/>
  <c r="AM435" i="68" s="1"/>
  <c r="AM477" i="68" s="1"/>
  <c r="AM475" i="68"/>
  <c r="AF433" i="68"/>
  <c r="AF435" i="68" s="1"/>
  <c r="AF477" i="68" s="1"/>
  <c r="AF475" i="68"/>
  <c r="AW433" i="68"/>
  <c r="AW435" i="68" s="1"/>
  <c r="AW477" i="68" s="1"/>
  <c r="AW475" i="68"/>
  <c r="BH457" i="68"/>
  <c r="BH459" i="68" s="1"/>
  <c r="BH410" i="68"/>
  <c r="AD433" i="68"/>
  <c r="AD435" i="68" s="1"/>
  <c r="AD477" i="68" s="1"/>
  <c r="AD475" i="68"/>
  <c r="BM387" i="68"/>
  <c r="AS433" i="68"/>
  <c r="AS435" i="68" s="1"/>
  <c r="AS477" i="68" s="1"/>
  <c r="AS475" i="68"/>
  <c r="AE433" i="68"/>
  <c r="AE435" i="68" s="1"/>
  <c r="AE477" i="68" s="1"/>
  <c r="AE475" i="68"/>
  <c r="AY433" i="68"/>
  <c r="AY435" i="68" s="1"/>
  <c r="AY477" i="68" s="1"/>
  <c r="AY475" i="68"/>
  <c r="AK433" i="68"/>
  <c r="AK435" i="68" s="1"/>
  <c r="AK477" i="68" s="1"/>
  <c r="AK475" i="68"/>
  <c r="AT433" i="68"/>
  <c r="AT435" i="68" s="1"/>
  <c r="AT477" i="68" s="1"/>
  <c r="AT475" i="68"/>
  <c r="BD433" i="68"/>
  <c r="BD435" i="68" s="1"/>
  <c r="BD477" i="68" s="1"/>
  <c r="BD475" i="68"/>
  <c r="AU433" i="68"/>
  <c r="AU435" i="68" s="1"/>
  <c r="AU477" i="68" s="1"/>
  <c r="AU475" i="68"/>
  <c r="BH401" i="68"/>
  <c r="AL469" i="68"/>
  <c r="BJ463" i="68"/>
  <c r="AV413" i="68"/>
  <c r="I176" i="71"/>
  <c r="I171" i="72"/>
  <c r="BD154" i="71"/>
  <c r="A123" i="71"/>
  <c r="BC118" i="72"/>
  <c r="BB131" i="71"/>
  <c r="BC57" i="71"/>
  <c r="BD52" i="72"/>
  <c r="BC66" i="71"/>
  <c r="BD59" i="72"/>
  <c r="BE34" i="72"/>
  <c r="BE27" i="72"/>
  <c r="BB140" i="71"/>
  <c r="BC125" i="72"/>
  <c r="BH133" i="68"/>
  <c r="BH135" i="68" s="1"/>
  <c r="BM133" i="68"/>
  <c r="BM135" i="68" s="1"/>
  <c r="BH118" i="72"/>
  <c r="BH131" i="71" s="1"/>
  <c r="BE73" i="71"/>
  <c r="BE80" i="71" s="1"/>
  <c r="BH64" i="72"/>
  <c r="BH73" i="71" s="1"/>
  <c r="BH80" i="71" s="1"/>
  <c r="BM64" i="72"/>
  <c r="BM73" i="71" s="1"/>
  <c r="BM80" i="71" s="1"/>
  <c r="BH125" i="72"/>
  <c r="BH140" i="71" s="1"/>
  <c r="BH131" i="72"/>
  <c r="BH148" i="71" s="1"/>
  <c r="BM131" i="72"/>
  <c r="BM148" i="71" s="1"/>
  <c r="BE130" i="72"/>
  <c r="BE148" i="71"/>
  <c r="I164" i="71"/>
  <c r="I116" i="71"/>
  <c r="AT2" i="64"/>
  <c r="AT2" i="65"/>
  <c r="AT2" i="62"/>
  <c r="BI459" i="68" l="1"/>
  <c r="BC433" i="68"/>
  <c r="BC435" i="68" s="1"/>
  <c r="BC477" i="68" s="1"/>
  <c r="BK381" i="68"/>
  <c r="BK457" i="68"/>
  <c r="BJ379" i="68"/>
  <c r="BM379" i="68"/>
  <c r="BM381" i="68" s="1"/>
  <c r="BJ457" i="68"/>
  <c r="BJ459" i="68" s="1"/>
  <c r="AG413" i="68"/>
  <c r="AG433" i="68" s="1"/>
  <c r="BA413" i="68"/>
  <c r="BA433" i="68" s="1"/>
  <c r="BE413" i="68"/>
  <c r="BE433" i="68" s="1"/>
  <c r="BE435" i="68" s="1"/>
  <c r="BE477" i="68" s="1"/>
  <c r="BH381" i="68"/>
  <c r="BL379" i="68"/>
  <c r="BL381" i="68" s="1"/>
  <c r="AO433" i="68"/>
  <c r="AO435" i="68" s="1"/>
  <c r="AO477" i="68" s="1"/>
  <c r="AO480" i="68" s="1"/>
  <c r="AO30" i="72" s="1"/>
  <c r="BL457" i="68"/>
  <c r="BL459" i="68" s="1"/>
  <c r="BJ381" i="68"/>
  <c r="AG427" i="68"/>
  <c r="AG429" i="68" s="1"/>
  <c r="BI429" i="68" s="1"/>
  <c r="AZ433" i="68"/>
  <c r="AZ435" i="68" s="1"/>
  <c r="AZ477" i="68" s="1"/>
  <c r="AZ480" i="68" s="1"/>
  <c r="AZ30" i="72" s="1"/>
  <c r="BM459" i="68"/>
  <c r="AY480" i="68"/>
  <c r="AY30" i="72" s="1"/>
  <c r="AY96" i="72" s="1"/>
  <c r="AY103" i="71" s="1"/>
  <c r="BI381" i="68"/>
  <c r="BK459" i="68"/>
  <c r="BC480" i="68"/>
  <c r="BC30" i="72" s="1"/>
  <c r="BC29" i="71" s="1"/>
  <c r="AI480" i="68"/>
  <c r="AI30" i="72" s="1"/>
  <c r="AI29" i="71" s="1"/>
  <c r="AT480" i="68"/>
  <c r="AT30" i="72" s="1"/>
  <c r="AT29" i="71" s="1"/>
  <c r="AD480" i="68"/>
  <c r="AD30" i="72" s="1"/>
  <c r="AD29" i="71" s="1"/>
  <c r="AV429" i="68"/>
  <c r="BL429" i="68" s="1"/>
  <c r="BL427" i="68"/>
  <c r="AJ480" i="68"/>
  <c r="AJ30" i="72" s="1"/>
  <c r="AQ429" i="68"/>
  <c r="BK429" i="68" s="1"/>
  <c r="BK427" i="68"/>
  <c r="AR480" i="68"/>
  <c r="AR30" i="72" s="1"/>
  <c r="AU480" i="68"/>
  <c r="AU30" i="72" s="1"/>
  <c r="AK480" i="68"/>
  <c r="AK30" i="72" s="1"/>
  <c r="AS480" i="68"/>
  <c r="AS30" i="72" s="1"/>
  <c r="AW480" i="68"/>
  <c r="AW30" i="72" s="1"/>
  <c r="AM480" i="68"/>
  <c r="AM30" i="72" s="1"/>
  <c r="AA433" i="68"/>
  <c r="AA475" i="68"/>
  <c r="BG413" i="68"/>
  <c r="BG415" i="68" s="1"/>
  <c r="AH480" i="68"/>
  <c r="AH30" i="72" s="1"/>
  <c r="AP480" i="68"/>
  <c r="AP30" i="72" s="1"/>
  <c r="AA478" i="68"/>
  <c r="BG478" i="68" s="1"/>
  <c r="BG469" i="68"/>
  <c r="BG471" i="68" s="1"/>
  <c r="AV433" i="68"/>
  <c r="AV475" i="68"/>
  <c r="BL475" i="68" s="1"/>
  <c r="BL413" i="68"/>
  <c r="BL415" i="68" s="1"/>
  <c r="BD480" i="68"/>
  <c r="BD30" i="72" s="1"/>
  <c r="BA475" i="68"/>
  <c r="AN480" i="68"/>
  <c r="AN30" i="72" s="1"/>
  <c r="AC480" i="68"/>
  <c r="AC30" i="72" s="1"/>
  <c r="BA478" i="68"/>
  <c r="BM478" i="68" s="1"/>
  <c r="BM469" i="68"/>
  <c r="BM471" i="68" s="1"/>
  <c r="BH469" i="68"/>
  <c r="BH471" i="68" s="1"/>
  <c r="BB480" i="68"/>
  <c r="BB30" i="72" s="1"/>
  <c r="AV478" i="68"/>
  <c r="BL478" i="68" s="1"/>
  <c r="BL469" i="68"/>
  <c r="BL471" i="68" s="1"/>
  <c r="AE480" i="68"/>
  <c r="AE30" i="72" s="1"/>
  <c r="AF480" i="68"/>
  <c r="AF30" i="72" s="1"/>
  <c r="AQ433" i="68"/>
  <c r="AQ475" i="68"/>
  <c r="BK475" i="68" s="1"/>
  <c r="BK413" i="68"/>
  <c r="BK415" i="68" s="1"/>
  <c r="AL433" i="68"/>
  <c r="AL475" i="68"/>
  <c r="BJ475" i="68" s="1"/>
  <c r="BJ413" i="68"/>
  <c r="BJ415" i="68" s="1"/>
  <c r="AL429" i="68"/>
  <c r="BJ429" i="68" s="1"/>
  <c r="BJ427" i="68"/>
  <c r="AA429" i="68"/>
  <c r="BG429" i="68" s="1"/>
  <c r="BG427" i="68"/>
  <c r="AB429" i="68"/>
  <c r="BH429" i="68" s="1"/>
  <c r="BH427" i="68"/>
  <c r="AB475" i="68"/>
  <c r="AB433" i="68"/>
  <c r="BH413" i="68"/>
  <c r="BH415" i="68" s="1"/>
  <c r="AQ478" i="68"/>
  <c r="BK478" i="68" s="1"/>
  <c r="BK469" i="68"/>
  <c r="BK471" i="68" s="1"/>
  <c r="AL478" i="68"/>
  <c r="BJ478" i="68" s="1"/>
  <c r="BJ469" i="68"/>
  <c r="BJ471" i="68" s="1"/>
  <c r="BA429" i="68"/>
  <c r="BM429" i="68" s="1"/>
  <c r="BM427" i="68"/>
  <c r="AX480" i="68"/>
  <c r="AX30" i="72" s="1"/>
  <c r="AG478" i="68"/>
  <c r="BI478" i="68" s="1"/>
  <c r="BI469" i="68"/>
  <c r="BI471" i="68" s="1"/>
  <c r="A80" i="71"/>
  <c r="A135" i="68"/>
  <c r="BC140" i="71"/>
  <c r="BD125" i="72"/>
  <c r="BD118" i="72"/>
  <c r="BC131" i="71"/>
  <c r="BD66" i="71"/>
  <c r="BE59" i="72"/>
  <c r="BM27" i="72"/>
  <c r="BM26" i="71" s="1"/>
  <c r="I27" i="72"/>
  <c r="I26" i="71" s="1"/>
  <c r="BE93" i="72"/>
  <c r="BE26" i="71"/>
  <c r="BE100" i="72"/>
  <c r="I34" i="72"/>
  <c r="I35" i="71" s="1"/>
  <c r="BM34" i="72"/>
  <c r="BM35" i="71" s="1"/>
  <c r="BE35" i="71"/>
  <c r="BD57" i="71"/>
  <c r="BE52" i="72"/>
  <c r="BE147" i="71"/>
  <c r="BE154" i="71" s="1"/>
  <c r="BH130" i="72"/>
  <c r="BH147" i="71" s="1"/>
  <c r="BH154" i="71" s="1"/>
  <c r="BM130" i="72"/>
  <c r="BM147" i="71" s="1"/>
  <c r="BM154" i="71" s="1"/>
  <c r="AT3" i="64"/>
  <c r="AT3" i="65"/>
  <c r="AT3" i="62"/>
  <c r="AG475" i="68" l="1"/>
  <c r="BI475" i="68" s="1"/>
  <c r="BI413" i="68"/>
  <c r="BI415" i="68" s="1"/>
  <c r="BE475" i="68"/>
  <c r="BM413" i="68"/>
  <c r="BM415" i="68" s="1"/>
  <c r="A415" i="68" s="1"/>
  <c r="BI427" i="68"/>
  <c r="AY29" i="71"/>
  <c r="A381" i="68"/>
  <c r="A459" i="68"/>
  <c r="BC96" i="72"/>
  <c r="BC103" i="71" s="1"/>
  <c r="AT96" i="72"/>
  <c r="AT103" i="71" s="1"/>
  <c r="AD96" i="72"/>
  <c r="AD103" i="71" s="1"/>
  <c r="AI96" i="72"/>
  <c r="AI103" i="71" s="1"/>
  <c r="A471" i="68"/>
  <c r="AZ96" i="72"/>
  <c r="AZ103" i="71" s="1"/>
  <c r="AZ29" i="71"/>
  <c r="AV435" i="68"/>
  <c r="BL433" i="68"/>
  <c r="AP96" i="72"/>
  <c r="AP103" i="71" s="1"/>
  <c r="AP29" i="71"/>
  <c r="AU29" i="71"/>
  <c r="AU96" i="72"/>
  <c r="AU103" i="71" s="1"/>
  <c r="AE96" i="72"/>
  <c r="AE103" i="71" s="1"/>
  <c r="AE29" i="71"/>
  <c r="AA435" i="68"/>
  <c r="BG433" i="68"/>
  <c r="AK29" i="71"/>
  <c r="AK96" i="72"/>
  <c r="AK103" i="71" s="1"/>
  <c r="AX29" i="71"/>
  <c r="AX96" i="72"/>
  <c r="AX103" i="71" s="1"/>
  <c r="BB96" i="72"/>
  <c r="BB103" i="71" s="1"/>
  <c r="BB29" i="71"/>
  <c r="AH29" i="71"/>
  <c r="AH96" i="72"/>
  <c r="AH103" i="71" s="1"/>
  <c r="AR29" i="71"/>
  <c r="AR96" i="72"/>
  <c r="AR103" i="71" s="1"/>
  <c r="AL435" i="68"/>
  <c r="BJ433" i="68"/>
  <c r="AN29" i="71"/>
  <c r="AN96" i="72"/>
  <c r="AN103" i="71" s="1"/>
  <c r="BM475" i="68"/>
  <c r="BE480" i="68"/>
  <c r="BE30" i="72" s="1"/>
  <c r="BE96" i="72" s="1"/>
  <c r="AS29" i="71"/>
  <c r="AS96" i="72"/>
  <c r="AS103" i="71" s="1"/>
  <c r="AB435" i="68"/>
  <c r="BH433" i="68"/>
  <c r="AO29" i="71"/>
  <c r="AO96" i="72"/>
  <c r="AO103" i="71" s="1"/>
  <c r="BG475" i="68"/>
  <c r="AJ29" i="71"/>
  <c r="AJ96" i="72"/>
  <c r="AJ103" i="71" s="1"/>
  <c r="BH475" i="68"/>
  <c r="AQ435" i="68"/>
  <c r="BK433" i="68"/>
  <c r="BA435" i="68"/>
  <c r="BM433" i="68"/>
  <c r="AM29" i="71"/>
  <c r="AM96" i="72"/>
  <c r="AM103" i="71" s="1"/>
  <c r="AF96" i="72"/>
  <c r="AF103" i="71" s="1"/>
  <c r="AF29" i="71"/>
  <c r="AC29" i="71"/>
  <c r="AC96" i="72"/>
  <c r="BD96" i="72"/>
  <c r="BD103" i="71" s="1"/>
  <c r="BD29" i="71"/>
  <c r="AG435" i="68"/>
  <c r="BI433" i="68"/>
  <c r="AW29" i="71"/>
  <c r="AW96" i="72"/>
  <c r="AW103" i="71" s="1"/>
  <c r="A154" i="71"/>
  <c r="BD131" i="71"/>
  <c r="BE118" i="72"/>
  <c r="BM59" i="72"/>
  <c r="BM66" i="71" s="1"/>
  <c r="BE66" i="71"/>
  <c r="BM52" i="72"/>
  <c r="BM57" i="71" s="1"/>
  <c r="BE57" i="71"/>
  <c r="I93" i="72"/>
  <c r="I100" i="71" s="1"/>
  <c r="BE100" i="71"/>
  <c r="BM93" i="72"/>
  <c r="BM100" i="71" s="1"/>
  <c r="BE125" i="72"/>
  <c r="BD140" i="71"/>
  <c r="BM100" i="72"/>
  <c r="BM109" i="71" s="1"/>
  <c r="BE109" i="71"/>
  <c r="I100" i="72"/>
  <c r="I109" i="71" s="1"/>
  <c r="AU2" i="64"/>
  <c r="AU2" i="65"/>
  <c r="AU2" i="62"/>
  <c r="BE29" i="71" l="1"/>
  <c r="AL477" i="68"/>
  <c r="BJ435" i="68"/>
  <c r="BA477" i="68"/>
  <c r="BM435" i="68"/>
  <c r="AB477" i="68"/>
  <c r="BH435" i="68"/>
  <c r="AQ477" i="68"/>
  <c r="BK435" i="68"/>
  <c r="AC103" i="71"/>
  <c r="AA477" i="68"/>
  <c r="BG435" i="68"/>
  <c r="AV477" i="68"/>
  <c r="BL435" i="68"/>
  <c r="AG477" i="68"/>
  <c r="BI435" i="68"/>
  <c r="BE103" i="71"/>
  <c r="BE140" i="71"/>
  <c r="BM125" i="72"/>
  <c r="BM140" i="71" s="1"/>
  <c r="BM118" i="72"/>
  <c r="BM131" i="71" s="1"/>
  <c r="BE131" i="71"/>
  <c r="AU3" i="64"/>
  <c r="AU3" i="65"/>
  <c r="AU3" i="62"/>
  <c r="AV480" i="68" l="1"/>
  <c r="BL477" i="68"/>
  <c r="BH477" i="68"/>
  <c r="AB480" i="68"/>
  <c r="AG480" i="68"/>
  <c r="BI477" i="68"/>
  <c r="BG477" i="68"/>
  <c r="AA480" i="68"/>
  <c r="BA480" i="68"/>
  <c r="BM477" i="68"/>
  <c r="AQ480" i="68"/>
  <c r="BK477" i="68"/>
  <c r="AL480" i="68"/>
  <c r="BJ477" i="68"/>
  <c r="AV2" i="64"/>
  <c r="AV2" i="65"/>
  <c r="AV2" i="62"/>
  <c r="AL30" i="72" l="1"/>
  <c r="BJ480" i="68"/>
  <c r="BJ482" i="68" s="1"/>
  <c r="AG30" i="72"/>
  <c r="BI480" i="68"/>
  <c r="BI482" i="68" s="1"/>
  <c r="AB30" i="72"/>
  <c r="BH480" i="68"/>
  <c r="BH482" i="68" s="1"/>
  <c r="AQ30" i="72"/>
  <c r="BK480" i="68"/>
  <c r="BK482" i="68" s="1"/>
  <c r="AA30" i="72"/>
  <c r="BG480" i="68"/>
  <c r="BG482" i="68" s="1"/>
  <c r="BA30" i="72"/>
  <c r="BM480" i="68"/>
  <c r="BM482" i="68" s="1"/>
  <c r="AV30" i="72"/>
  <c r="BL480" i="68"/>
  <c r="BL482" i="68" s="1"/>
  <c r="AV3" i="64"/>
  <c r="AV3" i="65"/>
  <c r="AV3" i="62"/>
  <c r="AA29" i="71" l="1"/>
  <c r="AA96" i="72"/>
  <c r="AA55" i="72"/>
  <c r="BG30" i="72"/>
  <c r="BG29" i="71" s="1"/>
  <c r="I30" i="72"/>
  <c r="I29" i="71" s="1"/>
  <c r="AG29" i="71"/>
  <c r="AG96" i="72"/>
  <c r="BI30" i="72"/>
  <c r="BI29" i="71" s="1"/>
  <c r="A482" i="68"/>
  <c r="AL29" i="71"/>
  <c r="AL96" i="72"/>
  <c r="BJ30" i="72"/>
  <c r="BJ29" i="71" s="1"/>
  <c r="AV29" i="71"/>
  <c r="AV96" i="72"/>
  <c r="BL30" i="72"/>
  <c r="BL29" i="71" s="1"/>
  <c r="AQ29" i="71"/>
  <c r="AQ96" i="72"/>
  <c r="BK30" i="72"/>
  <c r="BK29" i="71" s="1"/>
  <c r="BA96" i="72"/>
  <c r="BA29" i="71"/>
  <c r="BM30" i="72"/>
  <c r="BM29" i="71" s="1"/>
  <c r="AB29" i="71"/>
  <c r="AB96" i="72"/>
  <c r="BH30" i="72"/>
  <c r="BH29" i="71" s="1"/>
  <c r="AW2" i="64"/>
  <c r="AW2" i="65"/>
  <c r="AW2" i="62"/>
  <c r="AG103" i="71" l="1"/>
  <c r="BI96" i="72"/>
  <c r="BI103" i="71" s="1"/>
  <c r="AV103" i="71"/>
  <c r="BL96" i="72"/>
  <c r="BL103" i="71" s="1"/>
  <c r="BA103" i="71"/>
  <c r="BM96" i="72"/>
  <c r="BM103" i="71" s="1"/>
  <c r="AL103" i="71"/>
  <c r="BJ96" i="72"/>
  <c r="BJ103" i="71" s="1"/>
  <c r="AA60" i="71"/>
  <c r="AB55" i="72"/>
  <c r="BG55" i="72"/>
  <c r="BG60" i="71" s="1"/>
  <c r="AA121" i="72"/>
  <c r="AA103" i="71"/>
  <c r="BG96" i="72"/>
  <c r="BG103" i="71" s="1"/>
  <c r="I96" i="72"/>
  <c r="I103" i="71" s="1"/>
  <c r="AB103" i="71"/>
  <c r="BH96" i="72"/>
  <c r="BH103" i="71" s="1"/>
  <c r="AQ103" i="71"/>
  <c r="BK96" i="72"/>
  <c r="BK103" i="71" s="1"/>
  <c r="AW3" i="64"/>
  <c r="AW3" i="65"/>
  <c r="AW3" i="62"/>
  <c r="AA134" i="71" l="1"/>
  <c r="AB121" i="72"/>
  <c r="BG121" i="72"/>
  <c r="BG134" i="71" s="1"/>
  <c r="AB60" i="71"/>
  <c r="AC55" i="72"/>
  <c r="AX2" i="64"/>
  <c r="AX2" i="65"/>
  <c r="AX2" i="62"/>
  <c r="AD55" i="72" l="1"/>
  <c r="AC60" i="71"/>
  <c r="AB134" i="71"/>
  <c r="AC121" i="72"/>
  <c r="AX3" i="64"/>
  <c r="AX3" i="65"/>
  <c r="AX3" i="62"/>
  <c r="AC134" i="71" l="1"/>
  <c r="AD121" i="72"/>
  <c r="AD60" i="71"/>
  <c r="AE55" i="72"/>
  <c r="AY2" i="64"/>
  <c r="AY2" i="65"/>
  <c r="AY2" i="62"/>
  <c r="AD134" i="71" l="1"/>
  <c r="AE121" i="72"/>
  <c r="AF55" i="72"/>
  <c r="AE60" i="71"/>
  <c r="AY3" i="64"/>
  <c r="AY3" i="65"/>
  <c r="AY3" i="62"/>
  <c r="AF60" i="71" l="1"/>
  <c r="AG55" i="72"/>
  <c r="BH55" i="72"/>
  <c r="BH60" i="71" s="1"/>
  <c r="AF121" i="72"/>
  <c r="AE134" i="71"/>
  <c r="AZ2" i="64"/>
  <c r="AZ2" i="65"/>
  <c r="AZ2" i="62"/>
  <c r="AF134" i="71" l="1"/>
  <c r="AG121" i="72"/>
  <c r="BH121" i="72"/>
  <c r="BH134" i="71" s="1"/>
  <c r="AH55" i="72"/>
  <c r="AG60" i="71"/>
  <c r="AZ3" i="64"/>
  <c r="AZ3" i="65"/>
  <c r="AZ3" i="62"/>
  <c r="AH60" i="71" l="1"/>
  <c r="AI55" i="72"/>
  <c r="AH121" i="72"/>
  <c r="AG134" i="71"/>
  <c r="BA2" i="64"/>
  <c r="BA2" i="65"/>
  <c r="BA2" i="62"/>
  <c r="AJ55" i="72" l="1"/>
  <c r="AI60" i="71"/>
  <c r="AH134" i="71"/>
  <c r="AI121" i="72"/>
  <c r="BA3" i="64"/>
  <c r="BA3" i="65"/>
  <c r="BA3" i="62"/>
  <c r="AI134" i="71" l="1"/>
  <c r="AJ121" i="72"/>
  <c r="AK55" i="72"/>
  <c r="AJ60" i="71"/>
  <c r="BB2" i="64"/>
  <c r="BB2" i="65"/>
  <c r="BB2" i="62"/>
  <c r="AJ134" i="71" l="1"/>
  <c r="AK121" i="72"/>
  <c r="AK60" i="71"/>
  <c r="AL55" i="72"/>
  <c r="BI55" i="72"/>
  <c r="BI60" i="71" s="1"/>
  <c r="BB3" i="64"/>
  <c r="BB3" i="65"/>
  <c r="BB3" i="62"/>
  <c r="AK134" i="71" l="1"/>
  <c r="AL121" i="72"/>
  <c r="BI121" i="72"/>
  <c r="BI134" i="71" s="1"/>
  <c r="AM55" i="72"/>
  <c r="AL60" i="71"/>
  <c r="BC2" i="64"/>
  <c r="BC2" i="65"/>
  <c r="BC2" i="62"/>
  <c r="AM60" i="71" l="1"/>
  <c r="AN55" i="72"/>
  <c r="AL134" i="71"/>
  <c r="AM121" i="72"/>
  <c r="BC3" i="64"/>
  <c r="BC3" i="65"/>
  <c r="BC3" i="62"/>
  <c r="AO55" i="72" l="1"/>
  <c r="AN60" i="71"/>
  <c r="AM134" i="71"/>
  <c r="AN121" i="72"/>
  <c r="BD2" i="64"/>
  <c r="BD2" i="65"/>
  <c r="BD2" i="62"/>
  <c r="AN134" i="71" l="1"/>
  <c r="AO121" i="72"/>
  <c r="AO60" i="71"/>
  <c r="AP55" i="72"/>
  <c r="BD3" i="64"/>
  <c r="BD3" i="65"/>
  <c r="BD3" i="62"/>
  <c r="AP60" i="71" l="1"/>
  <c r="AQ55" i="72"/>
  <c r="BJ55" i="72"/>
  <c r="BJ60" i="71" s="1"/>
  <c r="AO134" i="71"/>
  <c r="AP121" i="72"/>
  <c r="BE2" i="64"/>
  <c r="BE2" i="65"/>
  <c r="BE2" i="62"/>
  <c r="AP134" i="71" l="1"/>
  <c r="AQ121" i="72"/>
  <c r="BJ121" i="72"/>
  <c r="BJ134" i="71" s="1"/>
  <c r="AR55" i="72"/>
  <c r="AQ60" i="71"/>
  <c r="BE3" i="64"/>
  <c r="BE3" i="65"/>
  <c r="BH39" i="65" s="1"/>
  <c r="BE3" i="62"/>
  <c r="AS55" i="72" l="1"/>
  <c r="AR60" i="71"/>
  <c r="AQ134" i="71"/>
  <c r="AR121" i="72"/>
  <c r="BK39" i="65"/>
  <c r="BI39" i="65"/>
  <c r="BG39" i="65"/>
  <c r="BM39" i="65"/>
  <c r="BJ39" i="65"/>
  <c r="BL39" i="65"/>
  <c r="AS121" i="72" l="1"/>
  <c r="AR134" i="71"/>
  <c r="AT55" i="72"/>
  <c r="AS60" i="71"/>
  <c r="A39" i="65"/>
  <c r="A8" i="65" s="1"/>
  <c r="H18" i="12" s="1"/>
  <c r="AU55" i="72" l="1"/>
  <c r="AT60" i="71"/>
  <c r="AS134" i="71"/>
  <c r="AT121" i="72"/>
  <c r="AT134" i="71" l="1"/>
  <c r="AU121" i="72"/>
  <c r="BK55" i="72"/>
  <c r="BK60" i="71" s="1"/>
  <c r="AV55" i="72"/>
  <c r="AU60" i="71"/>
  <c r="AW55" i="72" l="1"/>
  <c r="AV60" i="71"/>
  <c r="AU134" i="71"/>
  <c r="BK121" i="72"/>
  <c r="BK134" i="71" s="1"/>
  <c r="AV121" i="72"/>
  <c r="AV134" i="71" l="1"/>
  <c r="AW121" i="72"/>
  <c r="AW60" i="71"/>
  <c r="AX55" i="72"/>
  <c r="AX60" i="71" l="1"/>
  <c r="AY55" i="72"/>
  <c r="AW134" i="71"/>
  <c r="AX121" i="72"/>
  <c r="AY60" i="71" l="1"/>
  <c r="AZ55" i="72"/>
  <c r="AX134" i="71"/>
  <c r="AY121" i="72"/>
  <c r="AY134" i="71" l="1"/>
  <c r="AZ121" i="72"/>
  <c r="BL55" i="72"/>
  <c r="BL60" i="71" s="1"/>
  <c r="BA55" i="72"/>
  <c r="AZ60" i="71"/>
  <c r="K26" i="3"/>
  <c r="BB55" i="72" l="1"/>
  <c r="BA60" i="71"/>
  <c r="K24" i="65"/>
  <c r="K24" i="68"/>
  <c r="BL121" i="72"/>
  <c r="BL134" i="71" s="1"/>
  <c r="BA121" i="72"/>
  <c r="AZ134" i="71"/>
  <c r="AE165" i="68" l="1"/>
  <c r="AE169" i="68" s="1"/>
  <c r="AE171" i="68" s="1"/>
  <c r="AE189" i="68" s="1"/>
  <c r="AE285" i="68" s="1"/>
  <c r="AD165" i="68"/>
  <c r="AD169" i="68" s="1"/>
  <c r="AD171" i="68" s="1"/>
  <c r="AD189" i="68" s="1"/>
  <c r="AD285" i="68" s="1"/>
  <c r="AF165" i="68"/>
  <c r="AF169" i="68" s="1"/>
  <c r="AF171" i="68" s="1"/>
  <c r="AF189" i="68" s="1"/>
  <c r="AF285" i="68" s="1"/>
  <c r="AH173" i="68"/>
  <c r="AH177" i="68" s="1"/>
  <c r="AH179" i="68" s="1"/>
  <c r="AH191" i="68" s="1"/>
  <c r="AH286" i="68" s="1"/>
  <c r="AJ173" i="68"/>
  <c r="AJ177" i="68" s="1"/>
  <c r="AJ179" i="68" s="1"/>
  <c r="AJ191" i="68" s="1"/>
  <c r="AJ286" i="68" s="1"/>
  <c r="AL236" i="68"/>
  <c r="AL240" i="68" s="1"/>
  <c r="AN236" i="68"/>
  <c r="AN240" i="68" s="1"/>
  <c r="AN242" i="68" s="1"/>
  <c r="AN246" i="68" s="1"/>
  <c r="AN289" i="68" s="1"/>
  <c r="AP208" i="68"/>
  <c r="AP212" i="68" s="1"/>
  <c r="AP214" i="68" s="1"/>
  <c r="AP220" i="68" s="1"/>
  <c r="AP287" i="68" s="1"/>
  <c r="AR173" i="68"/>
  <c r="AR177" i="68" s="1"/>
  <c r="AR179" i="68" s="1"/>
  <c r="AR191" i="68" s="1"/>
  <c r="AR286" i="68" s="1"/>
  <c r="AT173" i="68"/>
  <c r="AT177" i="68" s="1"/>
  <c r="AT179" i="68" s="1"/>
  <c r="AT191" i="68" s="1"/>
  <c r="AT286" i="68" s="1"/>
  <c r="AV208" i="68"/>
  <c r="AV212" i="68" s="1"/>
  <c r="AX173" i="68"/>
  <c r="AX177" i="68" s="1"/>
  <c r="AX179" i="68" s="1"/>
  <c r="AX191" i="68" s="1"/>
  <c r="AX286" i="68" s="1"/>
  <c r="AZ208" i="68"/>
  <c r="AZ212" i="68" s="1"/>
  <c r="AZ214" i="68" s="1"/>
  <c r="AZ220" i="68" s="1"/>
  <c r="AZ287" i="68" s="1"/>
  <c r="BB208" i="68"/>
  <c r="BB212" i="68" s="1"/>
  <c r="BB214" i="68" s="1"/>
  <c r="BB220" i="68" s="1"/>
  <c r="BB287" i="68" s="1"/>
  <c r="BD165" i="68"/>
  <c r="BD169" i="68" s="1"/>
  <c r="BD171" i="68" s="1"/>
  <c r="BD189" i="68" s="1"/>
  <c r="BD285" i="68" s="1"/>
  <c r="AG173" i="68"/>
  <c r="AG177" i="68" s="1"/>
  <c r="BA208" i="68"/>
  <c r="BA212" i="68" s="1"/>
  <c r="AC208" i="68"/>
  <c r="AC212" i="68" s="1"/>
  <c r="AC214" i="68" s="1"/>
  <c r="AC220" i="68" s="1"/>
  <c r="AC287" i="68" s="1"/>
  <c r="AE208" i="68"/>
  <c r="AE212" i="68" s="1"/>
  <c r="AE214" i="68" s="1"/>
  <c r="AE220" i="68" s="1"/>
  <c r="AE287" i="68" s="1"/>
  <c r="AF173" i="68"/>
  <c r="AF177" i="68" s="1"/>
  <c r="AF179" i="68" s="1"/>
  <c r="AF191" i="68" s="1"/>
  <c r="AF286" i="68" s="1"/>
  <c r="AH236" i="68"/>
  <c r="AH240" i="68" s="1"/>
  <c r="AH242" i="68" s="1"/>
  <c r="AH246" i="68" s="1"/>
  <c r="AH289" i="68" s="1"/>
  <c r="AJ165" i="68"/>
  <c r="AJ169" i="68" s="1"/>
  <c r="AJ171" i="68" s="1"/>
  <c r="AJ189" i="68" s="1"/>
  <c r="AJ285" i="68" s="1"/>
  <c r="AL165" i="68"/>
  <c r="AL169" i="68" s="1"/>
  <c r="AN165" i="68"/>
  <c r="AN169" i="68" s="1"/>
  <c r="AN171" i="68" s="1"/>
  <c r="AN189" i="68" s="1"/>
  <c r="AN285" i="68" s="1"/>
  <c r="AP236" i="68"/>
  <c r="AP240" i="68" s="1"/>
  <c r="AP242" i="68" s="1"/>
  <c r="AP246" i="68" s="1"/>
  <c r="AP289" i="68" s="1"/>
  <c r="AR165" i="68"/>
  <c r="AR169" i="68" s="1"/>
  <c r="AR171" i="68" s="1"/>
  <c r="AR189" i="68" s="1"/>
  <c r="AR285" i="68" s="1"/>
  <c r="AT165" i="68"/>
  <c r="AT169" i="68" s="1"/>
  <c r="AT171" i="68" s="1"/>
  <c r="AT189" i="68" s="1"/>
  <c r="AT285" i="68" s="1"/>
  <c r="AV236" i="68"/>
  <c r="AV240" i="68" s="1"/>
  <c r="AX208" i="68"/>
  <c r="AX212" i="68" s="1"/>
  <c r="AX214" i="68" s="1"/>
  <c r="AX220" i="68" s="1"/>
  <c r="AX287" i="68" s="1"/>
  <c r="AZ236" i="68"/>
  <c r="AZ240" i="68" s="1"/>
  <c r="AZ242" i="68" s="1"/>
  <c r="AZ246" i="68" s="1"/>
  <c r="AZ289" i="68" s="1"/>
  <c r="BB236" i="68"/>
  <c r="BB240" i="68" s="1"/>
  <c r="BB242" i="68" s="1"/>
  <c r="BB246" i="68" s="1"/>
  <c r="BB289" i="68" s="1"/>
  <c r="BD236" i="68"/>
  <c r="BD240" i="68" s="1"/>
  <c r="BD242" i="68" s="1"/>
  <c r="BD246" i="68" s="1"/>
  <c r="BD289" i="68" s="1"/>
  <c r="AI208" i="68"/>
  <c r="AI212" i="68" s="1"/>
  <c r="AI214" i="68" s="1"/>
  <c r="AI220" i="68" s="1"/>
  <c r="AI287" i="68" s="1"/>
  <c r="AS173" i="68"/>
  <c r="AS177" i="68" s="1"/>
  <c r="AS179" i="68" s="1"/>
  <c r="AS191" i="68" s="1"/>
  <c r="AS286" i="68" s="1"/>
  <c r="BE208" i="68"/>
  <c r="BE212" i="68" s="1"/>
  <c r="BE214" i="68" s="1"/>
  <c r="AA165" i="68"/>
  <c r="AA169" i="68" s="1"/>
  <c r="AA173" i="68"/>
  <c r="AA177" i="68" s="1"/>
  <c r="AF208" i="68"/>
  <c r="AF212" i="68" s="1"/>
  <c r="AF214" i="68" s="1"/>
  <c r="AF220" i="68" s="1"/>
  <c r="AF287" i="68" s="1"/>
  <c r="AH208" i="68"/>
  <c r="AH212" i="68" s="1"/>
  <c r="AH214" i="68" s="1"/>
  <c r="AH220" i="68" s="1"/>
  <c r="AH287" i="68" s="1"/>
  <c r="AJ208" i="68"/>
  <c r="AJ212" i="68" s="1"/>
  <c r="AJ214" i="68" s="1"/>
  <c r="AJ220" i="68" s="1"/>
  <c r="AJ287" i="68" s="1"/>
  <c r="AL173" i="68"/>
  <c r="AL177" i="68" s="1"/>
  <c r="AN208" i="68"/>
  <c r="AN212" i="68" s="1"/>
  <c r="AN214" i="68" s="1"/>
  <c r="AN220" i="68" s="1"/>
  <c r="AN287" i="68" s="1"/>
  <c r="AP165" i="68"/>
  <c r="AP169" i="68" s="1"/>
  <c r="AP171" i="68" s="1"/>
  <c r="AP189" i="68" s="1"/>
  <c r="AP285" i="68" s="1"/>
  <c r="AR236" i="68"/>
  <c r="AR240" i="68" s="1"/>
  <c r="AR242" i="68" s="1"/>
  <c r="AR246" i="68" s="1"/>
  <c r="AR289" i="68" s="1"/>
  <c r="AT236" i="68"/>
  <c r="AT240" i="68" s="1"/>
  <c r="AT242" i="68" s="1"/>
  <c r="AT246" i="68" s="1"/>
  <c r="AT289" i="68" s="1"/>
  <c r="AV173" i="68"/>
  <c r="AV177" i="68" s="1"/>
  <c r="AX165" i="68"/>
  <c r="AX169" i="68" s="1"/>
  <c r="AX171" i="68" s="1"/>
  <c r="AX189" i="68" s="1"/>
  <c r="AX285" i="68" s="1"/>
  <c r="AZ165" i="68"/>
  <c r="AZ169" i="68" s="1"/>
  <c r="AZ171" i="68" s="1"/>
  <c r="AZ189" i="68" s="1"/>
  <c r="AZ285" i="68" s="1"/>
  <c r="BB165" i="68"/>
  <c r="BB169" i="68" s="1"/>
  <c r="BB171" i="68" s="1"/>
  <c r="BB189" i="68" s="1"/>
  <c r="BB285" i="68" s="1"/>
  <c r="BD173" i="68"/>
  <c r="BD177" i="68" s="1"/>
  <c r="BD179" i="68" s="1"/>
  <c r="BD191" i="68" s="1"/>
  <c r="BD286" i="68" s="1"/>
  <c r="AC236" i="68"/>
  <c r="AC240" i="68" s="1"/>
  <c r="AA236" i="68"/>
  <c r="AA240" i="68" s="1"/>
  <c r="AF236" i="68"/>
  <c r="AF240" i="68" s="1"/>
  <c r="AF242" i="68" s="1"/>
  <c r="AF246" i="68" s="1"/>
  <c r="AF289" i="68" s="1"/>
  <c r="AH165" i="68"/>
  <c r="AH169" i="68" s="1"/>
  <c r="AH171" i="68" s="1"/>
  <c r="AH189" i="68" s="1"/>
  <c r="AH285" i="68" s="1"/>
  <c r="AJ236" i="68"/>
  <c r="AJ240" i="68" s="1"/>
  <c r="AJ242" i="68" s="1"/>
  <c r="AJ246" i="68" s="1"/>
  <c r="AJ289" i="68" s="1"/>
  <c r="AL208" i="68"/>
  <c r="AL212" i="68" s="1"/>
  <c r="AN173" i="68"/>
  <c r="AN177" i="68" s="1"/>
  <c r="AN179" i="68" s="1"/>
  <c r="AN191" i="68" s="1"/>
  <c r="AN286" i="68" s="1"/>
  <c r="AP173" i="68"/>
  <c r="AP177" i="68" s="1"/>
  <c r="AP179" i="68" s="1"/>
  <c r="AP191" i="68" s="1"/>
  <c r="AP286" i="68" s="1"/>
  <c r="AR208" i="68"/>
  <c r="AR212" i="68" s="1"/>
  <c r="AR214" i="68" s="1"/>
  <c r="AR220" i="68" s="1"/>
  <c r="AR287" i="68" s="1"/>
  <c r="AT208" i="68"/>
  <c r="AT212" i="68" s="1"/>
  <c r="AT214" i="68" s="1"/>
  <c r="AT220" i="68" s="1"/>
  <c r="AT287" i="68" s="1"/>
  <c r="AV165" i="68"/>
  <c r="AV169" i="68" s="1"/>
  <c r="AX236" i="68"/>
  <c r="AX240" i="68" s="1"/>
  <c r="AX242" i="68" s="1"/>
  <c r="AX246" i="68" s="1"/>
  <c r="AX289" i="68" s="1"/>
  <c r="AZ173" i="68"/>
  <c r="AZ177" i="68" s="1"/>
  <c r="AZ179" i="68" s="1"/>
  <c r="AZ191" i="68" s="1"/>
  <c r="AZ286" i="68" s="1"/>
  <c r="BB173" i="68"/>
  <c r="BB177" i="68" s="1"/>
  <c r="BB179" i="68" s="1"/>
  <c r="BB191" i="68" s="1"/>
  <c r="BB286" i="68" s="1"/>
  <c r="BD208" i="68"/>
  <c r="BD212" i="68" s="1"/>
  <c r="BD214" i="68" s="1"/>
  <c r="BD220" i="68" s="1"/>
  <c r="BD287" i="68" s="1"/>
  <c r="AD236" i="68"/>
  <c r="AD240" i="68" s="1"/>
  <c r="AD242" i="68" s="1"/>
  <c r="AD246" i="68" s="1"/>
  <c r="AD289" i="68" s="1"/>
  <c r="AW173" i="68"/>
  <c r="AW177" i="68" s="1"/>
  <c r="AW179" i="68" s="1"/>
  <c r="AW191" i="68" s="1"/>
  <c r="AW286" i="68" s="1"/>
  <c r="AB236" i="68"/>
  <c r="AB246" i="68" s="1"/>
  <c r="AD208" i="68"/>
  <c r="AD212" i="68" s="1"/>
  <c r="AD214" i="68" s="1"/>
  <c r="AD220" i="68" s="1"/>
  <c r="AD287" i="68" s="1"/>
  <c r="AE236" i="68"/>
  <c r="AE240" i="68" s="1"/>
  <c r="AE242" i="68" s="1"/>
  <c r="AE246" i="68" s="1"/>
  <c r="AE289" i="68" s="1"/>
  <c r="AG208" i="68"/>
  <c r="AG212" i="68" s="1"/>
  <c r="AI236" i="68"/>
  <c r="AI240" i="68" s="1"/>
  <c r="AI242" i="68" s="1"/>
  <c r="AI246" i="68" s="1"/>
  <c r="AI289" i="68" s="1"/>
  <c r="AK208" i="68"/>
  <c r="AK212" i="68" s="1"/>
  <c r="AK214" i="68" s="1"/>
  <c r="AK220" i="68" s="1"/>
  <c r="AK287" i="68" s="1"/>
  <c r="AM236" i="68"/>
  <c r="AM240" i="68" s="1"/>
  <c r="AM242" i="68" s="1"/>
  <c r="AM246" i="68" s="1"/>
  <c r="AM289" i="68" s="1"/>
  <c r="AO236" i="68"/>
  <c r="AO240" i="68" s="1"/>
  <c r="AO242" i="68" s="1"/>
  <c r="AO246" i="68" s="1"/>
  <c r="AO289" i="68" s="1"/>
  <c r="AQ165" i="68"/>
  <c r="AQ169" i="68" s="1"/>
  <c r="AS208" i="68"/>
  <c r="AS212" i="68" s="1"/>
  <c r="AS214" i="68" s="1"/>
  <c r="AS220" i="68" s="1"/>
  <c r="AS287" i="68" s="1"/>
  <c r="AU165" i="68"/>
  <c r="AU169" i="68" s="1"/>
  <c r="AU171" i="68" s="1"/>
  <c r="AU189" i="68" s="1"/>
  <c r="AU285" i="68" s="1"/>
  <c r="AW208" i="68"/>
  <c r="AW212" i="68" s="1"/>
  <c r="AW214" i="68" s="1"/>
  <c r="AW220" i="68" s="1"/>
  <c r="AW287" i="68" s="1"/>
  <c r="AY236" i="68"/>
  <c r="AY240" i="68" s="1"/>
  <c r="AY242" i="68" s="1"/>
  <c r="AY246" i="68" s="1"/>
  <c r="AY289" i="68" s="1"/>
  <c r="BA236" i="68"/>
  <c r="BA240" i="68" s="1"/>
  <c r="BC236" i="68"/>
  <c r="BC240" i="68" s="1"/>
  <c r="BC242" i="68" s="1"/>
  <c r="BC246" i="68" s="1"/>
  <c r="BC289" i="68" s="1"/>
  <c r="BE236" i="68"/>
  <c r="BE240" i="68" s="1"/>
  <c r="BE242" i="68" s="1"/>
  <c r="BE246" i="68" s="1"/>
  <c r="BE289" i="68" s="1"/>
  <c r="AC173" i="68"/>
  <c r="AC177" i="68" s="1"/>
  <c r="AC179" i="68" s="1"/>
  <c r="AC191" i="68" s="1"/>
  <c r="AC286" i="68" s="1"/>
  <c r="AO165" i="68"/>
  <c r="AO169" i="68" s="1"/>
  <c r="AO171" i="68" s="1"/>
  <c r="AO189" i="68" s="1"/>
  <c r="AO285" i="68" s="1"/>
  <c r="AY208" i="68"/>
  <c r="AY212" i="68" s="1"/>
  <c r="AY214" i="68" s="1"/>
  <c r="AY220" i="68" s="1"/>
  <c r="AY287" i="68" s="1"/>
  <c r="AD173" i="68"/>
  <c r="AD177" i="68" s="1"/>
  <c r="AD179" i="68" s="1"/>
  <c r="AD191" i="68" s="1"/>
  <c r="AD286" i="68" s="1"/>
  <c r="AB165" i="68"/>
  <c r="AB169" i="68" s="1"/>
  <c r="AB173" i="68"/>
  <c r="AB177" i="68" s="1"/>
  <c r="AG236" i="68"/>
  <c r="AG240" i="68" s="1"/>
  <c r="AI165" i="68"/>
  <c r="AI169" i="68" s="1"/>
  <c r="AI171" i="68" s="1"/>
  <c r="AI189" i="68" s="1"/>
  <c r="AI285" i="68" s="1"/>
  <c r="AK236" i="68"/>
  <c r="AK240" i="68" s="1"/>
  <c r="AK242" i="68" s="1"/>
  <c r="AK246" i="68" s="1"/>
  <c r="AK289" i="68" s="1"/>
  <c r="AM165" i="68"/>
  <c r="AM169" i="68" s="1"/>
  <c r="AM171" i="68" s="1"/>
  <c r="AM189" i="68" s="1"/>
  <c r="AM285" i="68" s="1"/>
  <c r="AO208" i="68"/>
  <c r="AO212" i="68" s="1"/>
  <c r="AO214" i="68" s="1"/>
  <c r="AO220" i="68" s="1"/>
  <c r="AO287" i="68" s="1"/>
  <c r="AQ208" i="68"/>
  <c r="AQ212" i="68" s="1"/>
  <c r="AS236" i="68"/>
  <c r="AS240" i="68" s="1"/>
  <c r="AS242" i="68" s="1"/>
  <c r="AS246" i="68" s="1"/>
  <c r="AS289" i="68" s="1"/>
  <c r="AU173" i="68"/>
  <c r="AU177" i="68" s="1"/>
  <c r="AU179" i="68" s="1"/>
  <c r="AU191" i="68" s="1"/>
  <c r="AU286" i="68" s="1"/>
  <c r="AW236" i="68"/>
  <c r="AW240" i="68" s="1"/>
  <c r="AW242" i="68" s="1"/>
  <c r="AW246" i="68" s="1"/>
  <c r="AW289" i="68" s="1"/>
  <c r="AY165" i="68"/>
  <c r="AY169" i="68" s="1"/>
  <c r="AY171" i="68" s="1"/>
  <c r="AY189" i="68" s="1"/>
  <c r="AY285" i="68" s="1"/>
  <c r="BA173" i="68"/>
  <c r="BA177" i="68" s="1"/>
  <c r="BC173" i="68"/>
  <c r="BC177" i="68" s="1"/>
  <c r="BC179" i="68" s="1"/>
  <c r="BC191" i="68" s="1"/>
  <c r="BC286" i="68" s="1"/>
  <c r="BE165" i="68"/>
  <c r="BE169" i="68" s="1"/>
  <c r="BE171" i="68" s="1"/>
  <c r="AC165" i="68"/>
  <c r="AC169" i="68" s="1"/>
  <c r="AC171" i="68" s="1"/>
  <c r="AC189" i="68" s="1"/>
  <c r="AC285" i="68" s="1"/>
  <c r="AU236" i="68"/>
  <c r="AU240" i="68" s="1"/>
  <c r="AU242" i="68" s="1"/>
  <c r="AU246" i="68" s="1"/>
  <c r="AU289" i="68" s="1"/>
  <c r="AB208" i="68"/>
  <c r="AB212" i="68" s="1"/>
  <c r="AE173" i="68"/>
  <c r="AE177" i="68" s="1"/>
  <c r="AE179" i="68" s="1"/>
  <c r="AE191" i="68" s="1"/>
  <c r="AE286" i="68" s="1"/>
  <c r="AA208" i="68"/>
  <c r="AA212" i="68" s="1"/>
  <c r="AG165" i="68"/>
  <c r="AG169" i="68" s="1"/>
  <c r="AI173" i="68"/>
  <c r="AI177" i="68" s="1"/>
  <c r="AI179" i="68" s="1"/>
  <c r="AI191" i="68" s="1"/>
  <c r="AI286" i="68" s="1"/>
  <c r="AK173" i="68"/>
  <c r="AK177" i="68" s="1"/>
  <c r="AK179" i="68" s="1"/>
  <c r="AK191" i="68" s="1"/>
  <c r="AK286" i="68" s="1"/>
  <c r="AM173" i="68"/>
  <c r="AM177" i="68" s="1"/>
  <c r="AM179" i="68" s="1"/>
  <c r="AM191" i="68" s="1"/>
  <c r="AM286" i="68" s="1"/>
  <c r="AO173" i="68"/>
  <c r="AO177" i="68" s="1"/>
  <c r="AO179" i="68" s="1"/>
  <c r="AO191" i="68" s="1"/>
  <c r="AO286" i="68" s="1"/>
  <c r="AQ173" i="68"/>
  <c r="AQ177" i="68" s="1"/>
  <c r="AS165" i="68"/>
  <c r="AS169" i="68" s="1"/>
  <c r="AS171" i="68" s="1"/>
  <c r="AS189" i="68" s="1"/>
  <c r="AS285" i="68" s="1"/>
  <c r="AU208" i="68"/>
  <c r="AU212" i="68" s="1"/>
  <c r="AU214" i="68" s="1"/>
  <c r="AU220" i="68" s="1"/>
  <c r="AU287" i="68" s="1"/>
  <c r="AW165" i="68"/>
  <c r="AW169" i="68" s="1"/>
  <c r="AW171" i="68" s="1"/>
  <c r="AW189" i="68" s="1"/>
  <c r="AW285" i="68" s="1"/>
  <c r="AY173" i="68"/>
  <c r="AY177" i="68" s="1"/>
  <c r="AY179" i="68" s="1"/>
  <c r="AY191" i="68" s="1"/>
  <c r="AY286" i="68" s="1"/>
  <c r="BA165" i="68"/>
  <c r="BA169" i="68" s="1"/>
  <c r="BC165" i="68"/>
  <c r="BC169" i="68" s="1"/>
  <c r="BC171" i="68" s="1"/>
  <c r="BC189" i="68" s="1"/>
  <c r="BC285" i="68" s="1"/>
  <c r="BE173" i="68"/>
  <c r="BE177" i="68" s="1"/>
  <c r="BE179" i="68" s="1"/>
  <c r="AK165" i="68"/>
  <c r="AK169" i="68" s="1"/>
  <c r="AK171" i="68" s="1"/>
  <c r="AK189" i="68" s="1"/>
  <c r="AK285" i="68" s="1"/>
  <c r="AM208" i="68"/>
  <c r="AM212" i="68" s="1"/>
  <c r="AM214" i="68" s="1"/>
  <c r="AM220" i="68" s="1"/>
  <c r="AM287" i="68" s="1"/>
  <c r="AQ236" i="68"/>
  <c r="AQ240" i="68" s="1"/>
  <c r="BC208" i="68"/>
  <c r="BC212" i="68" s="1"/>
  <c r="BC214" i="68" s="1"/>
  <c r="BC220" i="68" s="1"/>
  <c r="BC287" i="68" s="1"/>
  <c r="BA134" i="71"/>
  <c r="BB121" i="72"/>
  <c r="BC55" i="72"/>
  <c r="BB60" i="71"/>
  <c r="AX293" i="68" l="1"/>
  <c r="AX35" i="72" s="1"/>
  <c r="AF293" i="68"/>
  <c r="AF35" i="72" s="1"/>
  <c r="BC293" i="68"/>
  <c r="BC35" i="72" s="1"/>
  <c r="AU293" i="68"/>
  <c r="AU28" i="72" s="1"/>
  <c r="AY293" i="68"/>
  <c r="AY28" i="72" s="1"/>
  <c r="AI293" i="68"/>
  <c r="AI28" i="72" s="1"/>
  <c r="AW293" i="68"/>
  <c r="AW28" i="72" s="1"/>
  <c r="BH169" i="68"/>
  <c r="AB171" i="68"/>
  <c r="BD55" i="72"/>
  <c r="BC60" i="71"/>
  <c r="AQ214" i="68"/>
  <c r="BK212" i="68"/>
  <c r="AG214" i="68"/>
  <c r="BI212" i="68"/>
  <c r="AJ293" i="68"/>
  <c r="AL171" i="68"/>
  <c r="BJ169" i="68"/>
  <c r="BD293" i="68"/>
  <c r="AN293" i="68"/>
  <c r="AL214" i="68"/>
  <c r="BJ212" i="68"/>
  <c r="AG179" i="68"/>
  <c r="BI177" i="68"/>
  <c r="BB134" i="71"/>
  <c r="BC121" i="72"/>
  <c r="BA171" i="68"/>
  <c r="BA189" i="68" s="1"/>
  <c r="BM169" i="68"/>
  <c r="BM171" i="68"/>
  <c r="BE189" i="68"/>
  <c r="BE285" i="68" s="1"/>
  <c r="AE293" i="68"/>
  <c r="AV179" i="68"/>
  <c r="BL177" i="68"/>
  <c r="AZ293" i="68"/>
  <c r="AL242" i="68"/>
  <c r="BJ240" i="68"/>
  <c r="BL169" i="68"/>
  <c r="AV171" i="68"/>
  <c r="AT293" i="68"/>
  <c r="BG177" i="68"/>
  <c r="AA179" i="68"/>
  <c r="AH293" i="68"/>
  <c r="AG171" i="68"/>
  <c r="BI169" i="68"/>
  <c r="BA179" i="68"/>
  <c r="BA191" i="68" s="1"/>
  <c r="BM177" i="68"/>
  <c r="AK293" i="68"/>
  <c r="AQ171" i="68"/>
  <c r="BK169" i="68"/>
  <c r="AB289" i="68"/>
  <c r="BG240" i="68"/>
  <c r="AA242" i="68"/>
  <c r="AR293" i="68"/>
  <c r="AA171" i="68"/>
  <c r="BG169" i="68"/>
  <c r="AV242" i="68"/>
  <c r="BL240" i="68"/>
  <c r="BE191" i="68"/>
  <c r="BE286" i="68" s="1"/>
  <c r="AO293" i="68"/>
  <c r="AC242" i="68"/>
  <c r="BH240" i="68"/>
  <c r="BE220" i="68"/>
  <c r="BE287" i="68" s="1"/>
  <c r="AV214" i="68"/>
  <c r="BL212" i="68"/>
  <c r="AQ242" i="68"/>
  <c r="BK240" i="68"/>
  <c r="AG242" i="68"/>
  <c r="BI240" i="68"/>
  <c r="AM293" i="68"/>
  <c r="AD293" i="68"/>
  <c r="AA214" i="68"/>
  <c r="BG212" i="68"/>
  <c r="AS293" i="68"/>
  <c r="AQ179" i="68"/>
  <c r="BK177" i="68"/>
  <c r="AB214" i="68"/>
  <c r="BH212" i="68"/>
  <c r="AB179" i="68"/>
  <c r="BH177" i="68"/>
  <c r="BM240" i="68"/>
  <c r="BA242" i="68"/>
  <c r="BB293" i="68"/>
  <c r="AL179" i="68"/>
  <c r="BJ177" i="68"/>
  <c r="AP293" i="68"/>
  <c r="BA214" i="68"/>
  <c r="BA220" i="68" s="1"/>
  <c r="BM212" i="68"/>
  <c r="AU35" i="72" l="1"/>
  <c r="AU36" i="71" s="1"/>
  <c r="AX28" i="72"/>
  <c r="AX94" i="72" s="1"/>
  <c r="AF28" i="72"/>
  <c r="AF27" i="71" s="1"/>
  <c r="BC28" i="72"/>
  <c r="BC25" i="72" s="1"/>
  <c r="AY35" i="72"/>
  <c r="AY36" i="71" s="1"/>
  <c r="AI35" i="72"/>
  <c r="AI36" i="71" s="1"/>
  <c r="AW35" i="72"/>
  <c r="AW101" i="72" s="1"/>
  <c r="AP35" i="72"/>
  <c r="AP28" i="72"/>
  <c r="AF101" i="72"/>
  <c r="AF32" i="72"/>
  <c r="AF36" i="71"/>
  <c r="AZ35" i="72"/>
  <c r="AZ28" i="72"/>
  <c r="AN35" i="72"/>
  <c r="AN28" i="72"/>
  <c r="AQ220" i="68"/>
  <c r="BK214" i="68"/>
  <c r="BG214" i="68"/>
  <c r="AA220" i="68"/>
  <c r="AR28" i="72"/>
  <c r="AR35" i="72"/>
  <c r="BH179" i="68"/>
  <c r="AB191" i="68"/>
  <c r="AQ246" i="68"/>
  <c r="BK242" i="68"/>
  <c r="AB220" i="68"/>
  <c r="BH214" i="68"/>
  <c r="AD35" i="72"/>
  <c r="AD28" i="72"/>
  <c r="BM179" i="68"/>
  <c r="AG189" i="68"/>
  <c r="BI171" i="68"/>
  <c r="BA285" i="68"/>
  <c r="BM285" i="68" s="1"/>
  <c r="BM189" i="68"/>
  <c r="BD28" i="72"/>
  <c r="BD35" i="72"/>
  <c r="BA287" i="68"/>
  <c r="BM287" i="68" s="1"/>
  <c r="BM220" i="68"/>
  <c r="AU25" i="72"/>
  <c r="AU27" i="71"/>
  <c r="AU94" i="72"/>
  <c r="AO28" i="72"/>
  <c r="AO35" i="72"/>
  <c r="AA246" i="68"/>
  <c r="BG242" i="68"/>
  <c r="AL191" i="68"/>
  <c r="BJ179" i="68"/>
  <c r="AM28" i="72"/>
  <c r="AM35" i="72"/>
  <c r="AV220" i="68"/>
  <c r="BL214" i="68"/>
  <c r="AV189" i="68"/>
  <c r="BL171" i="68"/>
  <c r="AV191" i="68"/>
  <c r="BL179" i="68"/>
  <c r="BC134" i="71"/>
  <c r="BD121" i="72"/>
  <c r="BC36" i="71"/>
  <c r="BC101" i="72"/>
  <c r="BC32" i="72"/>
  <c r="AC246" i="68"/>
  <c r="BH242" i="68"/>
  <c r="BJ214" i="68"/>
  <c r="AL220" i="68"/>
  <c r="BB28" i="72"/>
  <c r="BB35" i="72"/>
  <c r="AQ191" i="68"/>
  <c r="BK179" i="68"/>
  <c r="AV246" i="68"/>
  <c r="BL242" i="68"/>
  <c r="AI94" i="72"/>
  <c r="AI27" i="71"/>
  <c r="AI25" i="72"/>
  <c r="AX32" i="72"/>
  <c r="AX36" i="71"/>
  <c r="AX101" i="72"/>
  <c r="AL189" i="68"/>
  <c r="BJ171" i="68"/>
  <c r="BA286" i="68"/>
  <c r="BM286" i="68" s="1"/>
  <c r="BM191" i="68"/>
  <c r="AT28" i="72"/>
  <c r="AT35" i="72"/>
  <c r="AL246" i="68"/>
  <c r="BJ242" i="68"/>
  <c r="BM242" i="68"/>
  <c r="BA246" i="68"/>
  <c r="AS28" i="72"/>
  <c r="AS35" i="72"/>
  <c r="AG246" i="68"/>
  <c r="BI242" i="68"/>
  <c r="BM214" i="68"/>
  <c r="AQ189" i="68"/>
  <c r="BK171" i="68"/>
  <c r="AH28" i="72"/>
  <c r="AH35" i="72"/>
  <c r="AY32" i="72"/>
  <c r="AY101" i="72"/>
  <c r="AJ35" i="72"/>
  <c r="AJ28" i="72"/>
  <c r="BE55" i="72"/>
  <c r="BD60" i="71"/>
  <c r="AW94" i="72"/>
  <c r="AW25" i="72"/>
  <c r="AW27" i="71"/>
  <c r="AA189" i="68"/>
  <c r="BG171" i="68"/>
  <c r="AK28" i="72"/>
  <c r="AK35" i="72"/>
  <c r="AA191" i="68"/>
  <c r="BG179" i="68"/>
  <c r="AY25" i="72"/>
  <c r="AY27" i="71"/>
  <c r="AY94" i="72"/>
  <c r="AE35" i="72"/>
  <c r="AE28" i="72"/>
  <c r="BI179" i="68"/>
  <c r="AG191" i="68"/>
  <c r="BH171" i="68"/>
  <c r="AB189" i="68"/>
  <c r="BE293" i="68"/>
  <c r="AG220" i="68"/>
  <c r="BI214" i="68"/>
  <c r="AU32" i="72" l="1"/>
  <c r="AW32" i="72"/>
  <c r="AW36" i="71"/>
  <c r="BC27" i="71"/>
  <c r="AX25" i="72"/>
  <c r="AX27" i="71"/>
  <c r="AI101" i="72"/>
  <c r="AI110" i="71" s="1"/>
  <c r="AU101" i="72"/>
  <c r="AU98" i="72" s="1"/>
  <c r="BC94" i="72"/>
  <c r="BC101" i="71" s="1"/>
  <c r="AF25" i="72"/>
  <c r="AF24" i="71" s="1"/>
  <c r="AF31" i="71" s="1"/>
  <c r="AF94" i="72"/>
  <c r="AF101" i="71" s="1"/>
  <c r="AI32" i="72"/>
  <c r="AI185" i="72" s="1"/>
  <c r="AN36" i="71"/>
  <c r="AN32" i="72"/>
  <c r="AN101" i="72"/>
  <c r="BI220" i="68"/>
  <c r="AG287" i="68"/>
  <c r="BI287" i="68" s="1"/>
  <c r="AY101" i="71"/>
  <c r="AY91" i="72"/>
  <c r="AA285" i="68"/>
  <c r="BG189" i="68"/>
  <c r="BM55" i="72"/>
  <c r="BM60" i="71" s="1"/>
  <c r="BE60" i="71"/>
  <c r="AS36" i="71"/>
  <c r="AS101" i="72"/>
  <c r="AS32" i="72"/>
  <c r="AL287" i="68"/>
  <c r="BJ287" i="68" s="1"/>
  <c r="BJ220" i="68"/>
  <c r="AA289" i="68"/>
  <c r="BG289" i="68" s="1"/>
  <c r="BG246" i="68"/>
  <c r="BC24" i="71"/>
  <c r="BC31" i="71" s="1"/>
  <c r="BC183" i="72"/>
  <c r="AB287" i="68"/>
  <c r="BH287" i="68" s="1"/>
  <c r="BH220" i="68"/>
  <c r="AR101" i="72"/>
  <c r="AR36" i="71"/>
  <c r="AR32" i="72"/>
  <c r="AZ27" i="71"/>
  <c r="AZ94" i="72"/>
  <c r="AZ25" i="72"/>
  <c r="BE28" i="72"/>
  <c r="BE35" i="72"/>
  <c r="AW98" i="72"/>
  <c r="AW110" i="71"/>
  <c r="AJ27" i="71"/>
  <c r="AJ94" i="72"/>
  <c r="AJ25" i="72"/>
  <c r="AH32" i="72"/>
  <c r="AH101" i="72"/>
  <c r="AH36" i="71"/>
  <c r="AS94" i="72"/>
  <c r="AS25" i="72"/>
  <c r="AS27" i="71"/>
  <c r="AI91" i="72"/>
  <c r="AI101" i="71"/>
  <c r="AO36" i="71"/>
  <c r="AO101" i="72"/>
  <c r="AO32" i="72"/>
  <c r="AR27" i="71"/>
  <c r="AR94" i="72"/>
  <c r="AR25" i="72"/>
  <c r="AZ36" i="71"/>
  <c r="AZ32" i="72"/>
  <c r="AZ101" i="72"/>
  <c r="AG289" i="68"/>
  <c r="BI289" i="68" s="1"/>
  <c r="BI246" i="68"/>
  <c r="AT94" i="72"/>
  <c r="AT27" i="71"/>
  <c r="AT25" i="72"/>
  <c r="BB27" i="71"/>
  <c r="BB94" i="72"/>
  <c r="BB25" i="72"/>
  <c r="AY183" i="72"/>
  <c r="AY24" i="71"/>
  <c r="AY31" i="71" s="1"/>
  <c r="AJ36" i="71"/>
  <c r="AJ32" i="72"/>
  <c r="AJ101" i="72"/>
  <c r="AH27" i="71"/>
  <c r="AH25" i="72"/>
  <c r="AH94" i="72"/>
  <c r="BA289" i="68"/>
  <c r="BM246" i="68"/>
  <c r="AV286" i="68"/>
  <c r="BL286" i="68" s="1"/>
  <c r="BL191" i="68"/>
  <c r="AV287" i="68"/>
  <c r="BL287" i="68" s="1"/>
  <c r="BL220" i="68"/>
  <c r="AO27" i="71"/>
  <c r="AO94" i="72"/>
  <c r="AO25" i="72"/>
  <c r="AQ289" i="68"/>
  <c r="BK289" i="68" s="1"/>
  <c r="BK246" i="68"/>
  <c r="AA287" i="68"/>
  <c r="BG287" i="68" s="1"/>
  <c r="BG220" i="68"/>
  <c r="AW33" i="71"/>
  <c r="AW40" i="71" s="1"/>
  <c r="AW185" i="72"/>
  <c r="AL285" i="68"/>
  <c r="BJ189" i="68"/>
  <c r="AV289" i="68"/>
  <c r="BL289" i="68" s="1"/>
  <c r="BL246" i="68"/>
  <c r="AC289" i="68"/>
  <c r="BH246" i="68"/>
  <c r="AM36" i="71"/>
  <c r="AM32" i="72"/>
  <c r="AM101" i="72"/>
  <c r="AU101" i="71"/>
  <c r="AU91" i="72"/>
  <c r="BD32" i="72"/>
  <c r="BD36" i="71"/>
  <c r="BD101" i="72"/>
  <c r="AG285" i="68"/>
  <c r="BI189" i="68"/>
  <c r="AF185" i="72"/>
  <c r="AF33" i="71"/>
  <c r="AF40" i="71" s="1"/>
  <c r="AI24" i="71"/>
  <c r="AI31" i="71" s="1"/>
  <c r="AI183" i="72"/>
  <c r="AB285" i="68"/>
  <c r="BH189" i="68"/>
  <c r="AA286" i="68"/>
  <c r="BG286" i="68" s="1"/>
  <c r="BG191" i="68"/>
  <c r="AQ285" i="68"/>
  <c r="BK189" i="68"/>
  <c r="BC33" i="71"/>
  <c r="BC40" i="71" s="1"/>
  <c r="BC185" i="72"/>
  <c r="AV285" i="68"/>
  <c r="BL189" i="68"/>
  <c r="AM94" i="72"/>
  <c r="AM27" i="71"/>
  <c r="AM25" i="72"/>
  <c r="BD94" i="72"/>
  <c r="BD27" i="71"/>
  <c r="BD25" i="72"/>
  <c r="AF110" i="71"/>
  <c r="AF98" i="72"/>
  <c r="AE32" i="72"/>
  <c r="AE101" i="72"/>
  <c r="AE36" i="71"/>
  <c r="AY185" i="72"/>
  <c r="AY33" i="71"/>
  <c r="AY40" i="71" s="1"/>
  <c r="BE121" i="72"/>
  <c r="BD134" i="71"/>
  <c r="AX98" i="72"/>
  <c r="AX110" i="71"/>
  <c r="AL289" i="68"/>
  <c r="BJ289" i="68" s="1"/>
  <c r="BJ246" i="68"/>
  <c r="BK191" i="68"/>
  <c r="AQ286" i="68"/>
  <c r="BK286" i="68" s="1"/>
  <c r="BC110" i="71"/>
  <c r="BC98" i="72"/>
  <c r="AU24" i="71"/>
  <c r="AU31" i="71" s="1"/>
  <c r="AU183" i="72"/>
  <c r="AD25" i="72"/>
  <c r="AD94" i="72"/>
  <c r="AD27" i="71"/>
  <c r="AU33" i="71"/>
  <c r="AU40" i="71" s="1"/>
  <c r="AU185" i="72"/>
  <c r="BK220" i="68"/>
  <c r="AQ287" i="68"/>
  <c r="BK287" i="68" s="1"/>
  <c r="AP27" i="71"/>
  <c r="AP94" i="72"/>
  <c r="AP25" i="72"/>
  <c r="AX24" i="71"/>
  <c r="AX183" i="72"/>
  <c r="AG286" i="68"/>
  <c r="BI286" i="68" s="1"/>
  <c r="BI191" i="68"/>
  <c r="AK101" i="72"/>
  <c r="AK36" i="71"/>
  <c r="AK32" i="72"/>
  <c r="AW24" i="71"/>
  <c r="AW31" i="71" s="1"/>
  <c r="AW183" i="72"/>
  <c r="AX101" i="71"/>
  <c r="AX91" i="72"/>
  <c r="AE27" i="71"/>
  <c r="AE94" i="72"/>
  <c r="AE25" i="72"/>
  <c r="AK27" i="71"/>
  <c r="AK94" i="72"/>
  <c r="AK25" i="72"/>
  <c r="AW101" i="71"/>
  <c r="AW91" i="72"/>
  <c r="AY110" i="71"/>
  <c r="AY98" i="72"/>
  <c r="AT36" i="71"/>
  <c r="AT32" i="72"/>
  <c r="AT101" i="72"/>
  <c r="AX33" i="71"/>
  <c r="AX40" i="71" s="1"/>
  <c r="AX185" i="72"/>
  <c r="BB36" i="71"/>
  <c r="BB101" i="72"/>
  <c r="BB32" i="72"/>
  <c r="AL286" i="68"/>
  <c r="BJ286" i="68" s="1"/>
  <c r="BJ191" i="68"/>
  <c r="AD36" i="71"/>
  <c r="AD32" i="72"/>
  <c r="AD101" i="72"/>
  <c r="AB286" i="68"/>
  <c r="BH286" i="68" s="1"/>
  <c r="BH191" i="68"/>
  <c r="AN94" i="72"/>
  <c r="AN27" i="71"/>
  <c r="AN25" i="72"/>
  <c r="AP101" i="72"/>
  <c r="AP32" i="72"/>
  <c r="AP36" i="71"/>
  <c r="AX31" i="71" l="1"/>
  <c r="AI98" i="72"/>
  <c r="AI107" i="71" s="1"/>
  <c r="AI114" i="71" s="1"/>
  <c r="AU110" i="71"/>
  <c r="AF91" i="72"/>
  <c r="AF98" i="71" s="1"/>
  <c r="AF105" i="71" s="1"/>
  <c r="AF183" i="72"/>
  <c r="BC91" i="72"/>
  <c r="BC98" i="71" s="1"/>
  <c r="BC105" i="71" s="1"/>
  <c r="AI33" i="71"/>
  <c r="AI40" i="71" s="1"/>
  <c r="AJ185" i="72"/>
  <c r="AJ33" i="71"/>
  <c r="AJ40" i="71" s="1"/>
  <c r="AH185" i="72"/>
  <c r="AH33" i="71"/>
  <c r="AH40" i="71" s="1"/>
  <c r="BE27" i="71"/>
  <c r="BE94" i="72"/>
  <c r="BE25" i="72"/>
  <c r="AS110" i="71"/>
  <c r="AS98" i="72"/>
  <c r="AW98" i="71"/>
  <c r="AW105" i="71" s="1"/>
  <c r="AW157" i="72"/>
  <c r="AX98" i="71"/>
  <c r="AX105" i="71" s="1"/>
  <c r="AX157" i="72"/>
  <c r="AX159" i="72"/>
  <c r="AX107" i="71"/>
  <c r="AX114" i="71" s="1"/>
  <c r="AF107" i="71"/>
  <c r="AF114" i="71" s="1"/>
  <c r="AF159" i="72"/>
  <c r="AM101" i="71"/>
  <c r="AM91" i="72"/>
  <c r="AU159" i="72"/>
  <c r="AU107" i="71"/>
  <c r="AM110" i="71"/>
  <c r="AM98" i="72"/>
  <c r="AL293" i="68"/>
  <c r="BJ285" i="68"/>
  <c r="AT24" i="71"/>
  <c r="AT31" i="71" s="1"/>
  <c r="AT183" i="72"/>
  <c r="AR183" i="72"/>
  <c r="AR24" i="71"/>
  <c r="AR31" i="71" s="1"/>
  <c r="AJ24" i="71"/>
  <c r="AJ31" i="71" s="1"/>
  <c r="AJ183" i="72"/>
  <c r="AZ183" i="72"/>
  <c r="AZ24" i="71"/>
  <c r="AZ31" i="71" s="1"/>
  <c r="AZ185" i="72"/>
  <c r="AZ33" i="71"/>
  <c r="AZ40" i="71" s="1"/>
  <c r="AS185" i="72"/>
  <c r="AS33" i="71"/>
  <c r="AS40" i="71" s="1"/>
  <c r="AE185" i="72"/>
  <c r="AE33" i="71"/>
  <c r="AE40" i="71" s="1"/>
  <c r="AD110" i="71"/>
  <c r="AD98" i="72"/>
  <c r="AP33" i="71"/>
  <c r="AP40" i="71" s="1"/>
  <c r="AP185" i="72"/>
  <c r="AD33" i="71"/>
  <c r="AD40" i="71" s="1"/>
  <c r="AD185" i="72"/>
  <c r="AM33" i="71"/>
  <c r="AM40" i="71" s="1"/>
  <c r="AM185" i="72"/>
  <c r="AR101" i="71"/>
  <c r="AR91" i="72"/>
  <c r="AI157" i="72"/>
  <c r="AI98" i="71"/>
  <c r="AI105" i="71" s="1"/>
  <c r="AJ101" i="71"/>
  <c r="AJ91" i="72"/>
  <c r="AZ101" i="71"/>
  <c r="AZ91" i="72"/>
  <c r="AN98" i="72"/>
  <c r="AN110" i="71"/>
  <c r="AJ98" i="72"/>
  <c r="AJ110" i="71"/>
  <c r="BB101" i="71"/>
  <c r="BB91" i="72"/>
  <c r="AO110" i="71"/>
  <c r="AO98" i="72"/>
  <c r="AH98" i="72"/>
  <c r="AH110" i="71"/>
  <c r="BE101" i="72"/>
  <c r="BE36" i="71"/>
  <c r="BE32" i="72"/>
  <c r="AK24" i="71"/>
  <c r="AK31" i="71" s="1"/>
  <c r="AK183" i="72"/>
  <c r="BC159" i="72"/>
  <c r="BC107" i="71"/>
  <c r="BC114" i="71" s="1"/>
  <c r="AP110" i="71"/>
  <c r="AP98" i="72"/>
  <c r="AT98" i="72"/>
  <c r="AT110" i="71"/>
  <c r="AK91" i="72"/>
  <c r="AK101" i="71"/>
  <c r="BM121" i="72"/>
  <c r="BM134" i="71" s="1"/>
  <c r="BE134" i="71"/>
  <c r="BD24" i="71"/>
  <c r="BD31" i="71" s="1"/>
  <c r="BD183" i="72"/>
  <c r="AV293" i="68"/>
  <c r="BL285" i="68"/>
  <c r="AB293" i="68"/>
  <c r="BH285" i="68"/>
  <c r="BI285" i="68"/>
  <c r="AG293" i="68"/>
  <c r="AO24" i="71"/>
  <c r="AO31" i="71" s="1"/>
  <c r="AO183" i="72"/>
  <c r="BA293" i="68"/>
  <c r="BM289" i="68"/>
  <c r="AT101" i="71"/>
  <c r="AT91" i="72"/>
  <c r="AN33" i="71"/>
  <c r="AN40" i="71" s="1"/>
  <c r="AN185" i="72"/>
  <c r="BD98" i="72"/>
  <c r="BD110" i="71"/>
  <c r="AO91" i="72"/>
  <c r="AO101" i="71"/>
  <c r="AH101" i="71"/>
  <c r="AH91" i="72"/>
  <c r="AS24" i="71"/>
  <c r="AS31" i="71" s="1"/>
  <c r="AS183" i="72"/>
  <c r="AR33" i="71"/>
  <c r="AR185" i="72"/>
  <c r="BB110" i="71"/>
  <c r="BB98" i="72"/>
  <c r="AT185" i="72"/>
  <c r="AT33" i="71"/>
  <c r="AT40" i="71" s="1"/>
  <c r="AK185" i="72"/>
  <c r="AK33" i="71"/>
  <c r="AK40" i="71" s="1"/>
  <c r="AP183" i="72"/>
  <c r="AP24" i="71"/>
  <c r="AP31" i="71" s="1"/>
  <c r="AD101" i="71"/>
  <c r="AD91" i="72"/>
  <c r="AE24" i="71"/>
  <c r="AE31" i="71" s="1"/>
  <c r="AE183" i="72"/>
  <c r="BD101" i="71"/>
  <c r="BD91" i="72"/>
  <c r="AC293" i="68"/>
  <c r="BH289" i="68"/>
  <c r="AH24" i="71"/>
  <c r="AH31" i="71" s="1"/>
  <c r="AH183" i="72"/>
  <c r="AS91" i="72"/>
  <c r="AS101" i="71"/>
  <c r="AW107" i="71"/>
  <c r="AW114" i="71" s="1"/>
  <c r="AW159" i="72"/>
  <c r="AR40" i="71"/>
  <c r="AA293" i="68"/>
  <c r="BG285" i="68"/>
  <c r="AE110" i="71"/>
  <c r="AE98" i="72"/>
  <c r="AM24" i="71"/>
  <c r="AM31" i="71" s="1"/>
  <c r="AM183" i="72"/>
  <c r="BK285" i="68"/>
  <c r="AQ293" i="68"/>
  <c r="AU157" i="72"/>
  <c r="AU98" i="71"/>
  <c r="AU105" i="71" s="1"/>
  <c r="AN24" i="71"/>
  <c r="AN31" i="71" s="1"/>
  <c r="AN183" i="72"/>
  <c r="AP91" i="72"/>
  <c r="AP101" i="71"/>
  <c r="AD24" i="71"/>
  <c r="AD31" i="71" s="1"/>
  <c r="AD183" i="72"/>
  <c r="AN101" i="71"/>
  <c r="AN91" i="72"/>
  <c r="BB185" i="72"/>
  <c r="BB33" i="71"/>
  <c r="BB40" i="71" s="1"/>
  <c r="AY159" i="72"/>
  <c r="AY107" i="71"/>
  <c r="AY114" i="71" s="1"/>
  <c r="AE101" i="71"/>
  <c r="AE91" i="72"/>
  <c r="AK110" i="71"/>
  <c r="AK98" i="72"/>
  <c r="BD33" i="71"/>
  <c r="BD40" i="71" s="1"/>
  <c r="BD185" i="72"/>
  <c r="BB24" i="71"/>
  <c r="BB31" i="71" s="1"/>
  <c r="BB183" i="72"/>
  <c r="AZ110" i="71"/>
  <c r="AZ98" i="72"/>
  <c r="AO33" i="71"/>
  <c r="AO40" i="71" s="1"/>
  <c r="AO185" i="72"/>
  <c r="AR98" i="72"/>
  <c r="AR110" i="71"/>
  <c r="AY98" i="71"/>
  <c r="AY105" i="71" s="1"/>
  <c r="AY157" i="72"/>
  <c r="AU114" i="71" l="1"/>
  <c r="AI159" i="72"/>
  <c r="AF157" i="72"/>
  <c r="BC157" i="72"/>
  <c r="AA35" i="72"/>
  <c r="AA28" i="72"/>
  <c r="BG293" i="68"/>
  <c r="BG295" i="68" s="1"/>
  <c r="AC35" i="72"/>
  <c r="AC28" i="72"/>
  <c r="AO157" i="72"/>
  <c r="AO98" i="71"/>
  <c r="AO105" i="71" s="1"/>
  <c r="BA28" i="72"/>
  <c r="BA35" i="72"/>
  <c r="BM293" i="68"/>
  <c r="BM295" i="68" s="1"/>
  <c r="AV28" i="72"/>
  <c r="AV35" i="72"/>
  <c r="BL293" i="68"/>
  <c r="BL295" i="68" s="1"/>
  <c r="BE185" i="72"/>
  <c r="BE33" i="71"/>
  <c r="BE40" i="71" s="1"/>
  <c r="BE183" i="72"/>
  <c r="BE24" i="71"/>
  <c r="BE31" i="71" s="1"/>
  <c r="AP157" i="72"/>
  <c r="AP98" i="71"/>
  <c r="AP105" i="71" s="1"/>
  <c r="BD98" i="71"/>
  <c r="BD105" i="71" s="1"/>
  <c r="BD157" i="72"/>
  <c r="AT159" i="72"/>
  <c r="AT107" i="71"/>
  <c r="AT114" i="71" s="1"/>
  <c r="BE101" i="71"/>
  <c r="BE91" i="72"/>
  <c r="AK98" i="71"/>
  <c r="AK105" i="71" s="1"/>
  <c r="AK157" i="72"/>
  <c r="BB98" i="71"/>
  <c r="BB105" i="71" s="1"/>
  <c r="BB157" i="72"/>
  <c r="AJ157" i="72"/>
  <c r="AJ98" i="71"/>
  <c r="AJ105" i="71" s="1"/>
  <c r="AM159" i="72"/>
  <c r="AM107" i="71"/>
  <c r="AM114" i="71" s="1"/>
  <c r="AE159" i="72"/>
  <c r="AE107" i="71"/>
  <c r="AE114" i="71" s="1"/>
  <c r="BD107" i="71"/>
  <c r="BD114" i="71" s="1"/>
  <c r="BD159" i="72"/>
  <c r="AP107" i="71"/>
  <c r="AP114" i="71" s="1"/>
  <c r="AP159" i="72"/>
  <c r="BE110" i="71"/>
  <c r="BE98" i="72"/>
  <c r="AJ159" i="72"/>
  <c r="AJ107" i="71"/>
  <c r="AJ114" i="71" s="1"/>
  <c r="AR159" i="72"/>
  <c r="AR107" i="71"/>
  <c r="AR114" i="71" s="1"/>
  <c r="AG28" i="72"/>
  <c r="AG35" i="72"/>
  <c r="BI293" i="68"/>
  <c r="BI295" i="68" s="1"/>
  <c r="AR98" i="71"/>
  <c r="AR105" i="71" s="1"/>
  <c r="AR157" i="72"/>
  <c r="AD159" i="72"/>
  <c r="AD107" i="71"/>
  <c r="AD114" i="71" s="1"/>
  <c r="AM98" i="71"/>
  <c r="AM105" i="71" s="1"/>
  <c r="AM157" i="72"/>
  <c r="AH107" i="71"/>
  <c r="AH114" i="71" s="1"/>
  <c r="AH159" i="72"/>
  <c r="AN107" i="71"/>
  <c r="AN114" i="71" s="1"/>
  <c r="AN159" i="72"/>
  <c r="AK159" i="72"/>
  <c r="AK107" i="71"/>
  <c r="AK114" i="71" s="1"/>
  <c r="AO107" i="71"/>
  <c r="AO114" i="71" s="1"/>
  <c r="AO159" i="72"/>
  <c r="AZ98" i="71"/>
  <c r="AZ105" i="71" s="1"/>
  <c r="AZ157" i="72"/>
  <c r="AS107" i="71"/>
  <c r="AS114" i="71" s="1"/>
  <c r="AS159" i="72"/>
  <c r="AN98" i="71"/>
  <c r="AN105" i="71" s="1"/>
  <c r="AN157" i="72"/>
  <c r="AS157" i="72"/>
  <c r="AS98" i="71"/>
  <c r="AS105" i="71" s="1"/>
  <c r="AD157" i="72"/>
  <c r="AD98" i="71"/>
  <c r="AD105" i="71" s="1"/>
  <c r="BB159" i="72"/>
  <c r="BB107" i="71"/>
  <c r="BB114" i="71" s="1"/>
  <c r="AH157" i="72"/>
  <c r="AH98" i="71"/>
  <c r="AH105" i="71" s="1"/>
  <c r="AT98" i="71"/>
  <c r="AT105" i="71" s="1"/>
  <c r="AT157" i="72"/>
  <c r="AZ107" i="71"/>
  <c r="AZ114" i="71" s="1"/>
  <c r="AZ159" i="72"/>
  <c r="AE157" i="72"/>
  <c r="AE98" i="71"/>
  <c r="AE105" i="71" s="1"/>
  <c r="AQ35" i="72"/>
  <c r="AQ28" i="72"/>
  <c r="BK293" i="68"/>
  <c r="BK295" i="68" s="1"/>
  <c r="AB28" i="72"/>
  <c r="AB35" i="72"/>
  <c r="BH293" i="68"/>
  <c r="BH295" i="68" s="1"/>
  <c r="AL35" i="72"/>
  <c r="BJ293" i="68"/>
  <c r="BJ295" i="68" s="1"/>
  <c r="AL28" i="72"/>
  <c r="BJ35" i="72" l="1"/>
  <c r="BJ36" i="71" s="1"/>
  <c r="AL32" i="72"/>
  <c r="AL36" i="71"/>
  <c r="AL101" i="72"/>
  <c r="AC25" i="72"/>
  <c r="AC94" i="72"/>
  <c r="AC27" i="71"/>
  <c r="BE159" i="72"/>
  <c r="BE107" i="71"/>
  <c r="BE114" i="71" s="1"/>
  <c r="BE157" i="72"/>
  <c r="BE98" i="71"/>
  <c r="BE105" i="71" s="1"/>
  <c r="AV101" i="72"/>
  <c r="AV32" i="72"/>
  <c r="AV36" i="71"/>
  <c r="BL35" i="72"/>
  <c r="BL36" i="71" s="1"/>
  <c r="AC101" i="72"/>
  <c r="AC32" i="72"/>
  <c r="AC36" i="71"/>
  <c r="A295" i="68"/>
  <c r="A8" i="68" s="1"/>
  <c r="H19" i="12" s="1"/>
  <c r="AA25" i="72"/>
  <c r="BG28" i="72"/>
  <c r="BG27" i="71" s="1"/>
  <c r="AA53" i="72"/>
  <c r="AA94" i="72"/>
  <c r="AA27" i="71"/>
  <c r="I28" i="72"/>
  <c r="I27" i="71" s="1"/>
  <c r="BA101" i="72"/>
  <c r="BA36" i="71"/>
  <c r="BA32" i="72"/>
  <c r="BM35" i="72"/>
  <c r="BM36" i="71" s="1"/>
  <c r="AA101" i="72"/>
  <c r="AA36" i="71"/>
  <c r="BG35" i="72"/>
  <c r="BG36" i="71" s="1"/>
  <c r="AA32" i="72"/>
  <c r="AA60" i="72"/>
  <c r="I35" i="72"/>
  <c r="I36" i="71" s="1"/>
  <c r="AB36" i="71"/>
  <c r="AB32" i="72"/>
  <c r="AB101" i="72"/>
  <c r="BH35" i="72"/>
  <c r="BH36" i="71" s="1"/>
  <c r="BH28" i="72"/>
  <c r="BH27" i="71" s="1"/>
  <c r="AB94" i="72"/>
  <c r="AB27" i="71"/>
  <c r="AB25" i="72"/>
  <c r="AG36" i="71"/>
  <c r="AG32" i="72"/>
  <c r="BI35" i="72"/>
  <c r="BI36" i="71" s="1"/>
  <c r="AG101" i="72"/>
  <c r="AV94" i="72"/>
  <c r="AV25" i="72"/>
  <c r="BL28" i="72"/>
  <c r="BL27" i="71" s="1"/>
  <c r="AV27" i="71"/>
  <c r="BI28" i="72"/>
  <c r="BI27" i="71" s="1"/>
  <c r="AG27" i="71"/>
  <c r="AG94" i="72"/>
  <c r="AG25" i="72"/>
  <c r="BK28" i="72"/>
  <c r="BK27" i="71" s="1"/>
  <c r="AQ94" i="72"/>
  <c r="AQ27" i="71"/>
  <c r="AQ25" i="72"/>
  <c r="AL27" i="71"/>
  <c r="AL25" i="72"/>
  <c r="AL94" i="72"/>
  <c r="BJ28" i="72"/>
  <c r="BJ27" i="71" s="1"/>
  <c r="AQ36" i="71"/>
  <c r="AQ32" i="72"/>
  <c r="BK35" i="72"/>
  <c r="BK36" i="71" s="1"/>
  <c r="AQ101" i="72"/>
  <c r="BA27" i="71"/>
  <c r="BA94" i="72"/>
  <c r="BA25" i="72"/>
  <c r="BM28" i="72"/>
  <c r="BM27" i="71" s="1"/>
  <c r="BG94" i="72" l="1"/>
  <c r="BG101" i="71" s="1"/>
  <c r="AA119" i="72"/>
  <c r="AA101" i="71"/>
  <c r="AA91" i="72"/>
  <c r="I94" i="72"/>
  <c r="I101" i="71" s="1"/>
  <c r="AG24" i="71"/>
  <c r="AG31" i="71" s="1"/>
  <c r="AG183" i="72"/>
  <c r="BI25" i="72"/>
  <c r="BI24" i="71" s="1"/>
  <c r="BI31" i="71" s="1"/>
  <c r="AG110" i="71"/>
  <c r="AG98" i="72"/>
  <c r="BI101" i="72"/>
  <c r="BI110" i="71" s="1"/>
  <c r="BA183" i="72"/>
  <c r="BA24" i="71"/>
  <c r="BA31" i="71" s="1"/>
  <c r="BM25" i="72"/>
  <c r="BM24" i="71" s="1"/>
  <c r="BM31" i="71" s="1"/>
  <c r="AL91" i="72"/>
  <c r="BJ94" i="72"/>
  <c r="BJ101" i="71" s="1"/>
  <c r="AL101" i="71"/>
  <c r="AG101" i="71"/>
  <c r="AG91" i="72"/>
  <c r="BI94" i="72"/>
  <c r="BI101" i="71" s="1"/>
  <c r="AB98" i="72"/>
  <c r="BH101" i="72"/>
  <c r="BH110" i="71" s="1"/>
  <c r="AB110" i="71"/>
  <c r="AA110" i="71"/>
  <c r="BG101" i="72"/>
  <c r="BG110" i="71" s="1"/>
  <c r="AA126" i="72"/>
  <c r="AA98" i="72"/>
  <c r="I101" i="72"/>
  <c r="I110" i="71" s="1"/>
  <c r="AB53" i="72"/>
  <c r="AA58" i="71"/>
  <c r="BG53" i="72"/>
  <c r="BG58" i="71" s="1"/>
  <c r="AA50" i="72"/>
  <c r="AC101" i="71"/>
  <c r="AC91" i="72"/>
  <c r="BA101" i="71"/>
  <c r="BA91" i="72"/>
  <c r="BM94" i="72"/>
  <c r="BM101" i="71" s="1"/>
  <c r="AG33" i="71"/>
  <c r="AG40" i="71" s="1"/>
  <c r="AG185" i="72"/>
  <c r="BI32" i="72"/>
  <c r="BI33" i="71" s="1"/>
  <c r="BI40" i="71" s="1"/>
  <c r="AV33" i="71"/>
  <c r="AV40" i="71" s="1"/>
  <c r="BL32" i="72"/>
  <c r="BL33" i="71" s="1"/>
  <c r="BL40" i="71" s="1"/>
  <c r="AV185" i="72"/>
  <c r="BH25" i="72"/>
  <c r="BH24" i="71" s="1"/>
  <c r="BH31" i="71" s="1"/>
  <c r="AC24" i="71"/>
  <c r="AC31" i="71" s="1"/>
  <c r="AC183" i="72"/>
  <c r="BL94" i="72"/>
  <c r="BL101" i="71" s="1"/>
  <c r="AV101" i="71"/>
  <c r="AV91" i="72"/>
  <c r="AC110" i="71"/>
  <c r="AC98" i="72"/>
  <c r="BA185" i="72"/>
  <c r="BA33" i="71"/>
  <c r="BA40" i="71" s="1"/>
  <c r="BM32" i="72"/>
  <c r="BM33" i="71" s="1"/>
  <c r="BM40" i="71" s="1"/>
  <c r="AA183" i="72"/>
  <c r="AA24" i="71"/>
  <c r="AA31" i="71" s="1"/>
  <c r="BG25" i="72"/>
  <c r="BG24" i="71" s="1"/>
  <c r="BG31" i="71" s="1"/>
  <c r="I25" i="72"/>
  <c r="AV98" i="72"/>
  <c r="AV110" i="71"/>
  <c r="BL101" i="72"/>
  <c r="BL110" i="71" s="1"/>
  <c r="BJ101" i="72"/>
  <c r="BJ110" i="71" s="1"/>
  <c r="AL110" i="71"/>
  <c r="AL98" i="72"/>
  <c r="AL183" i="72"/>
  <c r="BJ25" i="72"/>
  <c r="BJ24" i="71" s="1"/>
  <c r="BJ31" i="71" s="1"/>
  <c r="AL24" i="71"/>
  <c r="AL31" i="71" s="1"/>
  <c r="AB185" i="72"/>
  <c r="AB33" i="71"/>
  <c r="AB40" i="71" s="1"/>
  <c r="BH32" i="72"/>
  <c r="BH33" i="71" s="1"/>
  <c r="BH40" i="71" s="1"/>
  <c r="AQ98" i="72"/>
  <c r="AQ110" i="71"/>
  <c r="BK101" i="72"/>
  <c r="BK110" i="71" s="1"/>
  <c r="AQ183" i="72"/>
  <c r="AQ24" i="71"/>
  <c r="AQ31" i="71" s="1"/>
  <c r="BK25" i="72"/>
  <c r="BK24" i="71" s="1"/>
  <c r="BK31" i="71" s="1"/>
  <c r="AB24" i="71"/>
  <c r="AB31" i="71" s="1"/>
  <c r="AB183" i="72"/>
  <c r="AA67" i="71"/>
  <c r="AA57" i="72"/>
  <c r="AB60" i="72"/>
  <c r="BG60" i="72"/>
  <c r="BG67" i="71" s="1"/>
  <c r="BA110" i="71"/>
  <c r="BA98" i="72"/>
  <c r="BM101" i="72"/>
  <c r="BM110" i="71" s="1"/>
  <c r="AL33" i="71"/>
  <c r="AL40" i="71" s="1"/>
  <c r="BJ32" i="72"/>
  <c r="BJ33" i="71" s="1"/>
  <c r="BJ40" i="71" s="1"/>
  <c r="AL185" i="72"/>
  <c r="AQ33" i="71"/>
  <c r="AQ40" i="71" s="1"/>
  <c r="AQ185" i="72"/>
  <c r="BK32" i="72"/>
  <c r="BK33" i="71" s="1"/>
  <c r="BK40" i="71" s="1"/>
  <c r="BK94" i="72"/>
  <c r="BK101" i="71" s="1"/>
  <c r="AQ91" i="72"/>
  <c r="AQ101" i="71"/>
  <c r="BL25" i="72"/>
  <c r="BL24" i="71" s="1"/>
  <c r="BL31" i="71" s="1"/>
  <c r="AV183" i="72"/>
  <c r="AV24" i="71"/>
  <c r="AV31" i="71" s="1"/>
  <c r="AB91" i="72"/>
  <c r="AB101" i="71"/>
  <c r="BH94" i="72"/>
  <c r="BH101" i="71" s="1"/>
  <c r="AA185" i="72"/>
  <c r="AA33" i="71"/>
  <c r="AA40" i="71" s="1"/>
  <c r="BG32" i="72"/>
  <c r="BG33" i="71" s="1"/>
  <c r="BG40" i="71" s="1"/>
  <c r="I32" i="72"/>
  <c r="AC185" i="72"/>
  <c r="AC33" i="71"/>
  <c r="AC40" i="71" s="1"/>
  <c r="AB157" i="72" l="1"/>
  <c r="AB98" i="71"/>
  <c r="AB105" i="71" s="1"/>
  <c r="AL157" i="72"/>
  <c r="BJ91" i="72"/>
  <c r="BJ98" i="71" s="1"/>
  <c r="BJ105" i="71" s="1"/>
  <c r="AL98" i="71"/>
  <c r="AL105" i="71" s="1"/>
  <c r="AQ98" i="71"/>
  <c r="AQ105" i="71" s="1"/>
  <c r="AQ157" i="72"/>
  <c r="BK91" i="72"/>
  <c r="BK98" i="71" s="1"/>
  <c r="BK105" i="71" s="1"/>
  <c r="BA159" i="72"/>
  <c r="BA107" i="71"/>
  <c r="BA114" i="71" s="1"/>
  <c r="BM98" i="72"/>
  <c r="BM107" i="71" s="1"/>
  <c r="BM114" i="71" s="1"/>
  <c r="BG50" i="72"/>
  <c r="BG55" i="71" s="1"/>
  <c r="BG62" i="71" s="1"/>
  <c r="AA55" i="71"/>
  <c r="AA62" i="71" s="1"/>
  <c r="I177" i="72"/>
  <c r="I81" i="72"/>
  <c r="I88" i="71" s="1"/>
  <c r="I33" i="71"/>
  <c r="AB67" i="71"/>
  <c r="AC60" i="72"/>
  <c r="AB57" i="72"/>
  <c r="AB64" i="71" s="1"/>
  <c r="BA98" i="71"/>
  <c r="BA105" i="71" s="1"/>
  <c r="BA157" i="72"/>
  <c r="BM91" i="72"/>
  <c r="BM98" i="71" s="1"/>
  <c r="BM105" i="71" s="1"/>
  <c r="AB58" i="71"/>
  <c r="AC53" i="72"/>
  <c r="AB50" i="72"/>
  <c r="AB55" i="71" s="1"/>
  <c r="AB107" i="71"/>
  <c r="AB114" i="71" s="1"/>
  <c r="AB159" i="72"/>
  <c r="BH98" i="72"/>
  <c r="BH107" i="71" s="1"/>
  <c r="BH114" i="71" s="1"/>
  <c r="AA64" i="71"/>
  <c r="AA71" i="71" s="1"/>
  <c r="BG57" i="72"/>
  <c r="BG64" i="71" s="1"/>
  <c r="BG71" i="71" s="1"/>
  <c r="AA157" i="72"/>
  <c r="AA98" i="71"/>
  <c r="AA105" i="71" s="1"/>
  <c r="BG91" i="72"/>
  <c r="BG98" i="71" s="1"/>
  <c r="BG105" i="71" s="1"/>
  <c r="I91" i="72"/>
  <c r="AV159" i="72"/>
  <c r="BL98" i="72"/>
  <c r="BL107" i="71" s="1"/>
  <c r="BL114" i="71" s="1"/>
  <c r="AV107" i="71"/>
  <c r="AV114" i="71" s="1"/>
  <c r="AC107" i="71"/>
  <c r="AC114" i="71" s="1"/>
  <c r="AC159" i="72"/>
  <c r="A40" i="71"/>
  <c r="I175" i="72"/>
  <c r="I24" i="71"/>
  <c r="I79" i="72"/>
  <c r="I86" i="71" s="1"/>
  <c r="AA159" i="72"/>
  <c r="AA107" i="71"/>
  <c r="AA114" i="71" s="1"/>
  <c r="BG98" i="72"/>
  <c r="BG107" i="71" s="1"/>
  <c r="BG114" i="71" s="1"/>
  <c r="I98" i="72"/>
  <c r="AG157" i="72"/>
  <c r="BI91" i="72"/>
  <c r="BI98" i="71" s="1"/>
  <c r="BI105" i="71" s="1"/>
  <c r="AG98" i="71"/>
  <c r="AG105" i="71" s="1"/>
  <c r="AV157" i="72"/>
  <c r="AV98" i="71"/>
  <c r="AV105" i="71" s="1"/>
  <c r="BL91" i="72"/>
  <c r="BL98" i="71" s="1"/>
  <c r="BL105" i="71" s="1"/>
  <c r="BH91" i="72"/>
  <c r="BH98" i="71" s="1"/>
  <c r="BH105" i="71" s="1"/>
  <c r="AC157" i="72"/>
  <c r="AC98" i="71"/>
  <c r="AC105" i="71" s="1"/>
  <c r="AA123" i="72"/>
  <c r="AA141" i="71"/>
  <c r="BG126" i="72"/>
  <c r="BG141" i="71" s="1"/>
  <c r="AB126" i="72"/>
  <c r="AG159" i="72"/>
  <c r="AG107" i="71"/>
  <c r="AG114" i="71" s="1"/>
  <c r="BI98" i="72"/>
  <c r="BI107" i="71" s="1"/>
  <c r="BI114" i="71" s="1"/>
  <c r="AA132" i="71"/>
  <c r="AB119" i="72"/>
  <c r="AA116" i="72"/>
  <c r="BG119" i="72"/>
  <c r="BG132" i="71" s="1"/>
  <c r="AQ107" i="71"/>
  <c r="AQ114" i="71" s="1"/>
  <c r="AQ159" i="72"/>
  <c r="BK98" i="72"/>
  <c r="BK107" i="71" s="1"/>
  <c r="BK114" i="71" s="1"/>
  <c r="BJ98" i="72"/>
  <c r="BJ107" i="71" s="1"/>
  <c r="BJ114" i="71" s="1"/>
  <c r="AL107" i="71"/>
  <c r="AL114" i="71" s="1"/>
  <c r="AL159" i="72"/>
  <c r="A31" i="71"/>
  <c r="AB62" i="71" l="1"/>
  <c r="A114" i="71"/>
  <c r="I157" i="72"/>
  <c r="I159" i="72"/>
  <c r="AA129" i="71"/>
  <c r="AA136" i="71" s="1"/>
  <c r="BG116" i="72"/>
  <c r="BG129" i="71" s="1"/>
  <c r="BG136" i="71" s="1"/>
  <c r="I145" i="72"/>
  <c r="I160" i="71" s="1"/>
  <c r="I98" i="71"/>
  <c r="AC67" i="71"/>
  <c r="AC57" i="72"/>
  <c r="AC64" i="71" s="1"/>
  <c r="AD60" i="72"/>
  <c r="I147" i="72"/>
  <c r="I162" i="71" s="1"/>
  <c r="I107" i="71"/>
  <c r="AB71" i="71"/>
  <c r="AB141" i="71"/>
  <c r="AC126" i="72"/>
  <c r="AB123" i="72"/>
  <c r="AB138" i="71" s="1"/>
  <c r="AC119" i="72"/>
  <c r="AB132" i="71"/>
  <c r="AB116" i="72"/>
  <c r="AB129" i="71" s="1"/>
  <c r="BG123" i="72"/>
  <c r="BG138" i="71" s="1"/>
  <c r="BG145" i="71" s="1"/>
  <c r="AA138" i="71"/>
  <c r="AA145" i="71" s="1"/>
  <c r="A105" i="71"/>
  <c r="AC50" i="72"/>
  <c r="AC55" i="71" s="1"/>
  <c r="AC58" i="71"/>
  <c r="AD53" i="72"/>
  <c r="AB145" i="71" l="1"/>
  <c r="I174" i="71"/>
  <c r="I169" i="72"/>
  <c r="AB136" i="71"/>
  <c r="AD57" i="72"/>
  <c r="AD64" i="71" s="1"/>
  <c r="AD67" i="71"/>
  <c r="AE60" i="72"/>
  <c r="I172" i="71"/>
  <c r="I167" i="72"/>
  <c r="AC116" i="72"/>
  <c r="AC129" i="71" s="1"/>
  <c r="AC132" i="71"/>
  <c r="AD119" i="72"/>
  <c r="AC123" i="72"/>
  <c r="AC138" i="71" s="1"/>
  <c r="AD126" i="72"/>
  <c r="AC141" i="71"/>
  <c r="AD50" i="72"/>
  <c r="AD55" i="71" s="1"/>
  <c r="AD58" i="71"/>
  <c r="AE53" i="72"/>
  <c r="AC62" i="71"/>
  <c r="AC71" i="71"/>
  <c r="AD62" i="71" l="1"/>
  <c r="AC136" i="71"/>
  <c r="AF60" i="72"/>
  <c r="AE57" i="72"/>
  <c r="AE64" i="71" s="1"/>
  <c r="AE67" i="71"/>
  <c r="AC145" i="71"/>
  <c r="AD123" i="72"/>
  <c r="AD138" i="71" s="1"/>
  <c r="AD141" i="71"/>
  <c r="AE126" i="72"/>
  <c r="AD71" i="71"/>
  <c r="AD132" i="71"/>
  <c r="AE119" i="72"/>
  <c r="AD116" i="72"/>
  <c r="AD129" i="71" s="1"/>
  <c r="AE58" i="71"/>
  <c r="AF53" i="72"/>
  <c r="AE50" i="72"/>
  <c r="AE55" i="71" s="1"/>
  <c r="AD145" i="71" l="1"/>
  <c r="AE71" i="71"/>
  <c r="AE62" i="71"/>
  <c r="AF126" i="72"/>
  <c r="AE123" i="72"/>
  <c r="AE138" i="71" s="1"/>
  <c r="AE141" i="71"/>
  <c r="BH53" i="72"/>
  <c r="BH58" i="71" s="1"/>
  <c r="AF50" i="72"/>
  <c r="AG53" i="72"/>
  <c r="AF58" i="71"/>
  <c r="AE132" i="71"/>
  <c r="AF119" i="72"/>
  <c r="AE116" i="72"/>
  <c r="AE129" i="71" s="1"/>
  <c r="AD136" i="71"/>
  <c r="AF67" i="71"/>
  <c r="AF57" i="72"/>
  <c r="AG60" i="72"/>
  <c r="BH60" i="72"/>
  <c r="BH67" i="71" s="1"/>
  <c r="AE145" i="71" l="1"/>
  <c r="AE136" i="71"/>
  <c r="AG58" i="71"/>
  <c r="AH53" i="72"/>
  <c r="AG50" i="72"/>
  <c r="AG55" i="71" s="1"/>
  <c r="AH60" i="72"/>
  <c r="AG57" i="72"/>
  <c r="AG64" i="71" s="1"/>
  <c r="AG67" i="71"/>
  <c r="AF64" i="71"/>
  <c r="AF71" i="71" s="1"/>
  <c r="BH57" i="72"/>
  <c r="BH64" i="71" s="1"/>
  <c r="BH71" i="71" s="1"/>
  <c r="AF55" i="71"/>
  <c r="AF62" i="71" s="1"/>
  <c r="BH50" i="72"/>
  <c r="BH55" i="71" s="1"/>
  <c r="BH62" i="71" s="1"/>
  <c r="AF132" i="71"/>
  <c r="AF116" i="72"/>
  <c r="BH119" i="72"/>
  <c r="BH132" i="71" s="1"/>
  <c r="AG119" i="72"/>
  <c r="AF141" i="71"/>
  <c r="AG126" i="72"/>
  <c r="BH126" i="72"/>
  <c r="BH141" i="71" s="1"/>
  <c r="AF123" i="72"/>
  <c r="AG141" i="71" l="1"/>
  <c r="AH126" i="72"/>
  <c r="AG123" i="72"/>
  <c r="AG138" i="71" s="1"/>
  <c r="AH119" i="72"/>
  <c r="AG116" i="72"/>
  <c r="AG129" i="71" s="1"/>
  <c r="AG132" i="71"/>
  <c r="AG71" i="71"/>
  <c r="BH116" i="72"/>
  <c r="BH129" i="71" s="1"/>
  <c r="BH136" i="71" s="1"/>
  <c r="AF129" i="71"/>
  <c r="AF136" i="71" s="1"/>
  <c r="AH67" i="71"/>
  <c r="AI60" i="72"/>
  <c r="AH57" i="72"/>
  <c r="AH64" i="71" s="1"/>
  <c r="AH58" i="71"/>
  <c r="AI53" i="72"/>
  <c r="AH50" i="72"/>
  <c r="AH55" i="71" s="1"/>
  <c r="AF138" i="71"/>
  <c r="AF145" i="71" s="1"/>
  <c r="BH123" i="72"/>
  <c r="BH138" i="71" s="1"/>
  <c r="BH145" i="71" s="1"/>
  <c r="AG62" i="71"/>
  <c r="AG136" i="71" l="1"/>
  <c r="AG145" i="71"/>
  <c r="AH62" i="71"/>
  <c r="AJ53" i="72"/>
  <c r="AI50" i="72"/>
  <c r="AI55" i="71" s="1"/>
  <c r="AI58" i="71"/>
  <c r="AH132" i="71"/>
  <c r="AH116" i="72"/>
  <c r="AH129" i="71" s="1"/>
  <c r="AI119" i="72"/>
  <c r="AI57" i="72"/>
  <c r="AI64" i="71" s="1"/>
  <c r="AJ60" i="72"/>
  <c r="AI67" i="71"/>
  <c r="AH71" i="71"/>
  <c r="AI126" i="72"/>
  <c r="AH141" i="71"/>
  <c r="AH123" i="72"/>
  <c r="AH138" i="71" s="1"/>
  <c r="AI62" i="71" l="1"/>
  <c r="AI71" i="71"/>
  <c r="AI116" i="72"/>
  <c r="AI129" i="71" s="1"/>
  <c r="AI132" i="71"/>
  <c r="AJ119" i="72"/>
  <c r="AI141" i="71"/>
  <c r="AJ126" i="72"/>
  <c r="AI123" i="72"/>
  <c r="AI138" i="71" s="1"/>
  <c r="AJ50" i="72"/>
  <c r="AJ55" i="71" s="1"/>
  <c r="AK53" i="72"/>
  <c r="AJ58" i="71"/>
  <c r="AK60" i="72"/>
  <c r="AJ57" i="72"/>
  <c r="AJ64" i="71" s="1"/>
  <c r="AJ67" i="71"/>
  <c r="AH145" i="71"/>
  <c r="AH136" i="71"/>
  <c r="AJ62" i="71" l="1"/>
  <c r="AK58" i="71"/>
  <c r="AL53" i="72"/>
  <c r="AK50" i="72"/>
  <c r="BI53" i="72"/>
  <c r="BI58" i="71" s="1"/>
  <c r="AK126" i="72"/>
  <c r="AJ141" i="71"/>
  <c r="AJ123" i="72"/>
  <c r="AJ138" i="71" s="1"/>
  <c r="AJ71" i="71"/>
  <c r="AI145" i="71"/>
  <c r="AJ132" i="71"/>
  <c r="AK119" i="72"/>
  <c r="AJ116" i="72"/>
  <c r="AJ129" i="71" s="1"/>
  <c r="AK67" i="71"/>
  <c r="AL60" i="72"/>
  <c r="BI60" i="72"/>
  <c r="BI67" i="71" s="1"/>
  <c r="AK57" i="72"/>
  <c r="AI136" i="71"/>
  <c r="BI57" i="72" l="1"/>
  <c r="BI64" i="71" s="1"/>
  <c r="BI71" i="71" s="1"/>
  <c r="AK64" i="71"/>
  <c r="AK71" i="71" s="1"/>
  <c r="AJ145" i="71"/>
  <c r="AL67" i="71"/>
  <c r="AM60" i="72"/>
  <c r="AL57" i="72"/>
  <c r="AL64" i="71" s="1"/>
  <c r="AK141" i="71"/>
  <c r="AK123" i="72"/>
  <c r="AL126" i="72"/>
  <c r="BI126" i="72"/>
  <c r="BI141" i="71" s="1"/>
  <c r="BI119" i="72"/>
  <c r="BI132" i="71" s="1"/>
  <c r="AL119" i="72"/>
  <c r="AK132" i="71"/>
  <c r="AK116" i="72"/>
  <c r="AK55" i="71"/>
  <c r="AK62" i="71" s="1"/>
  <c r="BI50" i="72"/>
  <c r="BI55" i="71" s="1"/>
  <c r="BI62" i="71" s="1"/>
  <c r="AJ136" i="71"/>
  <c r="AL58" i="71"/>
  <c r="AL50" i="72"/>
  <c r="AL55" i="71" s="1"/>
  <c r="AM53" i="72"/>
  <c r="AL141" i="71" l="1"/>
  <c r="AM126" i="72"/>
  <c r="AL123" i="72"/>
  <c r="AL138" i="71" s="1"/>
  <c r="AK138" i="71"/>
  <c r="AK145" i="71" s="1"/>
  <c r="BI123" i="72"/>
  <c r="BI138" i="71" s="1"/>
  <c r="BI145" i="71" s="1"/>
  <c r="BI116" i="72"/>
  <c r="BI129" i="71" s="1"/>
  <c r="BI136" i="71" s="1"/>
  <c r="AK129" i="71"/>
  <c r="AK136" i="71" s="1"/>
  <c r="AM67" i="71"/>
  <c r="AN60" i="72"/>
  <c r="AM57" i="72"/>
  <c r="AM64" i="71" s="1"/>
  <c r="AL62" i="71"/>
  <c r="AN53" i="72"/>
  <c r="AM58" i="71"/>
  <c r="AM50" i="72"/>
  <c r="AM55" i="71" s="1"/>
  <c r="AL132" i="71"/>
  <c r="AM119" i="72"/>
  <c r="AL116" i="72"/>
  <c r="AL129" i="71" s="1"/>
  <c r="AL71" i="71"/>
  <c r="AL136" i="71" l="1"/>
  <c r="AM71" i="71"/>
  <c r="AM116" i="72"/>
  <c r="AM129" i="71" s="1"/>
  <c r="AM132" i="71"/>
  <c r="AN119" i="72"/>
  <c r="AM62" i="71"/>
  <c r="AM141" i="71"/>
  <c r="AN126" i="72"/>
  <c r="AM123" i="72"/>
  <c r="AM138" i="71" s="1"/>
  <c r="AO53" i="72"/>
  <c r="AN50" i="72"/>
  <c r="AN55" i="71" s="1"/>
  <c r="AN58" i="71"/>
  <c r="AO60" i="72"/>
  <c r="AN67" i="71"/>
  <c r="AN57" i="72"/>
  <c r="AN64" i="71" s="1"/>
  <c r="AL145" i="71"/>
  <c r="AP53" i="72" l="1"/>
  <c r="AO58" i="71"/>
  <c r="AO50" i="72"/>
  <c r="AO55" i="71" s="1"/>
  <c r="AM145" i="71"/>
  <c r="AP60" i="72"/>
  <c r="AO67" i="71"/>
  <c r="AO57" i="72"/>
  <c r="AO64" i="71" s="1"/>
  <c r="AN132" i="71"/>
  <c r="AN116" i="72"/>
  <c r="AN129" i="71" s="1"/>
  <c r="AO119" i="72"/>
  <c r="AO126" i="72"/>
  <c r="AN141" i="71"/>
  <c r="AN123" i="72"/>
  <c r="AN138" i="71" s="1"/>
  <c r="AN71" i="71"/>
  <c r="AN62" i="71"/>
  <c r="AM136" i="71"/>
  <c r="AN136" i="71" l="1"/>
  <c r="AO71" i="71"/>
  <c r="AP67" i="71"/>
  <c r="AQ60" i="72"/>
  <c r="AP57" i="72"/>
  <c r="BJ60" i="72"/>
  <c r="BJ67" i="71" s="1"/>
  <c r="AN145" i="71"/>
  <c r="AO123" i="72"/>
  <c r="AO138" i="71" s="1"/>
  <c r="AP126" i="72"/>
  <c r="AO141" i="71"/>
  <c r="AP119" i="72"/>
  <c r="AO132" i="71"/>
  <c r="AO116" i="72"/>
  <c r="AO129" i="71" s="1"/>
  <c r="AO62" i="71"/>
  <c r="AP58" i="71"/>
  <c r="AP50" i="72"/>
  <c r="AQ53" i="72"/>
  <c r="BJ53" i="72"/>
  <c r="BJ58" i="71" s="1"/>
  <c r="AP64" i="71" l="1"/>
  <c r="AP71" i="71" s="1"/>
  <c r="BJ57" i="72"/>
  <c r="BJ64" i="71" s="1"/>
  <c r="BJ71" i="71" s="1"/>
  <c r="AQ50" i="72"/>
  <c r="AQ55" i="71" s="1"/>
  <c r="AQ58" i="71"/>
  <c r="AR53" i="72"/>
  <c r="AP123" i="72"/>
  <c r="BJ126" i="72"/>
  <c r="BJ141" i="71" s="1"/>
  <c r="AQ126" i="72"/>
  <c r="AP141" i="71"/>
  <c r="AP55" i="71"/>
  <c r="AP62" i="71" s="1"/>
  <c r="BJ50" i="72"/>
  <c r="BJ55" i="71" s="1"/>
  <c r="BJ62" i="71" s="1"/>
  <c r="AO136" i="71"/>
  <c r="AQ57" i="72"/>
  <c r="AQ64" i="71" s="1"/>
  <c r="AQ67" i="71"/>
  <c r="AR60" i="72"/>
  <c r="AP132" i="71"/>
  <c r="AP116" i="72"/>
  <c r="BJ119" i="72"/>
  <c r="BJ132" i="71" s="1"/>
  <c r="AQ119" i="72"/>
  <c r="AO145" i="71"/>
  <c r="AQ62" i="71" l="1"/>
  <c r="AQ71" i="71"/>
  <c r="AR119" i="72"/>
  <c r="AQ132" i="71"/>
  <c r="AQ116" i="72"/>
  <c r="AQ129" i="71" s="1"/>
  <c r="AP138" i="71"/>
  <c r="AP145" i="71" s="1"/>
  <c r="BJ123" i="72"/>
  <c r="BJ138" i="71" s="1"/>
  <c r="BJ145" i="71" s="1"/>
  <c r="AQ141" i="71"/>
  <c r="AQ123" i="72"/>
  <c r="AQ138" i="71" s="1"/>
  <c r="AR126" i="72"/>
  <c r="AR67" i="71"/>
  <c r="AS60" i="72"/>
  <c r="AR57" i="72"/>
  <c r="AR64" i="71" s="1"/>
  <c r="AR50" i="72"/>
  <c r="AR55" i="71" s="1"/>
  <c r="AR58" i="71"/>
  <c r="AS53" i="72"/>
  <c r="BJ116" i="72"/>
  <c r="BJ129" i="71" s="1"/>
  <c r="BJ136" i="71" s="1"/>
  <c r="AP129" i="71"/>
  <c r="AP136" i="71" s="1"/>
  <c r="AR62" i="71" l="1"/>
  <c r="AS58" i="71"/>
  <c r="AS50" i="72"/>
  <c r="AS55" i="71" s="1"/>
  <c r="AT53" i="72"/>
  <c r="AS67" i="71"/>
  <c r="AS57" i="72"/>
  <c r="AS64" i="71" s="1"/>
  <c r="AT60" i="72"/>
  <c r="AQ136" i="71"/>
  <c r="AQ145" i="71"/>
  <c r="AR71" i="71"/>
  <c r="AS126" i="72"/>
  <c r="AR141" i="71"/>
  <c r="AR123" i="72"/>
  <c r="AR138" i="71" s="1"/>
  <c r="AR116" i="72"/>
  <c r="AR129" i="71" s="1"/>
  <c r="AS119" i="72"/>
  <c r="AR132" i="71"/>
  <c r="AR136" i="71" l="1"/>
  <c r="AS132" i="71"/>
  <c r="AT119" i="72"/>
  <c r="AS116" i="72"/>
  <c r="AS129" i="71" s="1"/>
  <c r="AS71" i="71"/>
  <c r="AU53" i="72"/>
  <c r="AT50" i="72"/>
  <c r="AT55" i="71" s="1"/>
  <c r="AT58" i="71"/>
  <c r="AR145" i="71"/>
  <c r="AT126" i="72"/>
  <c r="AS123" i="72"/>
  <c r="AS138" i="71" s="1"/>
  <c r="AS141" i="71"/>
  <c r="AU60" i="72"/>
  <c r="AT67" i="71"/>
  <c r="AT57" i="72"/>
  <c r="AT64" i="71" s="1"/>
  <c r="AS62" i="71"/>
  <c r="AT62" i="71" l="1"/>
  <c r="BK60" i="72"/>
  <c r="BK67" i="71" s="1"/>
  <c r="AU57" i="72"/>
  <c r="AV60" i="72"/>
  <c r="AU67" i="71"/>
  <c r="AU119" i="72"/>
  <c r="AT132" i="71"/>
  <c r="AT116" i="72"/>
  <c r="AT129" i="71" s="1"/>
  <c r="AT71" i="71"/>
  <c r="AU58" i="71"/>
  <c r="AV53" i="72"/>
  <c r="AU50" i="72"/>
  <c r="BK53" i="72"/>
  <c r="BK58" i="71" s="1"/>
  <c r="AS145" i="71"/>
  <c r="AU126" i="72"/>
  <c r="AT141" i="71"/>
  <c r="AT123" i="72"/>
  <c r="AT138" i="71" s="1"/>
  <c r="AS136" i="71"/>
  <c r="AT145" i="71" l="1"/>
  <c r="AT136" i="71"/>
  <c r="AU123" i="72"/>
  <c r="BK126" i="72"/>
  <c r="BK141" i="71" s="1"/>
  <c r="AU141" i="71"/>
  <c r="AV126" i="72"/>
  <c r="BK119" i="72"/>
  <c r="BK132" i="71" s="1"/>
  <c r="AU132" i="71"/>
  <c r="AV119" i="72"/>
  <c r="AU116" i="72"/>
  <c r="AV57" i="72"/>
  <c r="AV64" i="71" s="1"/>
  <c r="AV67" i="71"/>
  <c r="AW60" i="72"/>
  <c r="BK50" i="72"/>
  <c r="BK55" i="71" s="1"/>
  <c r="BK62" i="71" s="1"/>
  <c r="AU55" i="71"/>
  <c r="AU62" i="71" s="1"/>
  <c r="AV50" i="72"/>
  <c r="AV55" i="71" s="1"/>
  <c r="AV58" i="71"/>
  <c r="AW53" i="72"/>
  <c r="BK57" i="72"/>
  <c r="BK64" i="71" s="1"/>
  <c r="BK71" i="71" s="1"/>
  <c r="AU64" i="71"/>
  <c r="AU71" i="71" s="1"/>
  <c r="AV71" i="71" l="1"/>
  <c r="AV62" i="71"/>
  <c r="AV141" i="71"/>
  <c r="AW126" i="72"/>
  <c r="AV123" i="72"/>
  <c r="AV138" i="71" s="1"/>
  <c r="AX60" i="72"/>
  <c r="AW67" i="71"/>
  <c r="AW57" i="72"/>
  <c r="AW64" i="71" s="1"/>
  <c r="BK123" i="72"/>
  <c r="BK138" i="71" s="1"/>
  <c r="BK145" i="71" s="1"/>
  <c r="AU138" i="71"/>
  <c r="AU145" i="71" s="1"/>
  <c r="AV116" i="72"/>
  <c r="AV129" i="71" s="1"/>
  <c r="AV132" i="71"/>
  <c r="AW119" i="72"/>
  <c r="AW58" i="71"/>
  <c r="AX53" i="72"/>
  <c r="AW50" i="72"/>
  <c r="AW55" i="71" s="1"/>
  <c r="AU129" i="71"/>
  <c r="AU136" i="71" s="1"/>
  <c r="BK116" i="72"/>
  <c r="BK129" i="71" s="1"/>
  <c r="BK136" i="71" s="1"/>
  <c r="AW71" i="71" l="1"/>
  <c r="AX67" i="71"/>
  <c r="AY60" i="72"/>
  <c r="AX57" i="72"/>
  <c r="AX64" i="71" s="1"/>
  <c r="AX50" i="72"/>
  <c r="AX55" i="71" s="1"/>
  <c r="AX58" i="71"/>
  <c r="AY53" i="72"/>
  <c r="AW62" i="71"/>
  <c r="AW132" i="71"/>
  <c r="AX119" i="72"/>
  <c r="AW116" i="72"/>
  <c r="AW129" i="71" s="1"/>
  <c r="AV136" i="71"/>
  <c r="AW123" i="72"/>
  <c r="AW138" i="71" s="1"/>
  <c r="AX126" i="72"/>
  <c r="AW141" i="71"/>
  <c r="AV145" i="71"/>
  <c r="AW145" i="71" l="1"/>
  <c r="AX62" i="71"/>
  <c r="AZ53" i="72"/>
  <c r="AY58" i="71"/>
  <c r="AY50" i="72"/>
  <c r="AY55" i="71" s="1"/>
  <c r="AY57" i="72"/>
  <c r="AY64" i="71" s="1"/>
  <c r="AZ60" i="72"/>
  <c r="AY67" i="71"/>
  <c r="AX116" i="72"/>
  <c r="AX129" i="71" s="1"/>
  <c r="AX132" i="71"/>
  <c r="AY119" i="72"/>
  <c r="AX71" i="71"/>
  <c r="AX141" i="71"/>
  <c r="AY126" i="72"/>
  <c r="AX123" i="72"/>
  <c r="AX138" i="71" s="1"/>
  <c r="AW136" i="71"/>
  <c r="AY62" i="71" l="1"/>
  <c r="AY71" i="71"/>
  <c r="AX136" i="71"/>
  <c r="BL60" i="72"/>
  <c r="BL67" i="71" s="1"/>
  <c r="AZ67" i="71"/>
  <c r="BA60" i="72"/>
  <c r="AZ57" i="72"/>
  <c r="AX145" i="71"/>
  <c r="AY123" i="72"/>
  <c r="AY138" i="71" s="1"/>
  <c r="AY141" i="71"/>
  <c r="AZ126" i="72"/>
  <c r="AY132" i="71"/>
  <c r="AZ119" i="72"/>
  <c r="AY116" i="72"/>
  <c r="AY129" i="71" s="1"/>
  <c r="AZ50" i="72"/>
  <c r="BA53" i="72"/>
  <c r="AZ58" i="71"/>
  <c r="BL53" i="72"/>
  <c r="BL58" i="71" s="1"/>
  <c r="AY145" i="71" l="1"/>
  <c r="AY136" i="71"/>
  <c r="BB53" i="72"/>
  <c r="BA58" i="71"/>
  <c r="BA50" i="72"/>
  <c r="BA55" i="71" s="1"/>
  <c r="AZ141" i="71"/>
  <c r="AZ123" i="72"/>
  <c r="BA126" i="72"/>
  <c r="BL126" i="72"/>
  <c r="BL141" i="71" s="1"/>
  <c r="BL50" i="72"/>
  <c r="BL55" i="71" s="1"/>
  <c r="BL62" i="71" s="1"/>
  <c r="AZ55" i="71"/>
  <c r="AZ62" i="71" s="1"/>
  <c r="BL57" i="72"/>
  <c r="BL64" i="71" s="1"/>
  <c r="BL71" i="71" s="1"/>
  <c r="AZ64" i="71"/>
  <c r="AZ71" i="71" s="1"/>
  <c r="BA67" i="71"/>
  <c r="BB60" i="72"/>
  <c r="BA57" i="72"/>
  <c r="BA64" i="71" s="1"/>
  <c r="AZ132" i="71"/>
  <c r="BA119" i="72"/>
  <c r="AZ116" i="72"/>
  <c r="BL119" i="72"/>
  <c r="BL132" i="71" s="1"/>
  <c r="BA71" i="71" l="1"/>
  <c r="BA62" i="71"/>
  <c r="BA123" i="72"/>
  <c r="BA138" i="71" s="1"/>
  <c r="BB126" i="72"/>
  <c r="BA141" i="71"/>
  <c r="BC60" i="72"/>
  <c r="BB67" i="71"/>
  <c r="BB57" i="72"/>
  <c r="BB64" i="71" s="1"/>
  <c r="BL123" i="72"/>
  <c r="BL138" i="71" s="1"/>
  <c r="BL145" i="71" s="1"/>
  <c r="AZ138" i="71"/>
  <c r="AZ145" i="71" s="1"/>
  <c r="BA132" i="71"/>
  <c r="BB119" i="72"/>
  <c r="BA116" i="72"/>
  <c r="BA129" i="71" s="1"/>
  <c r="AZ129" i="71"/>
  <c r="AZ136" i="71" s="1"/>
  <c r="BL116" i="72"/>
  <c r="BL129" i="71" s="1"/>
  <c r="BL136" i="71" s="1"/>
  <c r="BB58" i="71"/>
  <c r="BC53" i="72"/>
  <c r="BB50" i="72"/>
  <c r="BB55" i="71" s="1"/>
  <c r="BA145" i="71" l="1"/>
  <c r="BD53" i="72"/>
  <c r="BC50" i="72"/>
  <c r="BC55" i="71" s="1"/>
  <c r="BC58" i="71"/>
  <c r="BC57" i="72"/>
  <c r="BC64" i="71" s="1"/>
  <c r="BC67" i="71"/>
  <c r="BD60" i="72"/>
  <c r="BB62" i="71"/>
  <c r="BB71" i="71"/>
  <c r="BC119" i="72"/>
  <c r="BB132" i="71"/>
  <c r="BB116" i="72"/>
  <c r="BB129" i="71" s="1"/>
  <c r="BB123" i="72"/>
  <c r="BB138" i="71" s="1"/>
  <c r="BB141" i="71"/>
  <c r="BC126" i="72"/>
  <c r="BA136" i="71"/>
  <c r="BB145" i="71" l="1"/>
  <c r="BC71" i="71"/>
  <c r="BC141" i="71"/>
  <c r="BD126" i="72"/>
  <c r="BC123" i="72"/>
  <c r="BC138" i="71" s="1"/>
  <c r="BD67" i="71"/>
  <c r="BE60" i="72"/>
  <c r="BD57" i="72"/>
  <c r="BD64" i="71" s="1"/>
  <c r="BC62" i="71"/>
  <c r="BB136" i="71"/>
  <c r="BC132" i="71"/>
  <c r="BD119" i="72"/>
  <c r="BC116" i="72"/>
  <c r="BC129" i="71" s="1"/>
  <c r="BD58" i="71"/>
  <c r="BE53" i="72"/>
  <c r="BD50" i="72"/>
  <c r="BD55" i="71" s="1"/>
  <c r="BE50" i="72" l="1"/>
  <c r="BE58" i="71"/>
  <c r="BM53" i="72"/>
  <c r="BM58" i="71" s="1"/>
  <c r="BE57" i="72"/>
  <c r="BE67" i="71"/>
  <c r="BM60" i="72"/>
  <c r="BM67" i="71" s="1"/>
  <c r="BD71" i="71"/>
  <c r="BD123" i="72"/>
  <c r="BD138" i="71" s="1"/>
  <c r="BD141" i="71"/>
  <c r="BE126" i="72"/>
  <c r="BD62" i="71"/>
  <c r="BD116" i="72"/>
  <c r="BD129" i="71" s="1"/>
  <c r="BE119" i="72"/>
  <c r="BD132" i="71"/>
  <c r="BC136" i="71"/>
  <c r="BC145" i="71"/>
  <c r="BD136" i="71" l="1"/>
  <c r="BE116" i="72"/>
  <c r="BM119" i="72"/>
  <c r="BM132" i="71" s="1"/>
  <c r="BE132" i="71"/>
  <c r="BM57" i="72"/>
  <c r="BM64" i="71" s="1"/>
  <c r="BM71" i="71" s="1"/>
  <c r="BE64" i="71"/>
  <c r="BE71" i="71" s="1"/>
  <c r="BM126" i="72"/>
  <c r="BM141" i="71" s="1"/>
  <c r="BE141" i="71"/>
  <c r="BE123" i="72"/>
  <c r="BD145" i="71"/>
  <c r="BM50" i="72"/>
  <c r="BM55" i="71" s="1"/>
  <c r="BM62" i="71" s="1"/>
  <c r="BE55" i="71"/>
  <c r="BE62" i="71" s="1"/>
  <c r="A62" i="71" l="1"/>
  <c r="A71" i="71"/>
  <c r="BE138" i="71"/>
  <c r="BE145" i="71" s="1"/>
  <c r="BM123" i="72"/>
  <c r="BM138" i="71" s="1"/>
  <c r="BM145" i="71" s="1"/>
  <c r="A145" i="71" s="1"/>
  <c r="BE129" i="71"/>
  <c r="BE136" i="71" s="1"/>
  <c r="BM116" i="72"/>
  <c r="BM129" i="71" s="1"/>
  <c r="BM136" i="71" s="1"/>
  <c r="A136" i="71" s="1"/>
  <c r="A8" i="71" l="1"/>
  <c r="H21" i="12" s="1"/>
  <c r="H27" i="12" s="1"/>
  <c r="G52" i="59" s="1"/>
  <c r="C5" i="12" s="1"/>
  <c r="C5" i="71" l="1"/>
  <c r="C5" i="67"/>
  <c r="C5" i="62"/>
  <c r="C5" i="68"/>
  <c r="C5" i="59"/>
  <c r="C5" i="72"/>
  <c r="C5" i="64"/>
  <c r="C5" i="65"/>
  <c r="C5" i="74"/>
  <c r="C5" i="75"/>
  <c r="C5" i="61"/>
  <c r="C5" i="3"/>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<sst xmlns="http://schemas.openxmlformats.org/spreadsheetml/2006/main" count="1103" uniqueCount="437">
  <si>
    <t>Date</t>
  </si>
  <si>
    <t>Calculations</t>
  </si>
  <si>
    <t>Label</t>
  </si>
  <si>
    <t>Project Name</t>
  </si>
  <si>
    <t>Model Owner</t>
  </si>
  <si>
    <t>Units</t>
  </si>
  <si>
    <t>#</t>
  </si>
  <si>
    <t>%</t>
  </si>
  <si>
    <t>END OF WORKSHEET - INSERT ROWS ABOVE</t>
  </si>
  <si>
    <t>Timeline</t>
  </si>
  <si>
    <t>Annual</t>
  </si>
  <si>
    <t>Year index</t>
  </si>
  <si>
    <t>Relative period</t>
  </si>
  <si>
    <t>Period index</t>
  </si>
  <si>
    <t>Period Start</t>
  </si>
  <si>
    <t>Period End</t>
  </si>
  <si>
    <t>cstMil</t>
  </si>
  <si>
    <t>cstThou</t>
  </si>
  <si>
    <t>cstDaysInWk</t>
  </si>
  <si>
    <t>cstWeeksInYr</t>
  </si>
  <si>
    <t>cstMonthsInQtr</t>
  </si>
  <si>
    <t>cstMonthsInYr</t>
  </si>
  <si>
    <t>SysTime</t>
  </si>
  <si>
    <t>SysConfig</t>
  </si>
  <si>
    <t>Errors</t>
  </si>
  <si>
    <t>Warnings</t>
  </si>
  <si>
    <t>Master Control Check</t>
  </si>
  <si>
    <t>sysChkWord</t>
  </si>
  <si>
    <t>cstProjectName</t>
  </si>
  <si>
    <t>Name</t>
  </si>
  <si>
    <t>rngNamedRanges</t>
  </si>
  <si>
    <t>sysChk</t>
  </si>
  <si>
    <t>sysWarn</t>
  </si>
  <si>
    <t>Worksheet</t>
  </si>
  <si>
    <t>Contents</t>
  </si>
  <si>
    <t>Link</t>
  </si>
  <si>
    <t>Sheet Description</t>
  </si>
  <si>
    <t>INSERT NEW ROWS ABOVE THIS ROW</t>
  </si>
  <si>
    <t>rngContents</t>
  </si>
  <si>
    <t>Error Tolerance</t>
  </si>
  <si>
    <t>eTol</t>
  </si>
  <si>
    <t>Error Check Wording</t>
  </si>
  <si>
    <t>Staff Costs</t>
  </si>
  <si>
    <t>rngChangeLog</t>
  </si>
  <si>
    <t>rngNewChange</t>
  </si>
  <si>
    <t>Model Map</t>
  </si>
  <si>
    <t>The map below indicates the flow between worksheets within the Model</t>
  </si>
  <si>
    <t>Model Developer</t>
  </si>
  <si>
    <t>Address</t>
  </si>
  <si>
    <t>Purpose</t>
  </si>
  <si>
    <t>Million constant</t>
  </si>
  <si>
    <t>Number of months in quarter constant</t>
  </si>
  <si>
    <t>Number of months in year constant</t>
  </si>
  <si>
    <t>Name of Project</t>
  </si>
  <si>
    <t>Thousand constant</t>
  </si>
  <si>
    <t>Number of weeks in year constant</t>
  </si>
  <si>
    <t>Error Tolerance constant</t>
  </si>
  <si>
    <t>Change Log range</t>
  </si>
  <si>
    <t>Contents Page range</t>
  </si>
  <si>
    <t>This table</t>
  </si>
  <si>
    <t>Change Log new change entry range</t>
  </si>
  <si>
    <t>Number of Errors in model</t>
  </si>
  <si>
    <t>Master Error Check wording</t>
  </si>
  <si>
    <t>Number of Warnings in model</t>
  </si>
  <si>
    <t>Model setup sheet including lists, named ranges and constants</t>
  </si>
  <si>
    <t>rngBoA</t>
  </si>
  <si>
    <t>BoA / DL Ref</t>
  </si>
  <si>
    <t>IMA Score</t>
  </si>
  <si>
    <t>General Details</t>
  </si>
  <si>
    <t>Contact Details</t>
  </si>
  <si>
    <t>Protective Marking</t>
  </si>
  <si>
    <t>cstProtectiveMarking</t>
  </si>
  <si>
    <t>Protective Marking wording</t>
  </si>
  <si>
    <t>Book of Assumptions / Data Log range</t>
  </si>
  <si>
    <t>Model Start Date (dd/mm/yy)</t>
  </si>
  <si>
    <t>Note - the timeline start date is updated on the SysConfig sheet (see Section 2 Setup / Model Start Date)</t>
  </si>
  <si>
    <t>Contracting Authority</t>
  </si>
  <si>
    <t xml:space="preserve">Planned Maximum Annual Call Volume Capacity </t>
  </si>
  <si>
    <t>Scenario A</t>
  </si>
  <si>
    <t>Scenario B</t>
  </si>
  <si>
    <t>Scenario C</t>
  </si>
  <si>
    <t>Time Independent</t>
  </si>
  <si>
    <t>Inflation Rate</t>
  </si>
  <si>
    <t>Call Volumes (All Options)</t>
  </si>
  <si>
    <t>Planned Call Volumes</t>
  </si>
  <si>
    <t>Staffing Inputs</t>
  </si>
  <si>
    <t>Agents</t>
  </si>
  <si>
    <t>Annualised Hours &amp; Productivity</t>
  </si>
  <si>
    <t>Agent to Supervisor Ratio</t>
  </si>
  <si>
    <t>2.3 Admin &amp; Support</t>
  </si>
  <si>
    <t>Staff Numbers</t>
  </si>
  <si>
    <t>Reception &amp; Admin Support</t>
  </si>
  <si>
    <t>IT Support</t>
  </si>
  <si>
    <t>Office Manager</t>
  </si>
  <si>
    <t>Office Deputy</t>
  </si>
  <si>
    <t>2.4 Staff Costs by Role</t>
  </si>
  <si>
    <t>Fully Loaded Annual Staff Costs by Role</t>
  </si>
  <si>
    <t>Supervisors</t>
  </si>
  <si>
    <t>Software</t>
  </si>
  <si>
    <t>Application Cost</t>
  </si>
  <si>
    <t>Vendor Support &amp; Maintenance</t>
  </si>
  <si>
    <t>Cost per License per Year</t>
  </si>
  <si>
    <t>Hardware</t>
  </si>
  <si>
    <t>Initial Capital Cost</t>
  </si>
  <si>
    <t>Replacement Factor</t>
  </si>
  <si>
    <t>Replacement Periodicity</t>
  </si>
  <si>
    <t>Yrs</t>
  </si>
  <si>
    <t>Implementation</t>
  </si>
  <si>
    <t>Initial Cost</t>
  </si>
  <si>
    <t>Periodic Training</t>
  </si>
  <si>
    <t>Periodic Factor</t>
  </si>
  <si>
    <t>Periodicity</t>
  </si>
  <si>
    <t>Annual Cost per User</t>
  </si>
  <si>
    <t>Infrastructure &amp; Maintenance</t>
  </si>
  <si>
    <t>Cost per User per Year</t>
  </si>
  <si>
    <t>3.3 Backup Power</t>
  </si>
  <si>
    <t>Standby Generator Costs</t>
  </si>
  <si>
    <t>Installation &amp; Maintenance</t>
  </si>
  <si>
    <t>Software &amp; Hardware Costs (Lease &amp; Operate and Build &amp; Operate Options)</t>
  </si>
  <si>
    <t>Telephony Costs</t>
  </si>
  <si>
    <t>Cost per Call Hour</t>
  </si>
  <si>
    <t>Lease Costs</t>
  </si>
  <si>
    <t>Cost per FTE per Year</t>
  </si>
  <si>
    <t>Floor Area</t>
  </si>
  <si>
    <t>6.2 Design &amp; Build Costs</t>
  </si>
  <si>
    <t>Design Costs</t>
  </si>
  <si>
    <t>Build Costs</t>
  </si>
  <si>
    <t>Substructure</t>
  </si>
  <si>
    <t>Frame</t>
  </si>
  <si>
    <t>Upper Floors</t>
  </si>
  <si>
    <t>Roof</t>
  </si>
  <si>
    <t>Stairs</t>
  </si>
  <si>
    <t>Ext Walls, Windows &amp; Doors</t>
  </si>
  <si>
    <t>Int Walls &amp; Partitions</t>
  </si>
  <si>
    <t>Int Doors</t>
  </si>
  <si>
    <t>Wall Finishes</t>
  </si>
  <si>
    <t>Floor Finishes</t>
  </si>
  <si>
    <t>Ceiling Finishes</t>
  </si>
  <si>
    <t>Furniture &amp; Fittings</t>
  </si>
  <si>
    <t>Sanitary Fittings</t>
  </si>
  <si>
    <t>Services Equipment</t>
  </si>
  <si>
    <t>Water Installations</t>
  </si>
  <si>
    <t>Space Heating &amp; Air Treatment</t>
  </si>
  <si>
    <t>Electrical Installations</t>
  </si>
  <si>
    <t>Lift Installations</t>
  </si>
  <si>
    <t>Protective Installations</t>
  </si>
  <si>
    <t>Special Installations</t>
  </si>
  <si>
    <t>Builders Work in Connection</t>
  </si>
  <si>
    <t>Preliminaries &amp; Contingencies</t>
  </si>
  <si>
    <t>Spare</t>
  </si>
  <si>
    <t>Site Preparation Costs</t>
  </si>
  <si>
    <t>Site Preparation</t>
  </si>
  <si>
    <t>6.3 Facilities Management Costs</t>
  </si>
  <si>
    <t>Annual FM Costs</t>
  </si>
  <si>
    <t>Maintenance &amp; Repair</t>
  </si>
  <si>
    <t>Utilities</t>
  </si>
  <si>
    <t>Cleaning</t>
  </si>
  <si>
    <t>Operating Costs (Outsource Option)</t>
  </si>
  <si>
    <t>Lease Costs (Lease &amp; Operate)</t>
  </si>
  <si>
    <t>Build &amp; Maintenance Costs (Build &amp; Operate Option)</t>
  </si>
  <si>
    <t>Annual Operating Costs</t>
  </si>
  <si>
    <t>Office Footprint</t>
  </si>
  <si>
    <t>Annual Serviced Office Costs</t>
  </si>
  <si>
    <t>Annual Inflation Rates</t>
  </si>
  <si>
    <t>Wage Inflation</t>
  </si>
  <si>
    <t>Inflation Type C</t>
  </si>
  <si>
    <t>Inflation Type D</t>
  </si>
  <si>
    <t>Inflation Type E</t>
  </si>
  <si>
    <t>Treasury Rates</t>
  </si>
  <si>
    <t>GDP Deflator (General Price Inflation)</t>
  </si>
  <si>
    <t>Treasury Real Discount Rate</t>
  </si>
  <si>
    <t>Inflation Assumptions</t>
  </si>
  <si>
    <t>Discount Factors</t>
  </si>
  <si>
    <t>Indexes</t>
  </si>
  <si>
    <t>Call-Ups</t>
  </si>
  <si>
    <t>Call Volumes</t>
  </si>
  <si>
    <t>Planned Maximum Call Volumes Scenario</t>
  </si>
  <si>
    <t>Planned Maximum Call Volumes Scenarios</t>
  </si>
  <si>
    <t>Active Scenario</t>
  </si>
  <si>
    <t>Setup</t>
  </si>
  <si>
    <t>Named Ranges List</t>
  </si>
  <si>
    <t>Error Check Settings</t>
  </si>
  <si>
    <t>cstHours</t>
  </si>
  <si>
    <t>cstNum</t>
  </si>
  <si>
    <t>cstPercent</t>
  </si>
  <si>
    <t>cstRealUnit</t>
  </si>
  <si>
    <t>cstYears</t>
  </si>
  <si>
    <t>cstArea</t>
  </si>
  <si>
    <t>m2</t>
  </si>
  <si>
    <t>cstFTE</t>
  </si>
  <si>
    <t>FTE</t>
  </si>
  <si>
    <t>Lists</t>
  </si>
  <si>
    <t>Named Constants</t>
  </si>
  <si>
    <t>Planned Maximum Call Volume Scenarios</t>
  </si>
  <si>
    <t>Cost Scenarios</t>
  </si>
  <si>
    <t>High Case</t>
  </si>
  <si>
    <t>Base Case</t>
  </si>
  <si>
    <t>Low Case</t>
  </si>
  <si>
    <t>Planned Maximum Annual Call Volume Capacity</t>
  </si>
  <si>
    <t>Annual Call Volumes</t>
  </si>
  <si>
    <t>Staff Volumes</t>
  </si>
  <si>
    <t>Agent Annualised Hours</t>
  </si>
  <si>
    <t>Agent Productivity Rate</t>
  </si>
  <si>
    <t>Number of Agents</t>
  </si>
  <si>
    <t>Active Number of Agents</t>
  </si>
  <si>
    <t>Number of Supervisors</t>
  </si>
  <si>
    <t>Active Number of Supervisors</t>
  </si>
  <si>
    <t>Agent &amp; Support Staff</t>
  </si>
  <si>
    <t>Number of Admin &amp; Support Staff</t>
  </si>
  <si>
    <t>Office Capacity</t>
  </si>
  <si>
    <t>Building Size</t>
  </si>
  <si>
    <t>Scenarios</t>
  </si>
  <si>
    <t>Active Scenarios</t>
  </si>
  <si>
    <t>Cost Scenario</t>
  </si>
  <si>
    <t>Operating Costs</t>
  </si>
  <si>
    <t>Cost Per Call Hour</t>
  </si>
  <si>
    <t>Hrs</t>
  </si>
  <si>
    <t>Calculations (Real)</t>
  </si>
  <si>
    <t>Calculations (Nominal)</t>
  </si>
  <si>
    <t>Inflation Call-Ups</t>
  </si>
  <si>
    <t>Admin &amp; Support Staff Costs</t>
  </si>
  <si>
    <t>Reception &amp; Admin Support Salary Cost</t>
  </si>
  <si>
    <t>IT Support Salary Cost</t>
  </si>
  <si>
    <t>Office Manager Salary Cost</t>
  </si>
  <si>
    <t>Office Deputy Salary Cost</t>
  </si>
  <si>
    <t>Agents Salary Cost</t>
  </si>
  <si>
    <t>Supervisors Salary Cost</t>
  </si>
  <si>
    <t>Software &amp; Hardware Costs</t>
  </si>
  <si>
    <t>Initial Hardware Cost</t>
  </si>
  <si>
    <t>Vendor Support &amp; Maintenance Cost</t>
  </si>
  <si>
    <t>Number of Active Agents</t>
  </si>
  <si>
    <t>Licence Costs</t>
  </si>
  <si>
    <t>Hardware Costs</t>
  </si>
  <si>
    <t>Implementation Costs</t>
  </si>
  <si>
    <t>Initial Implementation Cost</t>
  </si>
  <si>
    <t>IT Support Cost</t>
  </si>
  <si>
    <t>Office Manager Cost</t>
  </si>
  <si>
    <t>Office Deputy Cost</t>
  </si>
  <si>
    <t>Reception &amp; Admin Support Cost</t>
  </si>
  <si>
    <t>Training Costs</t>
  </si>
  <si>
    <t>Annual Training Costs</t>
  </si>
  <si>
    <t>Fixed Training Costs</t>
  </si>
  <si>
    <t>Software Costs</t>
  </si>
  <si>
    <t>IT Infrastructure &amp; Maintenance Costs</t>
  </si>
  <si>
    <t>Annualised Serviced Office Costs</t>
  </si>
  <si>
    <t>Build &amp; Maintenance Costs</t>
  </si>
  <si>
    <t>Design/Build Cost Ratio</t>
  </si>
  <si>
    <t>FM Costs</t>
  </si>
  <si>
    <t>Years per Summary Period</t>
  </si>
  <si>
    <t>Costs by Option (Nominal)</t>
  </si>
  <si>
    <t>In year costs</t>
  </si>
  <si>
    <t>Options</t>
  </si>
  <si>
    <t>Build &amp; Operate</t>
  </si>
  <si>
    <t>Lease &amp; Operate</t>
  </si>
  <si>
    <t>Cumulative Costs</t>
  </si>
  <si>
    <t>Outsource</t>
  </si>
  <si>
    <t>31 Yr Total</t>
  </si>
  <si>
    <t>Average Cost per Call Hour</t>
  </si>
  <si>
    <t>Call Ups</t>
  </si>
  <si>
    <t>SysConfig!$G$38</t>
  </si>
  <si>
    <t>SysConfig!$G$29</t>
  </si>
  <si>
    <t>SysConfig!$G$39</t>
  </si>
  <si>
    <t>SysConfig!$G$43</t>
  </si>
  <si>
    <t>SysConfig!$G$28</t>
  </si>
  <si>
    <t>SysConfig!$G$31</t>
  </si>
  <si>
    <t>SysConfig!$G$32</t>
  </si>
  <si>
    <t>SysConfig!$G$40</t>
  </si>
  <si>
    <t>SysConfig!$G$41</t>
  </si>
  <si>
    <t>SysConfig!$G$12</t>
  </si>
  <si>
    <t>SysConfig!$G$18</t>
  </si>
  <si>
    <t>SysConfig!$G$37</t>
  </si>
  <si>
    <t>SysConfig!$G$30</t>
  </si>
  <si>
    <t>SysConfig!$G$42</t>
  </si>
  <si>
    <t>lstInflationRates</t>
  </si>
  <si>
    <t>lstScenariosCallVolume</t>
  </si>
  <si>
    <t>lstScenariosCost</t>
  </si>
  <si>
    <t>SysConfig!$G$52</t>
  </si>
  <si>
    <t>Costs (Real)</t>
  </si>
  <si>
    <t>Nominal Costs</t>
  </si>
  <si>
    <t>Costs (Nominal)</t>
  </si>
  <si>
    <t>Costs by Option (Real)</t>
  </si>
  <si>
    <t>NPV by Option</t>
  </si>
  <si>
    <t>Net Present Value</t>
  </si>
  <si>
    <t>Not Protectively Marked</t>
  </si>
  <si>
    <t>Agent Staff Costs</t>
  </si>
  <si>
    <t>Supervisor Staff Costs</t>
  </si>
  <si>
    <t>£ Nominal</t>
  </si>
  <si>
    <t>£ 2022/23</t>
  </si>
  <si>
    <t>cstNominalUnit</t>
  </si>
  <si>
    <t>cstConstantUnit</t>
  </si>
  <si>
    <t>£ Real</t>
  </si>
  <si>
    <t>iControl</t>
  </si>
  <si>
    <t>iOptions</t>
  </si>
  <si>
    <t>iIndices</t>
  </si>
  <si>
    <t>cFactors</t>
  </si>
  <si>
    <t>cVolumetrics</t>
  </si>
  <si>
    <t>cCosts</t>
  </si>
  <si>
    <t>cOutputs</t>
  </si>
  <si>
    <t>oFinancials</t>
  </si>
  <si>
    <t>oDashboard</t>
  </si>
  <si>
    <t>Dashboard</t>
  </si>
  <si>
    <t>Date Flags</t>
  </si>
  <si>
    <t>Build Year Flag</t>
  </si>
  <si>
    <t>Hardware Replacement Flag</t>
  </si>
  <si>
    <t>cstFlag</t>
  </si>
  <si>
    <t>Flag</t>
  </si>
  <si>
    <t>Fixed Training Flag</t>
  </si>
  <si>
    <t>Total Staff Costs</t>
  </si>
  <si>
    <t>Total Software &amp; Hardware Costs</t>
  </si>
  <si>
    <t>Software &amp; Hardware Cost Totals</t>
  </si>
  <si>
    <t>Build &amp; Maintenance Totals</t>
  </si>
  <si>
    <t>Annual Call Volume Reduction</t>
  </si>
  <si>
    <t>Medium</t>
  </si>
  <si>
    <t>Introduction</t>
  </si>
  <si>
    <t>General inputs sheet</t>
  </si>
  <si>
    <t>Calculation sheet for indexation calculations</t>
  </si>
  <si>
    <t>Financials output sheet</t>
  </si>
  <si>
    <t>Joe Snow</t>
  </si>
  <si>
    <t>Sydney Jones</t>
  </si>
  <si>
    <t>sourcing.programme@cabinetoffice.gov.uk</t>
  </si>
  <si>
    <t>ActiveCallVolumeScenarioIndex</t>
  </si>
  <si>
    <t>ActiveCostScenarioIndex</t>
  </si>
  <si>
    <t>Comments</t>
  </si>
  <si>
    <t>Staff Space Standard</t>
  </si>
  <si>
    <t>Real Costs</t>
  </si>
  <si>
    <t>Other Inflation</t>
  </si>
  <si>
    <t>3.2 Other IT Costs</t>
  </si>
  <si>
    <t>Calculations (Pre-Inflation)</t>
  </si>
  <si>
    <t>Annual Hours per Agent</t>
  </si>
  <si>
    <t>Error Check</t>
  </si>
  <si>
    <t>Chart Feeds</t>
  </si>
  <si>
    <t>Nominal Costs (Including Inflation) by Option (£m)</t>
  </si>
  <si>
    <t>Operation Flag</t>
  </si>
  <si>
    <t>Operation Commencement Date</t>
  </si>
  <si>
    <t>Licencing per User per Year</t>
  </si>
  <si>
    <t>iControl!$I$14</t>
  </si>
  <si>
    <t>iControl!$I$24</t>
  </si>
  <si>
    <t>SysConfig!$G$46</t>
  </si>
  <si>
    <t>SysConfig!$G$45</t>
  </si>
  <si>
    <t>SysConfig!$G$33</t>
  </si>
  <si>
    <t>SysConfig!$G$44</t>
  </si>
  <si>
    <t>SysConfig!$G$50</t>
  </si>
  <si>
    <t>iIndices!$F$16:$F$20</t>
  </si>
  <si>
    <t>BoA-DL'!$F$12:$Y$50</t>
  </si>
  <si>
    <t>VersionControlLog!$G$20:$Q$25</t>
  </si>
  <si>
    <t>Contents!$E$12:$I$25</t>
  </si>
  <si>
    <t>VersionControlLog!$G$15:$Q$16</t>
  </si>
  <si>
    <t>Contents!$H$27</t>
  </si>
  <si>
    <t>Contents!$I$27</t>
  </si>
  <si>
    <t>Scenario selection</t>
  </si>
  <si>
    <t>Units Constant</t>
  </si>
  <si>
    <t>List inflation rates</t>
  </si>
  <si>
    <t>List scenarios</t>
  </si>
  <si>
    <t>Total Build &amp; Maintenance Costs</t>
  </si>
  <si>
    <t>Introduction to this this case study</t>
  </si>
  <si>
    <t>Scenario selection set up sheet</t>
  </si>
  <si>
    <t>Calculation sheet for volumetrics</t>
  </si>
  <si>
    <t>Calculation sheet for costs</t>
  </si>
  <si>
    <t>Calculation sheet for outputs</t>
  </si>
  <si>
    <t>&lt;&lt;&lt;Select from Drop Down List</t>
  </si>
  <si>
    <t>Spare 1</t>
  </si>
  <si>
    <t>Spare 2</t>
  </si>
  <si>
    <t>Discount Rate</t>
  </si>
  <si>
    <t>Inflation Index</t>
  </si>
  <si>
    <t>Annual Call Volume</t>
  </si>
  <si>
    <t>Annual Inflation Index</t>
  </si>
  <si>
    <t>Nominal Cost by Option</t>
  </si>
  <si>
    <t>Staff Cost Totals (Nominal)</t>
  </si>
  <si>
    <t>CASE</t>
  </si>
  <si>
    <t>First Year of Operation</t>
  </si>
  <si>
    <t>Initial Hardware Costs</t>
  </si>
  <si>
    <t>Replacement Hardware Costs</t>
  </si>
  <si>
    <t>Total Hardware Costs</t>
  </si>
  <si>
    <t>First Period of Operation</t>
  </si>
  <si>
    <t>Implementation Replacement Flag</t>
  </si>
  <si>
    <t>Initial Implementation Costs</t>
  </si>
  <si>
    <t>Implementation Replacement Costs</t>
  </si>
  <si>
    <t>Initial Fixed Training Costs</t>
  </si>
  <si>
    <t>Ongoing Fixed Training Costs</t>
  </si>
  <si>
    <t>Call Volume</t>
  </si>
  <si>
    <t>Chart Labels</t>
  </si>
  <si>
    <t>Call Volumes Scenario</t>
  </si>
  <si>
    <t>Chart Label</t>
  </si>
  <si>
    <t>SysConfig!$F$110:$F$112</t>
  </si>
  <si>
    <t>SysConfig!$F$118:$F$120</t>
  </si>
  <si>
    <t>SysConfig!$F$56:$H$109</t>
  </si>
  <si>
    <t>Number of Days in a week constant</t>
  </si>
  <si>
    <t>1.1</t>
  </si>
  <si>
    <t>2.1</t>
  </si>
  <si>
    <t>2.2</t>
  </si>
  <si>
    <t>3.1</t>
  </si>
  <si>
    <t>4.1</t>
  </si>
  <si>
    <t>5.1</t>
  </si>
  <si>
    <t>6.1</t>
  </si>
  <si>
    <t>1.2</t>
  </si>
  <si>
    <t>4.2</t>
  </si>
  <si>
    <t>4.3</t>
  </si>
  <si>
    <t>4.4</t>
  </si>
  <si>
    <t>5.2</t>
  </si>
  <si>
    <t>5.3</t>
  </si>
  <si>
    <t>5.4</t>
  </si>
  <si>
    <t>6.2</t>
  </si>
  <si>
    <t>6.3</t>
  </si>
  <si>
    <t>6.4</t>
  </si>
  <si>
    <t>6.5</t>
  </si>
  <si>
    <t>6.6</t>
  </si>
  <si>
    <t>7.1</t>
  </si>
  <si>
    <t>8.1</t>
  </si>
  <si>
    <t>8.2</t>
  </si>
  <si>
    <t>8.3</t>
  </si>
  <si>
    <t>8.4</t>
  </si>
  <si>
    <t>2.3</t>
  </si>
  <si>
    <t>3.2</t>
  </si>
  <si>
    <t>3.3</t>
  </si>
  <si>
    <t>7.2</t>
  </si>
  <si>
    <t>Hardware (Terminals &amp; Ancillaries)</t>
  </si>
  <si>
    <t>Disposal Installations</t>
  </si>
  <si>
    <t>Communications Installations</t>
  </si>
  <si>
    <t>Input sheet for indices</t>
  </si>
  <si>
    <t>Should Cost Modelling Case Study - Illustrative SCM</t>
  </si>
  <si>
    <t>HMT Aqua Book</t>
  </si>
  <si>
    <t>HM Treasury’s Macpherson report</t>
  </si>
  <si>
    <t>Green Book</t>
  </si>
  <si>
    <t>SCM Guidance Note</t>
  </si>
  <si>
    <t>SCM Development Guidance</t>
  </si>
  <si>
    <t>SCM Technical Build Guidance</t>
  </si>
  <si>
    <t>SCM Templates &amp; Tools</t>
  </si>
  <si>
    <t>Dashboard including graphic representation of costs</t>
  </si>
  <si>
    <t>The model timeline and timing flags are generated on this sheet</t>
  </si>
  <si>
    <t>Build Costs (cost per total building sqaure metres)</t>
  </si>
  <si>
    <t>% of Application Cost</t>
  </si>
  <si>
    <t>Total</t>
  </si>
  <si>
    <t>Max</t>
  </si>
  <si>
    <t>Annual Call Cost</t>
  </si>
  <si>
    <t>Foreward</t>
  </si>
  <si>
    <t>Named range</t>
  </si>
  <si>
    <t>THIS CASE STUDY MODEL IS FOR ILLUSTRATIVE PURPOSES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</si>
</sst>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_);[Red]\(#,##0\);&quot;-&quot;_);[Red]&quot;Err-&quot;@"/>
    <numFmt numFmtId="165" formatCode="#,##0.00_);[Red]\(#,##0.00\);&quot;-&quot;_);[Red]&quot;Err-&quot;@"/>
    <numFmt numFmtId="166" formatCode="#,##0_);[Red]\(#,##0\);&quot;-&quot;_)"/>
    <numFmt numFmtId="167" formatCode="#,##0.00_);[Red]\(#,##0.00\);&quot;-&quot;_)"/>
    <numFmt numFmtId="168" formatCode="[Red]&quot;!Err!&quot;;[Red]&quot;!Err!&quot;;&quot;OK&quot;"/>
    <numFmt numFmtId="169" formatCode="[Red]&quot;!W!&quot;;[Red]&quot;!W!&quot;;&quot;OK&quot;"/>
    <numFmt numFmtId="170" formatCode="0%_);[Red]\-0%_);\-\%_);[Red]&quot;Err-&quot;@"/>
    <numFmt numFmtId="171" formatCode="0.00%_);[Red]\-0.00%_);\-\%_);[Red]&quot;Err-&quot;@"/>
    <numFmt numFmtId="172" formatCode="0%_);[Red]\-0%_);\-\%_)"/>
    <numFmt numFmtId="173" formatCode="0.00%_);[Red]\-0.00%_);\-\%_)"/>
  </numFmts>
  <fonts count="43">
    <font>
      <sz val="9"/>
      <color theme="1"/>
      <name val="Arial"/>
      <family val="2"/>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9"/>
      <name val="Arial"/>
      <family val="2"/>
    </font>
    <font>
      <sz val="9"/>
      <color theme="1"/>
      <name val="Arial"/>
      <family val="2"/>
    </font>
    <font>
      <sz val="9"/>
      <color rgb="FF009999"/>
      <name val="Arial"/>
      <family val="2"/>
    </font>
    <font>
      <sz val="9"/>
      <color rgb="FF0070C0"/>
      <name val="Arial"/>
      <family val="2"/>
    </font>
    <font>
      <b/>
      <sz val="12"/>
      <color theme="0"/>
      <name val="Arial"/>
      <family val="2"/>
    </font>
    <font>
      <b/>
      <sz val="12"/>
      <color rgb="FFFFFFFF"/>
      <name val="Calibri"/>
      <family val="2"/>
    </font>
    <font>
      <b/>
      <sz val="10"/>
      <color theme="1"/>
      <name val="Arial"/>
      <family val="2"/>
    </font>
    <font>
      <b/>
      <sz val="10"/>
      <color theme="4"/>
      <name val="Arial"/>
      <family val="2"/>
    </font>
    <font>
      <i/>
      <sz val="9"/>
      <color theme="1"/>
      <name val="Arial"/>
      <family val="2"/>
    </font>
    <font>
      <b/>
      <sz val="9"/>
      <color theme="1"/>
      <name val="Arial"/>
      <family val="2"/>
    </font>
    <font>
      <b/>
      <sz val="9"/>
      <color theme="0"/>
      <name val="Arial"/>
      <family val="2"/>
    </font>
    <font>
      <b/>
      <sz val="9"/>
      <color rgb="FF0070C0"/>
      <name val="Arial"/>
      <family val="2"/>
    </font>
    <font>
      <b/>
      <sz val="9"/>
      <name val="Arial"/>
      <family val="2"/>
    </font>
    <font>
      <u/>
      <sz val="9"/>
      <color theme="10"/>
      <name val="Arial"/>
      <family val="2"/>
    </font>
    <font>
      <i/>
      <sz val="9"/>
      <color rgb="FFFF0000"/>
      <name val="Arial"/>
      <family val="2"/>
    </font>
    <font>
      <b/>
      <u/>
      <sz val="9"/>
      <color theme="0"/>
      <name val="Arial"/>
      <family val="2"/>
    </font>
    <font>
      <b/>
      <sz val="10"/>
      <color theme="0"/>
      <name val="Arial"/>
      <family val="2"/>
    </font>
    <font>
      <sz val="10"/>
      <color theme="0"/>
      <name val="Arial"/>
      <family val="2"/>
    </font>
    <font>
      <u/>
      <sz val="10"/>
      <color theme="0"/>
      <name val="Arial"/>
      <family val="2"/>
    </font>
    <font>
      <b/>
      <sz val="12"/>
      <color rgb="FFFFFFFF"/>
      <name val="Arial"/>
      <family val="2"/>
    </font>
    <font>
      <b/>
      <sz val="9"/>
      <color indexed="10"/>
      <name val="Arial"/>
      <family val="2"/>
    </font>
    <font>
      <b/>
      <sz val="8"/>
      <color rgb="FF00B0F0"/>
      <name val="Arial"/>
      <family val="2"/>
    </font>
    <font>
      <sz val="8"/>
      <name val="Arial"/>
      <family val="2"/>
    </font>
    <font>
      <b/>
      <sz val="10"/>
      <color rgb="FF5F5F5F"/>
      <name val="Arial"/>
      <family val="2"/>
    </font>
    <font>
      <b/>
      <sz val="10"/>
      <color rgb="FF57B6B3"/>
      <name val="Arial"/>
      <family val="2"/>
    </font>
  </fonts>
  <fills count="4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lightUp">
        <fgColor theme="0"/>
        <bgColor theme="0" tint="-4.9989318521683403E-2"/>
      </patternFill>
    </fill>
    <fill>
      <patternFill patternType="solid">
        <fgColor rgb="FFCCEEFB"/>
        <bgColor indexed="64"/>
      </patternFill>
    </fill>
    <fill>
      <patternFill patternType="solid">
        <fgColor rgb="FFFFFFCC"/>
        <bgColor indexed="64"/>
      </patternFill>
    </fill>
    <fill>
      <patternFill patternType="solid">
        <fgColor theme="1"/>
        <bgColor indexed="64"/>
      </patternFill>
    </fill>
    <fill>
      <patternFill patternType="solid">
        <fgColor rgb="FF57B6B3"/>
        <bgColor rgb="FF000000"/>
      </patternFill>
    </fill>
    <fill>
      <patternFill patternType="solid">
        <fgColor rgb="FF5E6D75"/>
        <bgColor indexed="64"/>
      </patternFill>
    </fill>
    <fill>
      <patternFill patternType="lightUp">
        <fgColor theme="0"/>
        <bgColor theme="0" tint="-0.34998626667073579"/>
      </patternFill>
    </fill>
    <fill>
      <patternFill patternType="solid">
        <fgColor theme="7" tint="0.39994506668294322"/>
        <bgColor indexed="64"/>
      </patternFill>
    </fill>
    <fill>
      <patternFill patternType="solid">
        <fgColor rgb="FFFEE8FB"/>
        <bgColor indexed="64"/>
      </patternFill>
    </fill>
    <fill>
      <patternFill patternType="solid">
        <fgColor theme="8" tint="0.59999389629810485"/>
        <bgColor indexed="64"/>
      </patternFill>
    </fill>
    <fill>
      <patternFill patternType="solid">
        <fgColor rgb="FF5F5F5F"/>
        <bgColor rgb="FF000000"/>
      </patternFill>
    </fill>
    <fill>
      <patternFill patternType="solid">
        <fgColor rgb="FF808080"/>
        <bgColor indexed="64"/>
      </patternFill>
    </fill>
    <fill>
      <patternFill patternType="solid">
        <fgColor rgb="FF5F5F5F"/>
        <bgColor indexed="64"/>
      </patternFill>
    </fill>
    <fill>
      <patternFill patternType="solid">
        <fgColor rgb="FF617179"/>
        <bgColor indexed="64"/>
      </patternFill>
    </fill>
  </fills>
  <borders count="3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hair">
        <color theme="0" tint="-0.499984740745262"/>
      </left>
      <right style="hair">
        <color theme="0" tint="-0.499984740745262"/>
      </right>
      <top style="hair">
        <color theme="0" tint="-0.499984740745262"/>
      </top>
      <bottom style="hair">
        <color theme="0" tint="-0.499984740745262"/>
      </bottom>
      <diagonal/>
    </border>
    <border>
      <left/>
      <right/>
      <top/>
      <bottom style="medium">
        <color rgb="FF57B6B3"/>
      </bottom>
      <diagonal/>
    </border>
    <border>
      <left style="thin">
        <color rgb="FF617179"/>
      </left>
      <right style="thin">
        <color rgb="FF617179"/>
      </right>
      <top style="thin">
        <color rgb="FF617179"/>
      </top>
      <bottom style="thin">
        <color rgb="FF617179"/>
      </bottom>
      <diagonal/>
    </border>
    <border>
      <left style="hair">
        <color theme="0" tint="-0.499984740745262"/>
      </left>
      <right style="hair">
        <color theme="0" tint="-0.499984740745262"/>
      </right>
      <top/>
      <bottom style="hair">
        <color theme="0" tint="-0.499984740745262"/>
      </bottom>
      <diagonal/>
    </border>
    <border>
      <left style="dotted">
        <color rgb="FFFF0000"/>
      </left>
      <right style="dotted">
        <color rgb="FFFF0000"/>
      </right>
      <top style="dotted">
        <color rgb="FFFF0000"/>
      </top>
      <bottom style="dotted">
        <color rgb="FFFF0000"/>
      </bottom>
      <diagonal/>
    </border>
    <border>
      <left style="hair">
        <color rgb="FFFF0000"/>
      </left>
      <right style="hair">
        <color rgb="FFFF0000"/>
      </right>
      <top style="hair">
        <color rgb="FFFF0000"/>
      </top>
      <bottom style="hair">
        <color rgb="FFFF0000"/>
      </bottom>
      <diagonal/>
    </border>
    <border>
      <left style="dotted">
        <color indexed="10"/>
      </left>
      <right/>
      <top style="dotted">
        <color indexed="10"/>
      </top>
      <bottom/>
      <diagonal/>
    </border>
    <border>
      <left/>
      <right style="dotted">
        <color indexed="10"/>
      </right>
      <top style="dotted">
        <color indexed="10"/>
      </top>
      <bottom/>
      <diagonal/>
    </border>
    <border>
      <left style="dotted">
        <color indexed="10"/>
      </left>
      <right/>
      <top/>
      <bottom/>
      <diagonal/>
    </border>
    <border>
      <left style="hair">
        <color theme="0" tint="-0.499984740745262"/>
      </left>
      <right style="dotted">
        <color indexed="10"/>
      </right>
      <top style="hair">
        <color theme="0" tint="-0.499984740745262"/>
      </top>
      <bottom style="hair">
        <color theme="0" tint="-0.499984740745262"/>
      </bottom>
      <diagonal/>
    </border>
    <border>
      <left style="dotted">
        <color indexed="10"/>
      </left>
      <right/>
      <top/>
      <bottom style="dotted">
        <color indexed="10"/>
      </bottom>
      <diagonal/>
    </border>
    <border>
      <left/>
      <right style="dotted">
        <color indexed="10"/>
      </right>
      <top/>
      <bottom style="dotted">
        <color indexed="10"/>
      </bottom>
      <diagonal/>
    </border>
    <border>
      <left/>
      <right/>
      <top style="dotted">
        <color indexed="10"/>
      </top>
      <bottom/>
      <diagonal/>
    </border>
    <border>
      <left/>
      <right/>
      <top/>
      <bottom style="dotted">
        <color indexed="10"/>
      </bottom>
      <diagonal/>
    </border>
    <border>
      <left style="hair">
        <color rgb="FFE01606"/>
      </left>
      <right style="hair">
        <color rgb="FFE01606"/>
      </right>
      <top style="hair">
        <color rgb="FFE01606"/>
      </top>
      <bottom style="hair">
        <color rgb="FFE01606"/>
      </bottom>
      <diagonal/>
    </border>
    <border>
      <left/>
      <right/>
      <top/>
      <bottom style="medium">
        <color rgb="FF5F5F5F"/>
      </bottom>
      <diagonal/>
    </border>
    <border>
      <left/>
      <right/>
      <top style="thin">
        <color indexed="64"/>
      </top>
      <bottom/>
      <diagonal/>
    </border>
    <border>
      <left style="hair">
        <color theme="0" tint="-0.499984740745262"/>
      </left>
      <right style="hair">
        <color theme="0" tint="-0.499984740745262"/>
      </right>
      <top style="thin">
        <color indexed="64"/>
      </top>
      <bottom style="hair">
        <color theme="0" tint="-0.499984740745262"/>
      </bottom>
      <diagonal/>
    </border>
    <border>
      <left style="dotted">
        <color rgb="FFFF0000"/>
      </left>
      <right style="dotted">
        <color rgb="FFFF0000"/>
      </right>
      <top style="dotted">
        <color rgb="FFFF0000"/>
      </top>
      <bottom style="hair">
        <color theme="0" tint="-0.499984740745262"/>
      </bottom>
      <diagonal/>
    </border>
    <border>
      <left style="dotted">
        <color rgb="FFFF0000"/>
      </left>
      <right style="dotted">
        <color rgb="FFFF0000"/>
      </right>
      <top style="hair">
        <color theme="0" tint="-0.499984740745262"/>
      </top>
      <bottom style="hair">
        <color theme="0" tint="-0.499984740745262"/>
      </bottom>
      <diagonal/>
    </border>
    <border>
      <left style="dotted">
        <color rgb="FFFF0000"/>
      </left>
      <right style="dotted">
        <color rgb="FFFF0000"/>
      </right>
      <top style="hair">
        <color theme="0" tint="-0.499984740745262"/>
      </top>
      <bottom style="dotted">
        <color rgb="FFFF0000"/>
      </bottom>
      <diagonal/>
    </border>
    <border>
      <left style="dotted">
        <color rgb="FFFF0000"/>
      </left>
      <right style="dotted">
        <color rgb="FFFF0000"/>
      </right>
      <top style="dotted">
        <color rgb="FFFF0000"/>
      </top>
      <bottom/>
      <diagonal/>
    </border>
    <border>
      <left style="dotted">
        <color rgb="FFFF0000"/>
      </left>
      <right style="dotted">
        <color rgb="FFFF0000"/>
      </right>
      <top/>
      <bottom/>
      <diagonal/>
    </border>
    <border>
      <left style="dotted">
        <color rgb="FFFF0000"/>
      </left>
      <right style="dotted">
        <color rgb="FFFF0000"/>
      </right>
      <top/>
      <bottom style="dotted">
        <color rgb="FFFF0000"/>
      </bottom>
      <diagonal/>
    </border>
  </borders>
  <cellStyleXfs count="96">
    <xf numFmtId="0" fontId="0" fillId="0" borderId="0"/>
    <xf numFmtId="43" fontId="1" fillId="0" borderId="0" applyFont="0" applyFill="0" applyBorder="0" applyAlignment="0" applyProtection="0"/>
    <xf numFmtId="41"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8" fillId="33" borderId="10">
      <alignment vertical="center"/>
    </xf>
    <xf numFmtId="0" fontId="18" fillId="34" borderId="10">
      <alignment horizontal="left" vertical="center"/>
      <protection locked="0"/>
    </xf>
    <xf numFmtId="15" fontId="18" fillId="35" borderId="10">
      <alignment horizontal="right" vertical="center"/>
      <protection locked="0"/>
    </xf>
    <xf numFmtId="0" fontId="18" fillId="35" borderId="10">
      <alignment horizontal="left" vertical="center"/>
      <protection locked="0"/>
    </xf>
    <xf numFmtId="170" fontId="18" fillId="35" borderId="10">
      <alignment vertical="center"/>
      <protection locked="0"/>
    </xf>
    <xf numFmtId="171" fontId="18" fillId="35" borderId="10">
      <alignment vertical="center"/>
      <protection locked="0"/>
    </xf>
    <xf numFmtId="164" fontId="18" fillId="35" borderId="10">
      <alignment vertical="center"/>
      <protection locked="0"/>
    </xf>
    <xf numFmtId="165" fontId="18" fillId="35" borderId="10">
      <alignment vertical="center"/>
      <protection locked="0"/>
    </xf>
    <xf numFmtId="166" fontId="21" fillId="0" borderId="10">
      <alignment vertical="center"/>
    </xf>
    <xf numFmtId="167" fontId="21" fillId="0" borderId="10">
      <alignment vertical="center"/>
    </xf>
    <xf numFmtId="172" fontId="21" fillId="0" borderId="10">
      <alignment vertical="center"/>
    </xf>
    <xf numFmtId="173" fontId="21" fillId="0" borderId="10">
      <alignment vertical="center"/>
    </xf>
    <xf numFmtId="15" fontId="21" fillId="0" borderId="10">
      <alignment horizontal="right" vertical="center"/>
    </xf>
    <xf numFmtId="0" fontId="21" fillId="0" borderId="10">
      <alignment horizontal="left" vertical="center"/>
    </xf>
    <xf numFmtId="166" fontId="18" fillId="0" borderId="10">
      <alignment vertical="center"/>
    </xf>
    <xf numFmtId="167" fontId="18" fillId="0" borderId="10">
      <alignment vertical="center"/>
    </xf>
    <xf numFmtId="172" fontId="18" fillId="0" borderId="10">
      <alignment vertical="center"/>
    </xf>
    <xf numFmtId="173" fontId="18" fillId="0" borderId="10">
      <alignment vertical="center"/>
    </xf>
    <xf numFmtId="15" fontId="18" fillId="0" borderId="10">
      <alignment horizontal="right" vertical="center"/>
    </xf>
    <xf numFmtId="0" fontId="20" fillId="0" borderId="0">
      <alignment horizontal="right" vertical="center"/>
    </xf>
    <xf numFmtId="168" fontId="39" fillId="0" borderId="12">
      <alignment horizontal="center"/>
    </xf>
    <xf numFmtId="0" fontId="19" fillId="0" borderId="0">
      <alignment vertical="center"/>
    </xf>
    <xf numFmtId="169" fontId="39" fillId="0" borderId="12">
      <alignment horizontal="center"/>
    </xf>
    <xf numFmtId="0" fontId="22" fillId="36" borderId="0" applyNumberFormat="0">
      <alignment horizontal="left" vertical="center"/>
    </xf>
    <xf numFmtId="0" fontId="23" fillId="37" borderId="0">
      <alignment horizontal="left"/>
    </xf>
    <xf numFmtId="0" fontId="23" fillId="37" borderId="0">
      <alignment horizontal="left"/>
    </xf>
    <xf numFmtId="0" fontId="19" fillId="44" borderId="0"/>
    <xf numFmtId="0" fontId="37" fillId="43" borderId="0">
      <alignment horizontal="left"/>
    </xf>
    <xf numFmtId="0" fontId="24" fillId="0" borderId="11" applyNumberFormat="0">
      <alignment horizontal="left" vertical="center"/>
    </xf>
    <xf numFmtId="0" fontId="24" fillId="0" borderId="25">
      <alignment horizontal="left" vertical="center"/>
    </xf>
    <xf numFmtId="0" fontId="25" fillId="0" borderId="0" applyNumberFormat="0">
      <alignment horizontal="left" vertical="center"/>
    </xf>
    <xf numFmtId="0" fontId="41" fillId="0" borderId="0">
      <alignment horizontal="left" vertical="center"/>
    </xf>
    <xf numFmtId="0" fontId="27" fillId="0" borderId="0"/>
    <xf numFmtId="0" fontId="27" fillId="0" borderId="0">
      <alignment vertical="center"/>
    </xf>
    <xf numFmtId="0" fontId="18" fillId="39" borderId="0">
      <alignment vertical="center"/>
    </xf>
    <xf numFmtId="0" fontId="31" fillId="0" borderId="0" applyNumberFormat="0" applyFill="0" applyBorder="0" applyAlignment="0" applyProtection="0"/>
    <xf numFmtId="0" fontId="14" fillId="0" borderId="0" applyNumberFormat="0" applyFill="0" applyBorder="0" applyAlignment="0" applyProtection="0"/>
    <xf numFmtId="0" fontId="32" fillId="0" borderId="0">
      <alignment vertical="center"/>
    </xf>
    <xf numFmtId="0" fontId="31" fillId="0" borderId="0" applyNumberFormat="0" applyFill="0" applyBorder="0" applyAlignment="0" applyProtection="0"/>
    <xf numFmtId="172" fontId="18" fillId="0" borderId="0">
      <alignment vertical="center"/>
    </xf>
    <xf numFmtId="173" fontId="18" fillId="0" borderId="0">
      <alignment vertical="center"/>
    </xf>
    <xf numFmtId="166" fontId="18" fillId="0" borderId="0">
      <alignment vertical="center"/>
    </xf>
    <xf numFmtId="15" fontId="18" fillId="0" borderId="0">
      <alignment horizontal="right" vertical="center"/>
    </xf>
    <xf numFmtId="167" fontId="18" fillId="0" borderId="0">
      <alignment vertical="center"/>
    </xf>
    <xf numFmtId="0" fontId="18" fillId="40" borderId="10">
      <alignment horizontal="left" vertical="center"/>
      <protection locked="0"/>
    </xf>
    <xf numFmtId="0" fontId="19" fillId="38" borderId="0"/>
    <xf numFmtId="0" fontId="37" fillId="37" borderId="0">
      <alignment horizontal="left"/>
    </xf>
    <xf numFmtId="0" fontId="24" fillId="0" borderId="11">
      <alignment horizontal="left" vertical="center"/>
    </xf>
    <xf numFmtId="0" fontId="42" fillId="0" borderId="0">
      <alignment horizontal="left" vertical="center"/>
    </xf>
  </cellStyleXfs>
  <cellXfs count="131">
    <xf numFmtId="0" fontId="0" fillId="0" borderId="0" xfId="0"/>
    <xf numFmtId="0" fontId="18" fillId="33" borderId="10" xfId="47">
      <alignment vertical="center"/>
    </xf>
    <xf numFmtId="0" fontId="19" fillId="0" borderId="0" xfId="0" applyNumberFormat="1" applyFont="1" applyAlignment="1" applyProtection="1">
      <alignment vertical="center"/>
    </xf>
    <xf numFmtId="0" fontId="18" fillId="34" borderId="10" xfId="48">
      <alignment horizontal="left" vertical="center"/>
      <protection locked="0"/>
    </xf>
    <xf numFmtId="15" fontId="18" fillId="35" borderId="10" xfId="49">
      <alignment horizontal="right" vertical="center"/>
      <protection locked="0"/>
    </xf>
    <xf numFmtId="0" fontId="18" fillId="35" borderId="10" xfId="50">
      <alignment horizontal="left" vertical="center"/>
      <protection locked="0"/>
    </xf>
    <xf numFmtId="170" fontId="18" fillId="35" borderId="10" xfId="51">
      <alignment vertical="center"/>
      <protection locked="0"/>
    </xf>
    <xf numFmtId="171" fontId="18" fillId="35" borderId="10" xfId="52">
      <alignment vertical="center"/>
      <protection locked="0"/>
    </xf>
    <xf numFmtId="164" fontId="18" fillId="35" borderId="10" xfId="53">
      <alignment vertical="center"/>
      <protection locked="0"/>
    </xf>
    <xf numFmtId="166" fontId="21" fillId="0" borderId="10" xfId="55">
      <alignment vertical="center"/>
    </xf>
    <xf numFmtId="167" fontId="21" fillId="0" borderId="10" xfId="56">
      <alignment vertical="center"/>
    </xf>
    <xf numFmtId="172" fontId="21" fillId="0" borderId="10" xfId="57">
      <alignment vertical="center"/>
    </xf>
    <xf numFmtId="173" fontId="21" fillId="0" borderId="10" xfId="58">
      <alignment vertical="center"/>
    </xf>
    <xf numFmtId="15" fontId="21" fillId="0" borderId="10" xfId="59">
      <alignment horizontal="right" vertical="center"/>
    </xf>
    <xf numFmtId="166" fontId="18" fillId="0" borderId="10" xfId="61">
      <alignment vertical="center"/>
    </xf>
    <xf numFmtId="167" fontId="18" fillId="0" borderId="10" xfId="62">
      <alignment vertical="center"/>
    </xf>
    <xf numFmtId="173" fontId="18" fillId="0" borderId="10" xfId="64">
      <alignment vertical="center"/>
    </xf>
    <xf numFmtId="0" fontId="20" fillId="0" borderId="0" xfId="66">
      <alignment horizontal="right" vertical="center"/>
    </xf>
    <xf numFmtId="0" fontId="19" fillId="0" borderId="0" xfId="68">
      <alignment vertical="center"/>
    </xf>
    <xf numFmtId="168" fontId="39" fillId="0" borderId="12" xfId="67">
      <alignment horizontal="center"/>
    </xf>
    <xf numFmtId="169" fontId="39" fillId="0" borderId="12" xfId="69">
      <alignment horizontal="center"/>
    </xf>
    <xf numFmtId="0" fontId="0" fillId="38" borderId="0" xfId="0" applyFill="1" applyBorder="1"/>
    <xf numFmtId="0" fontId="21" fillId="0" borderId="10" xfId="60">
      <alignment horizontal="left" vertical="center"/>
    </xf>
    <xf numFmtId="0" fontId="0" fillId="0" borderId="0" xfId="0"/>
    <xf numFmtId="0" fontId="37" fillId="43" borderId="0" xfId="74">
      <alignment horizontal="left"/>
    </xf>
    <xf numFmtId="0" fontId="24" fillId="0" borderId="25" xfId="76">
      <alignment horizontal="left" vertical="center"/>
    </xf>
    <xf numFmtId="0" fontId="41" fillId="0" borderId="0" xfId="78">
      <alignment horizontal="left" vertical="center"/>
    </xf>
    <xf numFmtId="0" fontId="0" fillId="0" borderId="0" xfId="68" applyFont="1">
      <alignment vertical="center"/>
    </xf>
    <xf numFmtId="0" fontId="26" fillId="0" borderId="0" xfId="0" applyFont="1"/>
    <xf numFmtId="0" fontId="0" fillId="0" borderId="0" xfId="0"/>
    <xf numFmtId="0" fontId="0" fillId="0" borderId="0" xfId="0"/>
    <xf numFmtId="0" fontId="27" fillId="0" borderId="0" xfId="0" applyFont="1"/>
    <xf numFmtId="0" fontId="27" fillId="0" borderId="0" xfId="68" applyFont="1">
      <alignment vertical="center"/>
    </xf>
    <xf numFmtId="15" fontId="29" fillId="0" borderId="0" xfId="59" applyFont="1" applyBorder="1">
      <alignment horizontal="right" vertical="center"/>
    </xf>
    <xf numFmtId="0" fontId="29" fillId="0" borderId="0" xfId="60" applyFont="1" applyBorder="1" applyAlignment="1">
      <alignment horizontal="center" vertical="center"/>
    </xf>
    <xf numFmtId="166" fontId="29" fillId="0" borderId="0" xfId="55" applyFont="1" applyBorder="1" applyAlignment="1">
      <alignment horizontal="center" vertical="center"/>
    </xf>
    <xf numFmtId="0" fontId="0" fillId="0" borderId="0" xfId="0"/>
    <xf numFmtId="0" fontId="27" fillId="0" borderId="0" xfId="80">
      <alignment vertical="center"/>
    </xf>
    <xf numFmtId="0" fontId="0" fillId="0" borderId="0" xfId="0"/>
    <xf numFmtId="0" fontId="18" fillId="39" borderId="0" xfId="81">
      <alignment vertical="center"/>
    </xf>
    <xf numFmtId="0" fontId="0" fillId="0" borderId="0" xfId="0"/>
    <xf numFmtId="0" fontId="32" fillId="0" borderId="0" xfId="84">
      <alignment vertical="center"/>
    </xf>
    <xf numFmtId="0" fontId="30" fillId="33" borderId="13" xfId="47" applyFont="1" applyBorder="1">
      <alignment vertical="center"/>
    </xf>
    <xf numFmtId="0" fontId="18" fillId="33" borderId="13" xfId="47" applyBorder="1">
      <alignment vertical="center"/>
    </xf>
    <xf numFmtId="0" fontId="31" fillId="0" borderId="0" xfId="85" quotePrefix="1"/>
    <xf numFmtId="0" fontId="0" fillId="0" borderId="0" xfId="0" applyFill="1" applyBorder="1"/>
    <xf numFmtId="0" fontId="27" fillId="0" borderId="0" xfId="0" applyFont="1" applyAlignment="1">
      <alignment horizontal="center"/>
    </xf>
    <xf numFmtId="166" fontId="18" fillId="0" borderId="0" xfId="88">
      <alignment vertical="center"/>
    </xf>
    <xf numFmtId="167" fontId="18" fillId="0" borderId="0" xfId="90">
      <alignment vertical="center"/>
    </xf>
    <xf numFmtId="0" fontId="18" fillId="40" borderId="10" xfId="91">
      <alignment horizontal="left" vertical="center"/>
      <protection locked="0"/>
    </xf>
    <xf numFmtId="0" fontId="18" fillId="33" borderId="14" xfId="47" applyBorder="1">
      <alignment vertical="center"/>
    </xf>
    <xf numFmtId="0" fontId="18" fillId="35" borderId="13" xfId="50" applyBorder="1">
      <alignment horizontal="left" vertical="center"/>
      <protection locked="0"/>
    </xf>
    <xf numFmtId="0" fontId="18" fillId="35" borderId="14" xfId="50" applyBorder="1">
      <alignment horizontal="left" vertical="center"/>
      <protection locked="0"/>
    </xf>
    <xf numFmtId="164" fontId="18" fillId="35" borderId="15" xfId="53" applyBorder="1">
      <alignment vertical="center"/>
      <protection locked="0"/>
    </xf>
    <xf numFmtId="171" fontId="18" fillId="35" borderId="15" xfId="52" quotePrefix="1" applyBorder="1">
      <alignment vertical="center"/>
      <protection locked="0"/>
    </xf>
    <xf numFmtId="0" fontId="0" fillId="0" borderId="0" xfId="0" applyBorder="1"/>
    <xf numFmtId="0" fontId="19" fillId="0" borderId="0" xfId="68" applyFill="1">
      <alignment vertical="center"/>
    </xf>
    <xf numFmtId="15" fontId="29" fillId="42" borderId="0" xfId="59" applyFont="1" applyFill="1" applyBorder="1" applyAlignment="1">
      <alignment horizontal="center" vertical="center" shrinkToFit="1"/>
    </xf>
    <xf numFmtId="15" fontId="29" fillId="0" borderId="0" xfId="59" applyFont="1" applyBorder="1" applyAlignment="1">
      <alignment horizontal="center" vertical="center" shrinkToFit="1"/>
    </xf>
    <xf numFmtId="15" fontId="29" fillId="41" borderId="0" xfId="59" applyFont="1" applyFill="1" applyBorder="1" applyAlignment="1">
      <alignment horizontal="center" vertical="center" shrinkToFit="1"/>
    </xf>
    <xf numFmtId="0" fontId="29" fillId="42" borderId="0" xfId="60" applyFont="1" applyFill="1" applyBorder="1" applyAlignment="1">
      <alignment horizontal="center" vertical="center" shrinkToFit="1"/>
    </xf>
    <xf numFmtId="0" fontId="29" fillId="0" borderId="0" xfId="60" applyFont="1" applyBorder="1" applyAlignment="1">
      <alignment horizontal="center" vertical="center" shrinkToFit="1"/>
    </xf>
    <xf numFmtId="0" fontId="29" fillId="41" borderId="0" xfId="60" applyFont="1" applyFill="1" applyBorder="1" applyAlignment="1">
      <alignment horizontal="center" vertical="center" shrinkToFit="1"/>
    </xf>
    <xf numFmtId="166" fontId="29" fillId="42" borderId="0" xfId="55" applyFont="1" applyFill="1" applyBorder="1" applyAlignment="1">
      <alignment horizontal="center" vertical="center" shrinkToFit="1"/>
    </xf>
    <xf numFmtId="166" fontId="29" fillId="0" borderId="0" xfId="55" applyFont="1" applyBorder="1" applyAlignment="1">
      <alignment horizontal="center" vertical="center" shrinkToFit="1"/>
    </xf>
    <xf numFmtId="166" fontId="29" fillId="41" borderId="0" xfId="55" applyFont="1" applyFill="1" applyBorder="1" applyAlignment="1">
      <alignment horizontal="center" vertical="center" shrinkToFit="1"/>
    </xf>
    <xf numFmtId="15" fontId="18" fillId="0" borderId="10" xfId="65" applyAlignment="1">
      <alignment horizontal="right" vertical="center" shrinkToFit="1"/>
    </xf>
    <xf numFmtId="0" fontId="18" fillId="35" borderId="10" xfId="50" applyAlignment="1">
      <alignment horizontal="left" vertical="center" shrinkToFit="1"/>
      <protection locked="0"/>
    </xf>
    <xf numFmtId="166" fontId="18" fillId="0" borderId="10" xfId="61" applyAlignment="1">
      <alignment vertical="center" shrinkToFit="1"/>
    </xf>
    <xf numFmtId="0" fontId="27" fillId="0" borderId="16" xfId="0" applyFont="1" applyBorder="1"/>
    <xf numFmtId="0" fontId="27" fillId="0" borderId="17" xfId="0" applyFont="1" applyBorder="1"/>
    <xf numFmtId="0" fontId="19" fillId="0" borderId="18" xfId="68" applyBorder="1">
      <alignment vertical="center"/>
    </xf>
    <xf numFmtId="0" fontId="18" fillId="35" borderId="19" xfId="50" applyBorder="1">
      <alignment horizontal="left" vertical="center"/>
      <protection locked="0"/>
    </xf>
    <xf numFmtId="0" fontId="30" fillId="33" borderId="20" xfId="47" applyFont="1" applyBorder="1">
      <alignment vertical="center"/>
    </xf>
    <xf numFmtId="169" fontId="19" fillId="0" borderId="0" xfId="68" applyNumberFormat="1">
      <alignment vertical="center"/>
    </xf>
    <xf numFmtId="0" fontId="18" fillId="35" borderId="10" xfId="50" applyBorder="1">
      <alignment horizontal="left" vertical="center"/>
      <protection locked="0"/>
    </xf>
    <xf numFmtId="0" fontId="27" fillId="0" borderId="22" xfId="0" applyFont="1" applyBorder="1"/>
    <xf numFmtId="0" fontId="30" fillId="33" borderId="23" xfId="47" applyFont="1" applyBorder="1">
      <alignment vertical="center"/>
    </xf>
    <xf numFmtId="0" fontId="18" fillId="35" borderId="10" xfId="50" quotePrefix="1" applyBorder="1">
      <alignment horizontal="left" vertical="center"/>
      <protection locked="0"/>
    </xf>
    <xf numFmtId="0" fontId="31" fillId="35" borderId="10" xfId="85" applyFill="1" applyBorder="1" applyAlignment="1" applyProtection="1">
      <alignment horizontal="left" vertical="center"/>
      <protection locked="0"/>
    </xf>
    <xf numFmtId="166" fontId="30" fillId="0" borderId="10" xfId="61" applyFont="1">
      <alignment vertical="center"/>
    </xf>
    <xf numFmtId="0" fontId="19" fillId="0" borderId="0" xfId="80" applyFont="1">
      <alignment vertical="center"/>
    </xf>
    <xf numFmtId="166" fontId="30" fillId="0" borderId="0" xfId="88" applyFont="1">
      <alignment vertical="center"/>
    </xf>
    <xf numFmtId="0" fontId="18" fillId="35" borderId="14" xfId="50" applyBorder="1" applyAlignment="1">
      <alignment horizontal="left" vertical="center" wrapText="1"/>
      <protection locked="0"/>
    </xf>
    <xf numFmtId="0" fontId="18" fillId="33" borderId="13" xfId="50" applyFill="1" applyBorder="1">
      <alignment horizontal="left" vertical="center"/>
      <protection locked="0"/>
    </xf>
    <xf numFmtId="0" fontId="0" fillId="0" borderId="26" xfId="0" applyBorder="1"/>
    <xf numFmtId="0" fontId="20" fillId="0" borderId="26" xfId="66" applyBorder="1">
      <alignment horizontal="right" vertical="center"/>
    </xf>
    <xf numFmtId="166" fontId="18" fillId="0" borderId="27" xfId="61" applyBorder="1">
      <alignment vertical="center"/>
    </xf>
    <xf numFmtId="0" fontId="20" fillId="0" borderId="0" xfId="66" applyBorder="1">
      <alignment horizontal="right" vertical="center"/>
    </xf>
    <xf numFmtId="0" fontId="0" fillId="0" borderId="26" xfId="0" applyFont="1" applyBorder="1"/>
    <xf numFmtId="0" fontId="20" fillId="0" borderId="26" xfId="66" applyFont="1" applyBorder="1">
      <alignment horizontal="right" vertical="center"/>
    </xf>
    <xf numFmtId="0" fontId="0" fillId="0" borderId="0" xfId="0" applyFont="1" applyBorder="1"/>
    <xf numFmtId="0" fontId="20" fillId="0" borderId="0" xfId="66" applyFont="1" applyBorder="1">
      <alignment horizontal="right" vertical="center"/>
    </xf>
    <xf numFmtId="166" fontId="18" fillId="0" borderId="0" xfId="61" applyBorder="1">
      <alignment vertical="center"/>
    </xf>
    <xf numFmtId="0" fontId="0" fillId="0" borderId="0" xfId="0" applyFont="1" applyFill="1" applyBorder="1"/>
    <xf numFmtId="0" fontId="0" fillId="45" borderId="0" xfId="0" applyFill="1" applyBorder="1"/>
    <xf numFmtId="0" fontId="38" fillId="45" borderId="0" xfId="0" applyFont="1" applyFill="1" applyBorder="1"/>
    <xf numFmtId="168" fontId="39" fillId="45" borderId="12" xfId="67" applyFill="1">
      <alignment horizontal="center"/>
    </xf>
    <xf numFmtId="0" fontId="34" fillId="45" borderId="0" xfId="78" applyFont="1" applyFill="1">
      <alignment horizontal="left" vertical="center"/>
    </xf>
    <xf numFmtId="169" fontId="39" fillId="45" borderId="12" xfId="69" applyFill="1">
      <alignment horizontal="center"/>
    </xf>
    <xf numFmtId="0" fontId="35" fillId="45" borderId="0" xfId="78" applyFont="1" applyFill="1">
      <alignment horizontal="left" vertical="center"/>
    </xf>
    <xf numFmtId="0" fontId="28" fillId="45" borderId="0" xfId="0" applyFont="1" applyFill="1" applyBorder="1"/>
    <xf numFmtId="0" fontId="33" fillId="45" borderId="0" xfId="85" quotePrefix="1" applyFont="1" applyFill="1"/>
    <xf numFmtId="0" fontId="36" fillId="45" borderId="0" xfId="85" applyFont="1" applyFill="1" applyBorder="1"/>
    <xf numFmtId="0" fontId="28" fillId="45" borderId="0" xfId="80" applyFont="1" applyFill="1" applyAlignment="1">
      <alignment horizontal="center" vertical="center"/>
    </xf>
    <xf numFmtId="0" fontId="28" fillId="45" borderId="0" xfId="66" applyFont="1" applyFill="1">
      <alignment horizontal="right" vertical="center"/>
    </xf>
    <xf numFmtId="15" fontId="18" fillId="33" borderId="10" xfId="47" applyNumberFormat="1">
      <alignment vertical="center"/>
    </xf>
    <xf numFmtId="0" fontId="37" fillId="37" borderId="0" xfId="93" applyFill="1">
      <alignment horizontal="left"/>
    </xf>
    <xf numFmtId="0" fontId="37" fillId="37" borderId="0" xfId="93">
      <alignment horizontal="left"/>
    </xf>
    <xf numFmtId="0" fontId="18" fillId="33" borderId="21" xfId="50" applyFill="1" applyBorder="1">
      <alignment horizontal="left" vertical="center"/>
      <protection locked="0"/>
    </xf>
    <xf numFmtId="0" fontId="0" fillId="46" borderId="0" xfId="0" applyFill="1" applyBorder="1"/>
    <xf numFmtId="0" fontId="38" fillId="46" borderId="0" xfId="0" applyFont="1" applyFill="1" applyBorder="1"/>
    <xf numFmtId="0" fontId="34" fillId="46" borderId="0" xfId="78" applyFont="1" applyFill="1">
      <alignment horizontal="left" vertical="center"/>
    </xf>
    <xf numFmtId="0" fontId="35" fillId="46" borderId="0" xfId="78" applyFont="1" applyFill="1">
      <alignment horizontal="left" vertical="center"/>
    </xf>
    <xf numFmtId="0" fontId="28" fillId="46" borderId="0" xfId="0" applyFont="1" applyFill="1" applyBorder="1"/>
    <xf numFmtId="0" fontId="33" fillId="46" borderId="0" xfId="85" quotePrefix="1" applyFont="1" applyFill="1"/>
    <xf numFmtId="0" fontId="36" fillId="46" borderId="0" xfId="85" applyFont="1" applyFill="1" applyBorder="1"/>
    <xf numFmtId="0" fontId="28" fillId="46" borderId="0" xfId="80" applyFont="1" applyFill="1" applyAlignment="1">
      <alignment horizontal="center" vertical="center"/>
    </xf>
    <xf numFmtId="0" fontId="19" fillId="0" borderId="26" xfId="68" applyBorder="1">
      <alignment vertical="center"/>
    </xf>
    <xf numFmtId="0" fontId="31" fillId="0" borderId="0" xfId="85" applyFill="1"/>
    <xf numFmtId="0" fontId="31" fillId="0" borderId="0" xfId="85"/>
    <xf numFmtId="0" fontId="18" fillId="35" borderId="28" xfId="50" applyBorder="1">
      <alignment horizontal="left" vertical="center"/>
      <protection locked="0"/>
    </xf>
    <xf numFmtId="0" fontId="18" fillId="35" borderId="29" xfId="50" applyBorder="1">
      <alignment horizontal="left" vertical="center"/>
      <protection locked="0"/>
    </xf>
    <xf numFmtId="0" fontId="18" fillId="35" borderId="30" xfId="50" applyBorder="1">
      <alignment horizontal="left" vertical="center"/>
      <protection locked="0"/>
    </xf>
    <xf numFmtId="0" fontId="19" fillId="0" borderId="31" xfId="68" applyBorder="1">
      <alignment vertical="center"/>
    </xf>
    <xf numFmtId="0" fontId="19" fillId="0" borderId="32" xfId="68" applyBorder="1">
      <alignment vertical="center"/>
    </xf>
    <xf numFmtId="0" fontId="19" fillId="0" borderId="33" xfId="68" applyBorder="1">
      <alignment vertical="center"/>
    </xf>
    <xf numFmtId="0" fontId="27" fillId="0" borderId="0" xfId="0" applyFont="1" applyAlignment="1">
      <alignment vertical="top"/>
    </xf>
    <xf numFmtId="0" fontId="18" fillId="33" borderId="24" xfId="47" applyBorder="1" applyProtection="1">
      <alignment vertical="center"/>
      <protection locked="0"/>
    </xf>
    <xf numFmtId="0" fontId="0" fillId="0" borderId="0" xfId="0" applyFill="1"/>
    <xf numFmtId="0" fontId="27" fillId="0" borderId="0" xfId="0" applyFont="1" applyAlignment="1">
      <alignment horizontal="center" vertical="top" wrapText="1"/>
    </xf>
  </cellXfs>
  <cellStyles count="96">
    <cellStyle name="20% - Accent1" xfId="24" builtinId="30" hidden="1"/>
    <cellStyle name="20% - Accent2" xfId="28" builtinId="34" hidden="1"/>
    <cellStyle name="20% - Accent3" xfId="32" builtinId="38" hidden="1"/>
    <cellStyle name="20% - Accent4" xfId="36" builtinId="42" hidden="1"/>
    <cellStyle name="20% - Accent5" xfId="40" builtinId="46" hidden="1"/>
    <cellStyle name="20% - Accent6" xfId="44" builtinId="50" hidden="1"/>
    <cellStyle name="40% - Accent1" xfId="25" builtinId="31" hidden="1"/>
    <cellStyle name="40% - Accent2" xfId="29" builtinId="35" hidden="1"/>
    <cellStyle name="40% - Accent3" xfId="33" builtinId="39" hidden="1"/>
    <cellStyle name="40% - Accent4" xfId="37" builtinId="43" hidden="1"/>
    <cellStyle name="40% - Accent5" xfId="41" builtinId="47" hidden="1"/>
    <cellStyle name="40% - Accent6" xfId="45" builtinId="51" hidden="1"/>
    <cellStyle name="60% - Accent1" xfId="26" builtinId="32" hidden="1"/>
    <cellStyle name="60% - Accent2" xfId="30" builtinId="36" hidden="1"/>
    <cellStyle name="60% - Accent3" xfId="34" builtinId="40" hidden="1"/>
    <cellStyle name="60% - Accent4" xfId="38" builtinId="44" hidden="1"/>
    <cellStyle name="60% - Accent5" xfId="42" builtinId="48" hidden="1"/>
    <cellStyle name="60% - Accent6" xfId="46" builtinId="52" hidden="1"/>
    <cellStyle name="Accent1" xfId="23" builtinId="29" hidden="1"/>
    <cellStyle name="Accent2" xfId="27" builtinId="33" hidden="1"/>
    <cellStyle name="Accent3" xfId="31" builtinId="37" hidden="1"/>
    <cellStyle name="Accent4" xfId="35" builtinId="41" hidden="1"/>
    <cellStyle name="Accent5" xfId="39" builtinId="45" hidden="1"/>
    <cellStyle name="Accent6" xfId="43" builtinId="49" hidden="1"/>
    <cellStyle name="Bad" xfId="12" builtinId="27" hidden="1"/>
    <cellStyle name="Banner" xfId="73" xr:uid="{00000000-0005-0000-0000-000019000000}"/>
    <cellStyle name="Banner 2" xfId="92" xr:uid="{E718CEFE-01A4-4F27-9FD1-D6C2454C0524}"/>
    <cellStyle name="Calc % 0dp" xfId="63" xr:uid="{00000000-0005-0000-0000-00001A000000}"/>
    <cellStyle name="Calc % 2dp" xfId="64" xr:uid="{00000000-0005-0000-0000-00001B000000}"/>
    <cellStyle name="Calc Amount" xfId="61" xr:uid="{00000000-0005-0000-0000-00001C000000}"/>
    <cellStyle name="Calc Date" xfId="65" xr:uid="{00000000-0005-0000-0000-00001D000000}"/>
    <cellStyle name="Calc Dec 2dp" xfId="62" xr:uid="{00000000-0005-0000-0000-00001E000000}"/>
    <cellStyle name="Calculation" xfId="16" builtinId="22" hidden="1"/>
    <cellStyle name="Check" xfId="67" xr:uid="{00000000-0005-0000-0000-000020000000}"/>
    <cellStyle name="Check Cell" xfId="18" builtinId="23" hidden="1"/>
    <cellStyle name="Comma" xfId="1" builtinId="3" hidden="1"/>
    <cellStyle name="Comma [0]" xfId="2" builtinId="6" hidden="1"/>
    <cellStyle name="Currency" xfId="3" builtinId="4" hidden="1"/>
    <cellStyle name="Currency [0]" xfId="4" builtinId="7" hidden="1"/>
    <cellStyle name="Databook Ref" xfId="91" xr:uid="{00000000-0005-0000-0000-000026000000}"/>
    <cellStyle name="Explanatory Text" xfId="21" builtinId="53" hidden="1"/>
    <cellStyle name="Good" xfId="11" builtinId="26" hidden="1"/>
    <cellStyle name="Heading 1" xfId="7" builtinId="16" hidden="1"/>
    <cellStyle name="Heading 1" xfId="70" builtinId="16" hidden="1"/>
    <cellStyle name="Heading 1" xfId="71" builtinId="16" hidden="1"/>
    <cellStyle name="Heading 1" xfId="74" xr:uid="{00000000-0005-0000-0000-00002C000000}"/>
    <cellStyle name="Heading 1 2" xfId="93" xr:uid="{39E46553-5963-4D35-AFB8-30E96D207D32}"/>
    <cellStyle name="Heading 2" xfId="8" builtinId="17" hidden="1"/>
    <cellStyle name="Heading 2" xfId="72" builtinId="17" hidden="1" customBuiltin="1"/>
    <cellStyle name="Heading 2" xfId="75" builtinId="17" hidden="1" customBuiltin="1"/>
    <cellStyle name="Heading 2" xfId="76" xr:uid="{00000000-0005-0000-0000-000030000000}"/>
    <cellStyle name="Heading 2 2" xfId="94" xr:uid="{8805C0E4-358A-41FF-9EAF-69576B099157}"/>
    <cellStyle name="Heading 3" xfId="9" builtinId="18" hidden="1"/>
    <cellStyle name="Heading 3" xfId="77" builtinId="18" hidden="1"/>
    <cellStyle name="Heading 3" xfId="78" xr:uid="{00000000-0005-0000-0000-000033000000}"/>
    <cellStyle name="Heading 3 2" xfId="95" xr:uid="{F7E5FD40-AAA5-478C-93AD-7C6E74933B81}"/>
    <cellStyle name="Heading 4" xfId="10" builtinId="19" hidden="1"/>
    <cellStyle name="Heading 4" xfId="79" builtinId="19" hidden="1"/>
    <cellStyle name="Heading 4" xfId="80" xr:uid="{00000000-0005-0000-0000-000036000000}"/>
    <cellStyle name="Hyperlink" xfId="82" builtinId="8" hidden="1"/>
    <cellStyle name="Hyperlink" xfId="85" builtinId="8"/>
    <cellStyle name="Input" xfId="14" builtinId="20" hidden="1"/>
    <cellStyle name="Input % 0dp" xfId="51" xr:uid="{00000000-0005-0000-0000-00003A000000}"/>
    <cellStyle name="Input % 2dp" xfId="52" xr:uid="{00000000-0005-0000-0000-00003B000000}"/>
    <cellStyle name="Input Amount" xfId="53" xr:uid="{00000000-0005-0000-0000-00003C000000}"/>
    <cellStyle name="Input Date" xfId="49" xr:uid="{00000000-0005-0000-0000-00003D000000}"/>
    <cellStyle name="Input Dec 2dp" xfId="54" xr:uid="{00000000-0005-0000-0000-00003E000000}"/>
    <cellStyle name="Input General" xfId="50" xr:uid="{00000000-0005-0000-0000-00003F000000}"/>
    <cellStyle name="Input List" xfId="48" xr:uid="{00000000-0005-0000-0000-000040000000}"/>
    <cellStyle name="Label Name" xfId="68" xr:uid="{00000000-0005-0000-0000-000041000000}"/>
    <cellStyle name="Label Time/Unit" xfId="66" xr:uid="{00000000-0005-0000-0000-000042000000}"/>
    <cellStyle name="Link  % 0dp" xfId="57" xr:uid="{00000000-0005-0000-0000-000043000000}"/>
    <cellStyle name="Link  % 2dp" xfId="58" xr:uid="{00000000-0005-0000-0000-000044000000}"/>
    <cellStyle name="Link  General" xfId="60" xr:uid="{00000000-0005-0000-0000-000045000000}"/>
    <cellStyle name="Link Amount" xfId="55" xr:uid="{00000000-0005-0000-0000-000046000000}"/>
    <cellStyle name="Link Date" xfId="59" xr:uid="{00000000-0005-0000-0000-000047000000}"/>
    <cellStyle name="Link Dec 2dp" xfId="56" xr:uid="{00000000-0005-0000-0000-000048000000}"/>
    <cellStyle name="Linked Cell" xfId="17" builtinId="24" hidden="1"/>
    <cellStyle name="Neutral" xfId="13" builtinId="28" hidden="1"/>
    <cellStyle name="Normal" xfId="0" builtinId="0" customBuiltin="1"/>
    <cellStyle name="Note" xfId="20" builtinId="10" hidden="1"/>
    <cellStyle name="Output" xfId="15" builtinId="21" hidden="1"/>
    <cellStyle name="Output % 0dp" xfId="86" xr:uid="{00000000-0005-0000-0000-00004E000000}"/>
    <cellStyle name="Output % 2dp" xfId="87" xr:uid="{00000000-0005-0000-0000-00004F000000}"/>
    <cellStyle name="Output Amount" xfId="88" xr:uid="{00000000-0005-0000-0000-000050000000}"/>
    <cellStyle name="Output Date" xfId="89" xr:uid="{00000000-0005-0000-0000-000051000000}"/>
    <cellStyle name="Output Dec 2dp" xfId="90" xr:uid="{00000000-0005-0000-0000-000052000000}"/>
    <cellStyle name="Percent" xfId="5" builtinId="5" hidden="1"/>
    <cellStyle name="System" xfId="47" xr:uid="{00000000-0005-0000-0000-000054000000}"/>
    <cellStyle name="Title" xfId="6" builtinId="15" hidden="1"/>
    <cellStyle name="Total" xfId="22" builtinId="25" hidden="1"/>
    <cellStyle name="Unused" xfId="81" xr:uid="{00000000-0005-0000-0000-000057000000}"/>
    <cellStyle name="Warn" xfId="69" xr:uid="{00000000-0005-0000-0000-000058000000}"/>
    <cellStyle name="Warning Text" xfId="19" builtinId="11" hidden="1"/>
    <cellStyle name="Warning Text" xfId="83" builtinId="11" hidden="1"/>
    <cellStyle name="Warning Text" xfId="84" xr:uid="{00000000-0005-0000-0000-00005B000000}"/>
  </cellStyles>
  <dxfs count="39">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s>
  <tableStyles count="0" defaultTableStyle="TableStyleMedium2" defaultPivotStyle="PivotStyleLight16"/>
  <colors>
    <mruColors>
      <color rgb="FF617179"/>
      <color rgb="FF57B6B3"/>
      <color rgb="FF5F5F5F"/>
      <color rgb="FF808080"/>
      <color rgb="FFE01606"/>
      <color rgb="FFFFFFCC"/>
      <color rgb="FFFEDADA"/>
      <color rgb="FFFEDAFA"/>
      <color rgb="FFF01E1E"/>
      <color rgb="FFFEE8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7.xml"/><Relationship Id="rId13" Type="http://schemas.openxmlformats.org/officeDocument/2006/relationships/worksheet" Target="worksheets/sheet12.xml"/><Relationship Id="rId18" Type="http://schemas.openxmlformats.org/officeDocument/2006/relationships/worksheet" Target="worksheets/sheet17.xml"/><Relationship Id="rId26" Type="http://schemas.openxmlformats.org/officeDocument/2006/relationships/customXml" Target="../customXml/item3.xml"/><Relationship Id="rId3" Type="http://schemas.openxmlformats.org/officeDocument/2006/relationships/worksheet" Target="worksheets/sheet2.xml"/><Relationship Id="rId21" Type="http://schemas.openxmlformats.org/officeDocument/2006/relationships/sharedStrings" Target="sharedStrings.xml"/><Relationship Id="rId7" Type="http://schemas.openxmlformats.org/officeDocument/2006/relationships/worksheet" Target="worksheets/sheet6.xml"/><Relationship Id="rId12" Type="http://schemas.openxmlformats.org/officeDocument/2006/relationships/worksheet" Target="worksheets/sheet11.xml"/><Relationship Id="rId17" Type="http://schemas.openxmlformats.org/officeDocument/2006/relationships/worksheet" Target="worksheets/sheet16.xml"/><Relationship Id="rId25" Type="http://schemas.openxmlformats.org/officeDocument/2006/relationships/customXml" Target="../customXml/item2.xml"/><Relationship Id="rId2" Type="http://schemas.openxmlformats.org/officeDocument/2006/relationships/worksheet" Target="worksheets/sheet1.xml"/><Relationship Id="rId16" Type="http://schemas.openxmlformats.org/officeDocument/2006/relationships/worksheet" Target="worksheets/sheet15.xml"/><Relationship Id="rId20" Type="http://schemas.openxmlformats.org/officeDocument/2006/relationships/styles" Target="styles.xml"/><Relationship Id="rId1" Type="http://schemas.openxmlformats.org/officeDocument/2006/relationships/chartsheet" Target="chartsheets/sheet1.xml"/><Relationship Id="rId6" Type="http://schemas.openxmlformats.org/officeDocument/2006/relationships/worksheet" Target="worksheets/sheet5.xml"/><Relationship Id="rId11" Type="http://schemas.openxmlformats.org/officeDocument/2006/relationships/worksheet" Target="worksheets/sheet10.xml"/><Relationship Id="rId24" Type="http://schemas.openxmlformats.org/officeDocument/2006/relationships/customXml" Target="../customXml/item1.xml"/><Relationship Id="rId5" Type="http://schemas.openxmlformats.org/officeDocument/2006/relationships/worksheet" Target="worksheets/sheet4.xml"/><Relationship Id="rId15" Type="http://schemas.openxmlformats.org/officeDocument/2006/relationships/worksheet" Target="worksheets/sheet14.xml"/><Relationship Id="rId23" Type="http://schemas.openxmlformats.org/officeDocument/2006/relationships/calcChain" Target="calcChain.xml"/><Relationship Id="rId10" Type="http://schemas.openxmlformats.org/officeDocument/2006/relationships/worksheet" Target="worksheets/sheet9.xml"/><Relationship Id="rId19" Type="http://schemas.openxmlformats.org/officeDocument/2006/relationships/theme" Target="theme/theme1.xml"/><Relationship Id="rId4" Type="http://schemas.openxmlformats.org/officeDocument/2006/relationships/worksheet" Target="worksheets/sheet3.xml"/><Relationship Id="rId9" Type="http://schemas.openxmlformats.org/officeDocument/2006/relationships/worksheet" Target="worksheets/sheet8.xml"/><Relationship Id="rId14" Type="http://schemas.openxmlformats.org/officeDocument/2006/relationships/worksheet" Target="worksheets/sheet13.xml"/><Relationship Id="rId22" Type="http://schemas.openxmlformats.org/officeDocument/2006/relationships/sheetMetadata" Target="metadata.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rotection>
    <c:chartObject val="0"/>
    <c:data val="0"/>
    <c:formatting val="0"/>
    <c:selection val="0"/>
    <c:userInterface val="0"/>
  </c:protection>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dLbls>
          <c:showLegendKey val="0"/>
          <c:showVal val="0"/>
          <c:showCatName val="0"/>
          <c:showSerName val="0"/>
          <c:showPercent val="0"/>
          <c:showBubbleSize val="0"/>
        </c:dLbls>
        <c:gapWidth val="219"/>
        <c:overlap val="-27"/>
        <c:axId val="699889784"/>
        <c:axId val="699892736"/>
      </c:barChart>
      <c:catAx>
        <c:axId val="699889784"/>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9892736"/>
        <c:crosses val="autoZero"/>
        <c:auto val="1"/>
        <c:lblAlgn val="ctr"/>
        <c:lblOffset val="100"/>
        <c:noMultiLvlLbl val="0"/>
      </c:catAx>
      <c:valAx>
        <c:axId val="6998927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9889784"/>
        <c:crosses val="autoZero"/>
        <c:crossBetween val="between"/>
      </c:valAx>
      <c:spPr>
        <a:noFill/>
        <a:ln>
          <a:noFill/>
        </a:ln>
        <a:effectLst/>
      </c:spPr>
    </c:plotArea>
    <c:plotVisOnly val="1"/>
    <c:dispBlanksAs val="gap"/>
    <c:showDLblsOverMax val="0"/>
  </c:chart>
  <c:spPr>
    <a:solidFill>
      <a:srgbClr val="617179"/>
    </a:solidFill>
    <a:ln w="9525" cap="flat" cmpd="sng" algn="ctr">
      <a:solidFill>
        <a:schemeClr val="tx1">
          <a:lumMod val="15000"/>
          <a:lumOff val="85000"/>
        </a:schemeClr>
      </a:solidFill>
      <a:round/>
    </a:ln>
    <a:effectLst/>
  </c:spPr>
  <c:txPr>
    <a:bodyPr/>
    <a:lstStyle/>
    <a:p>
      <a:pPr>
        <a:defRPr/>
      </a:pPr>
      <a:endParaRPr lang="en-US"/>
    </a:p>
  </c:txPr>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cOutputs!$F$167</c:f>
              <c:strCache>
                <c:ptCount val="1"/>
                <c:pt idx="0">
                  <c:v>Build &amp; Operate</c:v>
                </c:pt>
              </c:strCache>
            </c:strRef>
          </c:tx>
          <c:spPr>
            <a:solidFill>
              <a:schemeClr val="accent1"/>
            </a:solidFill>
            <a:ln>
              <a:noFill/>
            </a:ln>
            <a:effectLst/>
          </c:spPr>
          <c:invertIfNegative val="0"/>
          <c:dLbls>
            <c:numFmt formatCode="#.0,,_);[Red]\(#.0,,\);&quot;0.0&quot;_)"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cOutputs!$I$167</c:f>
              <c:numCache>
                <c:formatCode>#,##0_);[Red]\(#,##0\);"-"_)</c:formatCode>
                <c:ptCount val="1"/>
                <c:pt idx="0">
                  <c:v>49904643.652402788</c:v>
                </c:pt>
              </c:numCache>
            </c:numRef>
          </c:val>
          <c:extLst>
            <c:ext xmlns:c16="http://schemas.microsoft.com/office/drawing/2014/chart" uri="{C3380CC4-5D6E-409C-BE32-E72D297353CC}">
              <c16:uniqueId val="{00000000-EDCA-4AB6-92D6-9F6FCADC925F}"/>
            </c:ext>
          </c:extLst>
        </c:ser>
        <c:ser>
          <c:idx val="1"/>
          <c:order val="1"/>
          <c:tx>
            <c:strRef>
              <c:f>cOutputs!$F$169</c:f>
              <c:strCache>
                <c:ptCount val="1"/>
                <c:pt idx="0">
                  <c:v>Lease &amp; Operate</c:v>
                </c:pt>
              </c:strCache>
            </c:strRef>
          </c:tx>
          <c:spPr>
            <a:solidFill>
              <a:schemeClr val="accent2"/>
            </a:solidFill>
            <a:ln>
              <a:noFill/>
            </a:ln>
            <a:effectLst/>
          </c:spPr>
          <c:invertIfNegative val="0"/>
          <c:dLbls>
            <c:numFmt formatCode="#.0,,_);[Red]\(#.0,,\);&quot;0.0&quot;_)"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cOutputs!$I$169</c:f>
              <c:numCache>
                <c:formatCode>#,##0_);[Red]\(#,##0\);"-"_)</c:formatCode>
                <c:ptCount val="1"/>
                <c:pt idx="0">
                  <c:v>47253500.669181302</c:v>
                </c:pt>
              </c:numCache>
            </c:numRef>
          </c:val>
          <c:extLst>
            <c:ext xmlns:c16="http://schemas.microsoft.com/office/drawing/2014/chart" uri="{C3380CC4-5D6E-409C-BE32-E72D297353CC}">
              <c16:uniqueId val="{00000001-EDCA-4AB6-92D6-9F6FCADC925F}"/>
            </c:ext>
          </c:extLst>
        </c:ser>
        <c:ser>
          <c:idx val="2"/>
          <c:order val="2"/>
          <c:tx>
            <c:strRef>
              <c:f>cOutputs!$F$171</c:f>
              <c:strCache>
                <c:ptCount val="1"/>
                <c:pt idx="0">
                  <c:v>Outsource</c:v>
                </c:pt>
              </c:strCache>
            </c:strRef>
          </c:tx>
          <c:spPr>
            <a:solidFill>
              <a:schemeClr val="accent3"/>
            </a:solidFill>
            <a:ln>
              <a:noFill/>
            </a:ln>
            <a:effectLst/>
          </c:spPr>
          <c:invertIfNegative val="0"/>
          <c:dLbls>
            <c:numFmt formatCode="#.0,,_);[Red]\(#.0,,\);&quot;0.0&quot;_)"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cOutputs!$I$171</c:f>
              <c:numCache>
                <c:formatCode>#,##0_);[Red]\(#,##0\);"-"_)</c:formatCode>
                <c:ptCount val="1"/>
                <c:pt idx="0">
                  <c:v>57204944.464090474</c:v>
                </c:pt>
              </c:numCache>
            </c:numRef>
          </c:val>
          <c:extLst>
            <c:ext xmlns:c16="http://schemas.microsoft.com/office/drawing/2014/chart" uri="{C3380CC4-5D6E-409C-BE32-E72D297353CC}">
              <c16:uniqueId val="{00000002-EDCA-4AB6-92D6-9F6FCADC925F}"/>
            </c:ext>
          </c:extLst>
        </c:ser>
        <c:dLbls>
          <c:dLblPos val="ctr"/>
          <c:showLegendKey val="0"/>
          <c:showVal val="1"/>
          <c:showCatName val="0"/>
          <c:showSerName val="0"/>
          <c:showPercent val="0"/>
          <c:showBubbleSize val="0"/>
        </c:dLbls>
        <c:gapWidth val="219"/>
        <c:overlap val="-27"/>
        <c:axId val="1453244991"/>
        <c:axId val="1548886543"/>
      </c:barChart>
      <c:catAx>
        <c:axId val="1453244991"/>
        <c:scaling>
          <c:orientation val="minMax"/>
        </c:scaling>
        <c:delete val="1"/>
        <c:axPos val="b"/>
        <c:majorTickMark val="none"/>
        <c:minorTickMark val="none"/>
        <c:tickLblPos val="nextTo"/>
        <c:crossAx val="1548886543"/>
        <c:crosses val="autoZero"/>
        <c:auto val="1"/>
        <c:lblAlgn val="ctr"/>
        <c:lblOffset val="100"/>
        <c:noMultiLvlLbl val="0"/>
      </c:catAx>
      <c:valAx>
        <c:axId val="1548886543"/>
        <c:scaling>
          <c:orientation val="minMax"/>
          <c:min val="0"/>
        </c:scaling>
        <c:delete val="0"/>
        <c:axPos val="l"/>
        <c:majorGridlines>
          <c:spPr>
            <a:ln w="9525" cap="flat" cmpd="sng" algn="ctr">
              <a:noFill/>
              <a:round/>
            </a:ln>
            <a:effectLst/>
          </c:spPr>
        </c:majorGridlines>
        <c:numFmt formatCode="#.0,,_);[Red]\(#.0,,\);&quot;0.0&quot;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32449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cOutputs!$F$183</c:f>
              <c:strCache>
                <c:ptCount val="1"/>
                <c:pt idx="0">
                  <c:v>Build &amp; Operate</c:v>
                </c:pt>
              </c:strCache>
            </c:strRef>
          </c:tx>
          <c:spPr>
            <a:ln w="28575" cap="rnd">
              <a:solidFill>
                <a:schemeClr val="accent1"/>
              </a:solidFill>
              <a:round/>
            </a:ln>
            <a:effectLst/>
          </c:spPr>
          <c:marker>
            <c:symbol val="none"/>
          </c:marker>
          <c:dLbls>
            <c:delete val="1"/>
          </c:dLbls>
          <c:val>
            <c:numRef>
              <c:f>cOutputs!$AA$183:$BE$183</c:f>
              <c:numCache>
                <c:formatCode>#,##0_);[Red]\(#,##0\);"-"_)</c:formatCode>
                <c:ptCount val="31"/>
                <c:pt idx="0">
                  <c:v>3045073.0031171548</c:v>
                </c:pt>
                <c:pt idx="1">
                  <c:v>2910738.75</c:v>
                </c:pt>
                <c:pt idx="2">
                  <c:v>2402943.1855648537</c:v>
                </c:pt>
                <c:pt idx="3">
                  <c:v>2464003.1386435665</c:v>
                </c:pt>
                <c:pt idx="4">
                  <c:v>2574911.2799505424</c:v>
                </c:pt>
                <c:pt idx="5">
                  <c:v>2590831.1048783096</c:v>
                </c:pt>
                <c:pt idx="6">
                  <c:v>2814891.6486798846</c:v>
                </c:pt>
                <c:pt idx="7">
                  <c:v>2776976.9639584702</c:v>
                </c:pt>
                <c:pt idx="8">
                  <c:v>2793455.5336361132</c:v>
                </c:pt>
                <c:pt idx="9">
                  <c:v>2864469.7034477959</c:v>
                </c:pt>
                <c:pt idx="10">
                  <c:v>2994957.8517065463</c:v>
                </c:pt>
                <c:pt idx="11">
                  <c:v>3195387.4212059551</c:v>
                </c:pt>
                <c:pt idx="12">
                  <c:v>3088562.8377815615</c:v>
                </c:pt>
                <c:pt idx="13">
                  <c:v>3230112.7468674565</c:v>
                </c:pt>
                <c:pt idx="14">
                  <c:v>3247645.4464756772</c:v>
                </c:pt>
                <c:pt idx="15">
                  <c:v>3330242.9153075623</c:v>
                </c:pt>
                <c:pt idx="16">
                  <c:v>3696424.0987755307</c:v>
                </c:pt>
                <c:pt idx="17">
                  <c:v>3501813.1769409515</c:v>
                </c:pt>
                <c:pt idx="18">
                  <c:v>3590895.2440439588</c:v>
                </c:pt>
                <c:pt idx="19">
                  <c:v>3757487.9804268619</c:v>
                </c:pt>
                <c:pt idx="20">
                  <c:v>3775937.051582966</c:v>
                </c:pt>
                <c:pt idx="21">
                  <c:v>4118503.7433783379</c:v>
                </c:pt>
                <c:pt idx="22">
                  <c:v>4052758.7568085203</c:v>
                </c:pt>
                <c:pt idx="23">
                  <c:v>4071589.809696231</c:v>
                </c:pt>
                <c:pt idx="24">
                  <c:v>4175214.5000939886</c:v>
                </c:pt>
                <c:pt idx="25">
                  <c:v>4371322.3842407493</c:v>
                </c:pt>
                <c:pt idx="26">
                  <c:v>4676217.01377388</c:v>
                </c:pt>
                <c:pt idx="27">
                  <c:v>4502235.4817097001</c:v>
                </c:pt>
                <c:pt idx="28">
                  <c:v>4715024.5082963761</c:v>
                </c:pt>
                <c:pt idx="29">
                  <c:v>4734405.2354292851</c:v>
                </c:pt>
                <c:pt idx="30">
                  <c:v>4854956.3867917685</c:v>
                </c:pt>
              </c:numCache>
            </c:numRef>
          </c:val>
          <c:smooth val="0"/>
          <c:extLst>
            <c:ext xmlns:c16="http://schemas.microsoft.com/office/drawing/2014/chart" uri="{C3380CC4-5D6E-409C-BE32-E72D297353CC}">
              <c16:uniqueId val="{00000003-2A94-4DF0-B75D-5CEB9F35AAD3}"/>
            </c:ext>
          </c:extLst>
        </c:ser>
        <c:ser>
          <c:idx val="1"/>
          <c:order val="1"/>
          <c:tx>
            <c:strRef>
              <c:f>cOutputs!$F$185</c:f>
              <c:strCache>
                <c:ptCount val="1"/>
                <c:pt idx="0">
                  <c:v>Lease &amp; Operate</c:v>
                </c:pt>
              </c:strCache>
            </c:strRef>
          </c:tx>
          <c:spPr>
            <a:ln w="28575" cap="rnd">
              <a:solidFill>
                <a:schemeClr val="accent2"/>
              </a:solidFill>
              <a:round/>
            </a:ln>
            <a:effectLst/>
          </c:spPr>
          <c:marker>
            <c:symbol val="none"/>
          </c:marker>
          <c:dLbls>
            <c:delete val="1"/>
          </c:dLbls>
          <c:val>
            <c:numRef>
              <c:f>cOutputs!$AA$185:$BE$185</c:f>
              <c:numCache>
                <c:formatCode>#,##0_);[Red]\(#,##0\);"-"_)</c:formatCode>
                <c:ptCount val="31"/>
                <c:pt idx="0">
                  <c:v>0</c:v>
                </c:pt>
                <c:pt idx="1">
                  <c:v>2929889.531380753</c:v>
                </c:pt>
                <c:pt idx="2">
                  <c:v>2422668.4903870295</c:v>
                </c:pt>
                <c:pt idx="3">
                  <c:v>2484320.202610408</c:v>
                </c:pt>
                <c:pt idx="4">
                  <c:v>2595837.8558363887</c:v>
                </c:pt>
                <c:pt idx="5">
                  <c:v>2612385.4780407315</c:v>
                </c:pt>
                <c:pt idx="6">
                  <c:v>2837092.6530371788</c:v>
                </c:pt>
                <c:pt idx="7">
                  <c:v>2799843.9984464832</c:v>
                </c:pt>
                <c:pt idx="8">
                  <c:v>2817008.5791587667</c:v>
                </c:pt>
                <c:pt idx="9">
                  <c:v>2888729.3403361291</c:v>
                </c:pt>
                <c:pt idx="10">
                  <c:v>3019945.2777015292</c:v>
                </c:pt>
                <c:pt idx="11">
                  <c:v>3221124.4699807875</c:v>
                </c:pt>
                <c:pt idx="12">
                  <c:v>3115071.9980196389</c:v>
                </c:pt>
                <c:pt idx="13">
                  <c:v>3257417.1819126764</c:v>
                </c:pt>
                <c:pt idx="14">
                  <c:v>3275769.0145722535</c:v>
                </c:pt>
                <c:pt idx="15">
                  <c:v>3359210.1904470362</c:v>
                </c:pt>
                <c:pt idx="16">
                  <c:v>3726260.3921691887</c:v>
                </c:pt>
                <c:pt idx="17">
                  <c:v>3532544.5591364191</c:v>
                </c:pt>
                <c:pt idx="18">
                  <c:v>3622548.5677052909</c:v>
                </c:pt>
                <c:pt idx="19">
                  <c:v>3790090.9037980335</c:v>
                </c:pt>
                <c:pt idx="20">
                  <c:v>3809518.0626552729</c:v>
                </c:pt>
                <c:pt idx="21">
                  <c:v>4153092.1847828142</c:v>
                </c:pt>
                <c:pt idx="22">
                  <c:v>4088384.8514551306</c:v>
                </c:pt>
                <c:pt idx="23">
                  <c:v>4108284.6871822397</c:v>
                </c:pt>
                <c:pt idx="24">
                  <c:v>4213010.2239045771</c:v>
                </c:pt>
                <c:pt idx="25">
                  <c:v>4410251.9797656564</c:v>
                </c:pt>
                <c:pt idx="26">
                  <c:v>4716314.4971645335</c:v>
                </c:pt>
                <c:pt idx="27">
                  <c:v>4543535.8896020735</c:v>
                </c:pt>
                <c:pt idx="28">
                  <c:v>4757563.9284255207</c:v>
                </c:pt>
                <c:pt idx="29">
                  <c:v>4778220.8381623039</c:v>
                </c:pt>
                <c:pt idx="30">
                  <c:v>4900086.4576067785</c:v>
                </c:pt>
              </c:numCache>
            </c:numRef>
          </c:val>
          <c:smooth val="0"/>
          <c:extLst>
            <c:ext xmlns:c16="http://schemas.microsoft.com/office/drawing/2014/chart" uri="{C3380CC4-5D6E-409C-BE32-E72D297353CC}">
              <c16:uniqueId val="{00000004-2A94-4DF0-B75D-5CEB9F35AAD3}"/>
            </c:ext>
          </c:extLst>
        </c:ser>
        <c:ser>
          <c:idx val="2"/>
          <c:order val="2"/>
          <c:tx>
            <c:strRef>
              <c:f>cOutputs!$F$187</c:f>
              <c:strCache>
                <c:ptCount val="1"/>
                <c:pt idx="0">
                  <c:v>Outsource</c:v>
                </c:pt>
              </c:strCache>
            </c:strRef>
          </c:tx>
          <c:spPr>
            <a:ln w="28575" cap="rnd">
              <a:solidFill>
                <a:schemeClr val="accent3"/>
              </a:solidFill>
              <a:round/>
            </a:ln>
            <a:effectLst/>
          </c:spPr>
          <c:marker>
            <c:symbol val="none"/>
          </c:marker>
          <c:dLbls>
            <c:delete val="1"/>
          </c:dLbls>
          <c:val>
            <c:numRef>
              <c:f>cOutputs!$AA$187:$BE$187</c:f>
              <c:numCache>
                <c:formatCode>#,##0_);[Red]\(#,##0\);"-"_)</c:formatCode>
                <c:ptCount val="31"/>
                <c:pt idx="0">
                  <c:v>0</c:v>
                </c:pt>
                <c:pt idx="1">
                  <c:v>2781000</c:v>
                </c:pt>
                <c:pt idx="2">
                  <c:v>2864430</c:v>
                </c:pt>
                <c:pt idx="3">
                  <c:v>2950362.9</c:v>
                </c:pt>
                <c:pt idx="4">
                  <c:v>3038873.7870000005</c:v>
                </c:pt>
                <c:pt idx="5">
                  <c:v>3130040.00061</c:v>
                </c:pt>
                <c:pt idx="6">
                  <c:v>3223941.2006283002</c:v>
                </c:pt>
                <c:pt idx="7">
                  <c:v>3320659.4366471497</c:v>
                </c:pt>
                <c:pt idx="8">
                  <c:v>3420279.219746564</c:v>
                </c:pt>
                <c:pt idx="9">
                  <c:v>3522887.5963389613</c:v>
                </c:pt>
                <c:pt idx="10">
                  <c:v>3628574.22422913</c:v>
                </c:pt>
                <c:pt idx="11">
                  <c:v>3737431.4509560042</c:v>
                </c:pt>
                <c:pt idx="12">
                  <c:v>3849554.3944846843</c:v>
                </c:pt>
                <c:pt idx="13">
                  <c:v>3965041.0263192249</c:v>
                </c:pt>
                <c:pt idx="14">
                  <c:v>4083992.257108802</c:v>
                </c:pt>
                <c:pt idx="15">
                  <c:v>4206512.0248220665</c:v>
                </c:pt>
                <c:pt idx="16">
                  <c:v>4332707.3855667291</c:v>
                </c:pt>
                <c:pt idx="17">
                  <c:v>4462688.6071337303</c:v>
                </c:pt>
                <c:pt idx="18">
                  <c:v>4596569.2653477425</c:v>
                </c:pt>
                <c:pt idx="19">
                  <c:v>4734466.343308175</c:v>
                </c:pt>
                <c:pt idx="20">
                  <c:v>4876500.3336074203</c:v>
                </c:pt>
                <c:pt idx="21">
                  <c:v>5022795.3436156437</c:v>
                </c:pt>
                <c:pt idx="22">
                  <c:v>5173479.203924113</c:v>
                </c:pt>
                <c:pt idx="23">
                  <c:v>5328683.5800418369</c:v>
                </c:pt>
                <c:pt idx="24">
                  <c:v>5488544.0874430919</c:v>
                </c:pt>
                <c:pt idx="25">
                  <c:v>5653200.4100663848</c:v>
                </c:pt>
                <c:pt idx="26">
                  <c:v>5822796.4223683765</c:v>
                </c:pt>
                <c:pt idx="27">
                  <c:v>5997480.315039428</c:v>
                </c:pt>
                <c:pt idx="28">
                  <c:v>6177404.7244906109</c:v>
                </c:pt>
                <c:pt idx="29">
                  <c:v>6362726.8662253292</c:v>
                </c:pt>
                <c:pt idx="30">
                  <c:v>6553608.6722120894</c:v>
                </c:pt>
              </c:numCache>
            </c:numRef>
          </c:val>
          <c:smooth val="0"/>
          <c:extLst>
            <c:ext xmlns:c16="http://schemas.microsoft.com/office/drawing/2014/chart" uri="{C3380CC4-5D6E-409C-BE32-E72D297353CC}">
              <c16:uniqueId val="{00000005-2A94-4DF0-B75D-5CEB9F35AAD3}"/>
            </c:ext>
          </c:extLst>
        </c:ser>
        <c:dLbls>
          <c:dLblPos val="ctr"/>
          <c:showLegendKey val="0"/>
          <c:showVal val="1"/>
          <c:showCatName val="0"/>
          <c:showSerName val="0"/>
          <c:showPercent val="0"/>
          <c:showBubbleSize val="0"/>
        </c:dLbls>
        <c:smooth val="0"/>
        <c:axId val="1453244991"/>
        <c:axId val="1548886543"/>
      </c:lineChart>
      <c:catAx>
        <c:axId val="1453244991"/>
        <c:scaling>
          <c:orientation val="minMax"/>
        </c:scaling>
        <c:delete val="0"/>
        <c:axPos val="b"/>
        <c:numFmt formatCode="#,##0_);[Red]\(#,##0\);&quot;-&quot;_)"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8886543"/>
        <c:crosses val="autoZero"/>
        <c:auto val="1"/>
        <c:lblAlgn val="ctr"/>
        <c:lblOffset val="100"/>
        <c:noMultiLvlLbl val="0"/>
      </c:catAx>
      <c:valAx>
        <c:axId val="1548886543"/>
        <c:scaling>
          <c:orientation val="minMax"/>
          <c:min val="0"/>
        </c:scaling>
        <c:delete val="0"/>
        <c:axPos val="l"/>
        <c:majorGridlines>
          <c:spPr>
            <a:ln w="9525" cap="flat" cmpd="sng" algn="ctr">
              <a:noFill/>
              <a:round/>
            </a:ln>
            <a:effectLst/>
          </c:spPr>
        </c:majorGridlines>
        <c:numFmt formatCode="#.0,,_);[Red]\(#.0,,\);&quot;0.0&quot;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324499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cOutputs!$F$175</c:f>
              <c:strCache>
                <c:ptCount val="1"/>
                <c:pt idx="0">
                  <c:v>Build &amp; Operate</c:v>
                </c:pt>
              </c:strCache>
            </c:strRef>
          </c:tx>
          <c:spPr>
            <a:solidFill>
              <a:schemeClr val="accent1"/>
            </a:solidFill>
            <a:ln>
              <a:noFill/>
            </a:ln>
            <a:effectLst/>
          </c:spPr>
          <c:invertIfNegative val="0"/>
          <c:dLbls>
            <c:numFmt formatCode="#.0,,_);[Red]\(#.0,,\);&quot;0.0&quot;_)"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cOutputs!$I$175</c:f>
              <c:numCache>
                <c:formatCode>#,##0_);[Red]\(#,##0\);"-"_)</c:formatCode>
                <c:ptCount val="1"/>
                <c:pt idx="0">
                  <c:v>108919988.90321052</c:v>
                </c:pt>
              </c:numCache>
            </c:numRef>
          </c:val>
          <c:extLst>
            <c:ext xmlns:c16="http://schemas.microsoft.com/office/drawing/2014/chart" uri="{C3380CC4-5D6E-409C-BE32-E72D297353CC}">
              <c16:uniqueId val="{00000000-3116-458E-8111-55EFE431C328}"/>
            </c:ext>
          </c:extLst>
        </c:ser>
        <c:ser>
          <c:idx val="1"/>
          <c:order val="1"/>
          <c:tx>
            <c:strRef>
              <c:f>cOutputs!$F$177</c:f>
              <c:strCache>
                <c:ptCount val="1"/>
                <c:pt idx="0">
                  <c:v>Lease &amp; Operate</c:v>
                </c:pt>
              </c:strCache>
            </c:strRef>
          </c:tx>
          <c:spPr>
            <a:solidFill>
              <a:schemeClr val="accent2"/>
            </a:solidFill>
            <a:ln>
              <a:noFill/>
            </a:ln>
            <a:effectLst/>
          </c:spPr>
          <c:invertIfNegative val="0"/>
          <c:dLbls>
            <c:numFmt formatCode="#.0,,_);[Red]\(#.0,,\);&quot;0.0&quot;_)"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cOutputs!$I$177</c:f>
              <c:numCache>
                <c:formatCode>#,##0_);[Red]\(#,##0\);"-"_)</c:formatCode>
                <c:ptCount val="1"/>
                <c:pt idx="0">
                  <c:v>106786022.28538363</c:v>
                </c:pt>
              </c:numCache>
            </c:numRef>
          </c:val>
          <c:extLst>
            <c:ext xmlns:c16="http://schemas.microsoft.com/office/drawing/2014/chart" uri="{C3380CC4-5D6E-409C-BE32-E72D297353CC}">
              <c16:uniqueId val="{00000001-3116-458E-8111-55EFE431C328}"/>
            </c:ext>
          </c:extLst>
        </c:ser>
        <c:ser>
          <c:idx val="2"/>
          <c:order val="2"/>
          <c:tx>
            <c:strRef>
              <c:f>cOutputs!$F$179</c:f>
              <c:strCache>
                <c:ptCount val="1"/>
                <c:pt idx="0">
                  <c:v>Outsource</c:v>
                </c:pt>
              </c:strCache>
            </c:strRef>
          </c:tx>
          <c:spPr>
            <a:solidFill>
              <a:schemeClr val="accent3"/>
            </a:solidFill>
            <a:ln>
              <a:noFill/>
            </a:ln>
            <a:effectLst/>
          </c:spPr>
          <c:invertIfNegative val="0"/>
          <c:dLbls>
            <c:numFmt formatCode="#.0,,_);[Red]\(#.0,,\);&quot;0.0&quot;_)"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cOutputs!$I$179</c:f>
              <c:numCache>
                <c:formatCode>#,##0_);[Red]\(#,##0\);"-"_)</c:formatCode>
                <c:ptCount val="1"/>
                <c:pt idx="0">
                  <c:v>132307231.07928161</c:v>
                </c:pt>
              </c:numCache>
            </c:numRef>
          </c:val>
          <c:extLst>
            <c:ext xmlns:c16="http://schemas.microsoft.com/office/drawing/2014/chart" uri="{C3380CC4-5D6E-409C-BE32-E72D297353CC}">
              <c16:uniqueId val="{00000002-3116-458E-8111-55EFE431C328}"/>
            </c:ext>
          </c:extLst>
        </c:ser>
        <c:dLbls>
          <c:dLblPos val="ctr"/>
          <c:showLegendKey val="0"/>
          <c:showVal val="1"/>
          <c:showCatName val="0"/>
          <c:showSerName val="0"/>
          <c:showPercent val="0"/>
          <c:showBubbleSize val="0"/>
        </c:dLbls>
        <c:gapWidth val="219"/>
        <c:overlap val="-27"/>
        <c:axId val="1453244991"/>
        <c:axId val="1548886543"/>
      </c:barChart>
      <c:catAx>
        <c:axId val="1453244991"/>
        <c:scaling>
          <c:orientation val="minMax"/>
        </c:scaling>
        <c:delete val="1"/>
        <c:axPos val="b"/>
        <c:majorTickMark val="none"/>
        <c:minorTickMark val="none"/>
        <c:tickLblPos val="nextTo"/>
        <c:crossAx val="1548886543"/>
        <c:crosses val="autoZero"/>
        <c:auto val="1"/>
        <c:lblAlgn val="ctr"/>
        <c:lblOffset val="100"/>
        <c:noMultiLvlLbl val="0"/>
      </c:catAx>
      <c:valAx>
        <c:axId val="1548886543"/>
        <c:scaling>
          <c:orientation val="minMax"/>
          <c:min val="0"/>
        </c:scaling>
        <c:delete val="0"/>
        <c:axPos val="l"/>
        <c:majorGridlines>
          <c:spPr>
            <a:ln w="9525" cap="flat" cmpd="sng" algn="ctr">
              <a:noFill/>
              <a:round/>
            </a:ln>
            <a:effectLst/>
          </c:spPr>
        </c:majorGridlines>
        <c:numFmt formatCode="#.0,,_);[Red]\(#.0,,\);&quot;0.0&quot;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32449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A62CAC2E-46E7-4AAF-80FB-CFD90A7B16D9}">
  <sheetPr codeName="Chart2">
    <tabColor rgb="FF57B6B3"/>
  </sheetPr>
  <sheetViews>
    <sheetView tabSelected="1" zoomScale="70" workbookViewId="0"/>
  </sheetViews>
  <sheetProtection algorithmName="SHA-512" hashValue="xVNhAQIXBD+sF+zrIFF6M7d5FBHyQzlCfZFMVK9rU1dq8Q173dBKNDVL3VTvsXob2UfNcFNr/qEe3/9+0Pry6g==" saltValue="++ShOXZMVEWXwrKbSgOfGQ==" spinCount="100000" content="1" objects="1"/>
  <pageMargins left="0.7" right="0.7" top="0.75" bottom="0.75" header="0.3" footer="0.3"/>
  <pageSetup paperSize="9" orientation="landscape" r:id="rId1"/>
  <drawing r:id="rId2"/>
</chartsheet>
</file>

<file path=xl/ctrlProps/ctrlProp1.xml><?xml version="1.0" encoding="utf-8"?>
<formControlPr xmlns="http://schemas.microsoft.com/office/spreadsheetml/2009/9/main" objectType="Drop" dropStyle="combo" dx="22" fmlaLink="ActiveCallVolumeScenarioIndex" fmlaRange="lstScenariosCallVolume" noThreeD="1" sel="1" val="0"/>
</file>

<file path=xl/ctrlProps/ctrlProp2.xml><?xml version="1.0" encoding="utf-8"?>
<formControlPr xmlns="http://schemas.microsoft.com/office/spreadsheetml/2009/9/main" objectType="Drop" dropStyle="combo" dx="22" fmlaLink="ActiveCostScenarioIndex" fmlaRange="lstScenariosCost" noThreeD="1" sel="2" val="0"/>
</file>

<file path=xl/ctrlProps/ctrlProp3.xml><?xml version="1.0" encoding="utf-8"?>
<formControlPr xmlns="http://schemas.microsoft.com/office/spreadsheetml/2009/9/main" objectType="Drop" dropStyle="combo" dx="22" fmlaLink="ActiveCallVolumeScenarioIndex" fmlaRange="lstScenariosCallVolume" noThreeD="1" sel="1" val="0"/>
</file>

<file path=xl/ctrlProps/ctrlProp4.xml><?xml version="1.0" encoding="utf-8"?>
<formControlPr xmlns="http://schemas.microsoft.com/office/spreadsheetml/2009/9/main" objectType="Drop" dropStyle="combo" dx="22" fmlaLink="ActiveCostScenarioIndex" fmlaRange="lstScenariosCost" noThreeD="1" sel="2" val="0"/>
</file>

<file path=xl/ctrlProps/ctrlProp5.xml><?xml version="1.0" encoding="utf-8"?>
<formControlPr xmlns="http://schemas.microsoft.com/office/spreadsheetml/2009/9/main" objectType="Drop" dropStyle="combo" dx="22" fmlaLink="ActiveCallVolumeScenarioIndex" fmlaRange="lstScenariosCallVolume" noThreeD="1" sel="1" val="0"/>
</file>

<file path=xl/ctrlProps/ctrlProp6.xml><?xml version="1.0" encoding="utf-8"?>
<formControlPr xmlns="http://schemas.microsoft.com/office/spreadsheetml/2009/9/main" objectType="Drop" dropStyle="combo" dx="22" fmlaLink="ActiveCostScenarioIndex" fmlaRange="lstScenariosCost" noThreeD="1" sel="2" val="0"/>
</file>

<file path=xl/ctrlProps/ctrlProp7.xml><?xml version="1.0" encoding="utf-8"?>
<formControlPr xmlns="http://schemas.microsoft.com/office/spreadsheetml/2009/9/main" objectType="Drop" dropStyle="combo" dx="22" fmlaLink="ActiveCallVolumeScenarioIndex" fmlaRange="lstScenariosCallVolume" noThreeD="1" sel="1" val="0"/>
</file>

<file path=xl/ctrlProps/ctrlProp8.xml><?xml version="1.0" encoding="utf-8"?>
<formControlPr xmlns="http://schemas.microsoft.com/office/spreadsheetml/2009/9/main" objectType="Drop" dropStyle="combo" dx="22" fmlaLink="ActiveCostScenarioIndex" fmlaRange="lstScenariosCost" noThreeD="1" sel="2" val="0"/>
</file>

<file path=xl/ctrlProps/ctrlProp9.xml><?xml version="1.0" encoding="utf-8"?>
<formControlPr xmlns="http://schemas.microsoft.com/office/spreadsheetml/2009/9/main" objectType="Drop" dropStyle="combo" dx="22" fmlaLink="ActiveCallVolumeScenarioIndex" fmlaRange="lstScenariosCallVolume" noThreeD="1" sel="1" val="0"/>
</file>

<file path=xl/ctrlProps/ctrlProp10.xml><?xml version="1.0" encoding="utf-8"?>
<formControlPr xmlns="http://schemas.microsoft.com/office/spreadsheetml/2009/9/main" objectType="Drop" dropStyle="combo" dx="22" fmlaLink="ActiveCostScenarioIndex" fmlaRange="lstScenariosCost" noThreeD="1" sel="2" val="0"/>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8" Type="http://schemas.openxmlformats.org/officeDocument/2006/relationships/hyperlink" Target="#iOptions!A1"/><Relationship Id="rId13" Type="http://schemas.openxmlformats.org/officeDocument/2006/relationships/hyperlink" Target="#Contents!A1"/><Relationship Id="rId3" Type="http://schemas.openxmlformats.org/officeDocument/2006/relationships/hyperlink" Target="#iControl!A1"/><Relationship Id="rId7" Type="http://schemas.openxmlformats.org/officeDocument/2006/relationships/hyperlink" Target="#iIndices!A1"/><Relationship Id="rId12" Type="http://schemas.openxmlformats.org/officeDocument/2006/relationships/hyperlink" Target="#oDashboard!A1"/><Relationship Id="rId2" Type="http://schemas.openxmlformats.org/officeDocument/2006/relationships/hyperlink" Target="#cVolumetrics!A1"/><Relationship Id="rId1" Type="http://schemas.openxmlformats.org/officeDocument/2006/relationships/hyperlink" Target="#oFinancials!A1"/><Relationship Id="rId6" Type="http://schemas.openxmlformats.org/officeDocument/2006/relationships/hyperlink" Target="#SysTime!A1"/><Relationship Id="rId11" Type="http://schemas.openxmlformats.org/officeDocument/2006/relationships/hyperlink" Target="#cOutputs!A1"/><Relationship Id="rId5" Type="http://schemas.openxmlformats.org/officeDocument/2006/relationships/hyperlink" Target="#SysConfig!A1"/><Relationship Id="rId10" Type="http://schemas.openxmlformats.org/officeDocument/2006/relationships/hyperlink" Target="#cFactors!A1"/><Relationship Id="rId4" Type="http://schemas.openxmlformats.org/officeDocument/2006/relationships/hyperlink" Target="#Introduction!A1"/><Relationship Id="rId9" Type="http://schemas.openxmlformats.org/officeDocument/2006/relationships/hyperlink" Target="#cCosts!A1"/><Relationship Id="rId14" Type="http://schemas.openxmlformats.org/officeDocument/2006/relationships/image" Target="../media/image3.png"/></Relationships>
</file>

<file path=xl/drawings/_rels/drawing9.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absoluteAnchor>
    <xdr:pos x="0" y="0"/>
    <xdr:ext cx="9307286" cy="6059714"/>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0.03985</cdr:x>
      <cdr:y>0.03659</cdr:y>
    </cdr:from>
    <cdr:to>
      <cdr:x>0.12685</cdr:x>
      <cdr:y>0.15092</cdr:y>
    </cdr:to>
    <cdr:pic>
      <cdr:nvPicPr>
        <cdr:cNvPr id="2" name="Google Shape;17;p11" descr="Government Commercial Function logo">
          <a:extLst xmlns:a="http://schemas.openxmlformats.org/drawingml/2006/main">
            <a:ext uri="{FF2B5EF4-FFF2-40B4-BE49-F238E27FC236}">
              <a16:creationId xmlns:a16="http://schemas.microsoft.com/office/drawing/2014/main" id="{00000000-0008-0000-0100-000005000000}"/>
            </a:ext>
          </a:extLst>
        </cdr:cNvPr>
        <cdr:cNvPicPr preferRelativeResize="0"/>
      </cdr:nvPicPr>
      <cdr:blipFill rotWithShape="1">
        <a:blip xmlns:a="http://schemas.openxmlformats.org/drawingml/2006/main" xmlns:r="http://schemas.openxmlformats.org/officeDocument/2006/relationships" r:embed="rId1">
          <a:alphaModFix/>
        </a:blip>
        <a:srcRect xmlns:a="http://schemas.openxmlformats.org/drawingml/2006/main" l="5815"/>
        <a:stretch xmlns:a="http://schemas.openxmlformats.org/drawingml/2006/main"/>
      </cdr:blipFill>
      <cdr:spPr>
        <a:xfrm xmlns:a="http://schemas.openxmlformats.org/drawingml/2006/main">
          <a:off x="370902" y="222563"/>
          <a:ext cx="809625" cy="695325"/>
        </a:xfrm>
        <a:prstGeom xmlns:a="http://schemas.openxmlformats.org/drawingml/2006/main" prst="rect">
          <a:avLst/>
        </a:prstGeom>
        <a:noFill xmlns:a="http://schemas.openxmlformats.org/drawingml/2006/main"/>
        <a:ln xmlns:a="http://schemas.openxmlformats.org/drawingml/2006/main">
          <a:noFill/>
        </a:ln>
      </cdr:spPr>
    </cdr:pic>
  </cdr:relSizeAnchor>
  <cdr:relSizeAnchor xmlns:cdr="http://schemas.openxmlformats.org/drawingml/2006/chartDrawing">
    <cdr:from>
      <cdr:x>0.02539</cdr:x>
      <cdr:y>0.31717</cdr:y>
    </cdr:from>
    <cdr:to>
      <cdr:x>0.60168</cdr:x>
      <cdr:y>0.44173</cdr:y>
    </cdr:to>
    <cdr:sp macro="" textlink="">
      <cdr:nvSpPr>
        <cdr:cNvPr id="3" name="TextBox 1">
          <a:extLst xmlns:a="http://schemas.openxmlformats.org/drawingml/2006/main">
            <a:ext uri="{FF2B5EF4-FFF2-40B4-BE49-F238E27FC236}">
              <a16:creationId xmlns:a16="http://schemas.microsoft.com/office/drawing/2014/main" id="{AC50EC96-F874-4F1A-B407-1A9C8521432A}"/>
            </a:ext>
          </a:extLst>
        </cdr:cNvPr>
        <cdr:cNvSpPr txBox="1"/>
      </cdr:nvSpPr>
      <cdr:spPr>
        <a:xfrm xmlns:a="http://schemas.openxmlformats.org/drawingml/2006/main">
          <a:off x="157623" y="1286609"/>
          <a:ext cx="3577671" cy="505267"/>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rtl="0"/>
          <a:r>
            <a:rPr lang="en-GB" sz="2800" b="0" i="0">
              <a:solidFill>
                <a:srgbClr val="57B6B2"/>
              </a:solidFill>
              <a:effectLst/>
              <a:latin typeface="Arial" panose="020B0604020202020204" pitchFamily="34" charset="0"/>
              <a:ea typeface="+mn-ea"/>
              <a:cs typeface="Arial" panose="020B0604020202020204" pitchFamily="34" charset="0"/>
            </a:rPr>
            <a:t>SCM CASE STUDY</a:t>
          </a:r>
          <a:endParaRPr lang="en-US" sz="2800">
            <a:solidFill>
              <a:srgbClr val="57B6B2"/>
            </a:solidFill>
            <a:effectLst/>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0.49452</cdr:x>
      <cdr:y>0.31077</cdr:y>
    </cdr:from>
    <cdr:to>
      <cdr:x>0.86461</cdr:x>
      <cdr:y>0.82377</cdr:y>
    </cdr:to>
    <cdr:pic>
      <cdr:nvPicPr>
        <cdr:cNvPr id="4" name="Google Shape;18;p11">
          <a:extLst xmlns:a="http://schemas.openxmlformats.org/drawingml/2006/main">
            <a:ext uri="{FF2B5EF4-FFF2-40B4-BE49-F238E27FC236}">
              <a16:creationId xmlns:a16="http://schemas.microsoft.com/office/drawing/2014/main" id="{FD9F5C79-0A90-4B8B-BD65-630656FE54DC}"/>
            </a:ext>
          </a:extLst>
        </cdr:cNvPr>
        <cdr:cNvPicPr preferRelativeResize="0"/>
      </cdr:nvPicPr>
      <cdr:blipFill rotWithShape="1">
        <a:blip xmlns:a="http://schemas.openxmlformats.org/drawingml/2006/main" xmlns:r="http://schemas.openxmlformats.org/officeDocument/2006/relationships" r:embed="rId2">
          <a:alphaModFix/>
        </a:blip>
        <a:srcRect xmlns:a="http://schemas.openxmlformats.org/drawingml/2006/main"/>
        <a:stretch xmlns:a="http://schemas.openxmlformats.org/drawingml/2006/main"/>
      </cdr:blipFill>
      <cdr:spPr>
        <a:xfrm xmlns:a="http://schemas.openxmlformats.org/drawingml/2006/main">
          <a:off x="4602188" y="1890062"/>
          <a:ext cx="3444175" cy="3120071"/>
        </a:xfrm>
        <a:prstGeom xmlns:a="http://schemas.openxmlformats.org/drawingml/2006/main" prst="rect">
          <a:avLst/>
        </a:prstGeom>
        <a:noFill xmlns:a="http://schemas.openxmlformats.org/drawingml/2006/main"/>
        <a:ln xmlns:a="http://schemas.openxmlformats.org/drawingml/2006/main">
          <a:noFill/>
        </a:ln>
      </cdr:spPr>
    </cdr:pic>
  </cdr:relSizeAnchor>
  <cdr:relSizeAnchor xmlns:cdr="http://schemas.openxmlformats.org/drawingml/2006/chartDrawing">
    <cdr:from>
      <cdr:x>0.04111</cdr:x>
      <cdr:y>0.8293</cdr:y>
    </cdr:from>
    <cdr:to>
      <cdr:x>0.59162</cdr:x>
      <cdr:y>0.86871</cdr:y>
    </cdr:to>
    <cdr:sp macro="" textlink="">
      <cdr:nvSpPr>
        <cdr:cNvPr id="6" name="TextBox 1">
          <a:extLst xmlns:a="http://schemas.openxmlformats.org/drawingml/2006/main">
            <a:ext uri="{FF2B5EF4-FFF2-40B4-BE49-F238E27FC236}">
              <a16:creationId xmlns:a16="http://schemas.microsoft.com/office/drawing/2014/main" id="{923E55D1-79AB-43CF-B91E-405FC28B9CAC}"/>
            </a:ext>
          </a:extLst>
        </cdr:cNvPr>
        <cdr:cNvSpPr txBox="1"/>
      </cdr:nvSpPr>
      <cdr:spPr>
        <a:xfrm xmlns:a="http://schemas.openxmlformats.org/drawingml/2006/main">
          <a:off x="382820" y="5046120"/>
          <a:ext cx="5126398" cy="239809"/>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rtl="0"/>
          <a:endParaRPr lang="en-US" sz="1000">
            <a:solidFill>
              <a:sysClr val="windowText" lastClr="000000"/>
            </a:solidFill>
            <a:effectLst/>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0.0256</cdr:x>
      <cdr:y>0.84674</cdr:y>
    </cdr:from>
    <cdr:to>
      <cdr:x>0.94988</cdr:x>
      <cdr:y>1</cdr:y>
    </cdr:to>
    <cdr:sp macro="" textlink="">
      <cdr:nvSpPr>
        <cdr:cNvPr id="5" name="TextBox 4"/>
        <cdr:cNvSpPr txBox="1"/>
      </cdr:nvSpPr>
      <cdr:spPr>
        <a:xfrm xmlns:a="http://schemas.openxmlformats.org/drawingml/2006/main">
          <a:off x="158598" y="3425783"/>
          <a:ext cx="5726641" cy="62007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400" b="1">
              <a:solidFill>
                <a:srgbClr val="FF0000"/>
              </a:solidFill>
            </a:rPr>
            <a:t>THIS CASE STUDY MODEL IS FOR ILLUSTRATIVE PURPOSES</a:t>
          </a:r>
        </a:p>
      </cdr:txBody>
    </cdr:sp>
  </cdr:relSizeAnchor>
  <cdr:relSizeAnchor xmlns:cdr="http://schemas.openxmlformats.org/drawingml/2006/chartDrawing">
    <cdr:from>
      <cdr:x>0.04359</cdr:x>
      <cdr:y>0.6881</cdr:y>
    </cdr:from>
    <cdr:to>
      <cdr:x>0.41019</cdr:x>
      <cdr:y>0.77492</cdr:y>
    </cdr:to>
    <cdr:sp macro="" textlink="">
      <cdr:nvSpPr>
        <cdr:cNvPr id="9" name="TextBox 8"/>
        <cdr:cNvSpPr txBox="1"/>
      </cdr:nvSpPr>
      <cdr:spPr>
        <a:xfrm xmlns:a="http://schemas.openxmlformats.org/drawingml/2006/main">
          <a:off x="405423" y="4181231"/>
          <a:ext cx="3409462" cy="52753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sz="1100"/>
        </a:p>
      </cdr:txBody>
    </cdr:sp>
  </cdr:relSizeAnchor>
  <cdr:relSizeAnchor xmlns:cdr="http://schemas.openxmlformats.org/drawingml/2006/chartDrawing">
    <cdr:from>
      <cdr:x>0.02592</cdr:x>
      <cdr:y>0.42455</cdr:y>
    </cdr:from>
    <cdr:to>
      <cdr:x>0.51625</cdr:x>
      <cdr:y>0.5709</cdr:y>
    </cdr:to>
    <cdr:sp macro="" textlink="[0]!cstProjectName">
      <cdr:nvSpPr>
        <cdr:cNvPr id="10" name="TextBox 1">
          <a:extLst xmlns:a="http://schemas.openxmlformats.org/drawingml/2006/main">
            <a:ext uri="{FF2B5EF4-FFF2-40B4-BE49-F238E27FC236}">
              <a16:creationId xmlns:a16="http://schemas.microsoft.com/office/drawing/2014/main" id="{923E55D1-79AB-43CF-B91E-405FC28B9CAC}"/>
            </a:ext>
          </a:extLst>
        </cdr:cNvPr>
        <cdr:cNvSpPr txBox="1"/>
      </cdr:nvSpPr>
      <cdr:spPr>
        <a:xfrm xmlns:a="http://schemas.openxmlformats.org/drawingml/2006/main">
          <a:off x="160891" y="1722212"/>
          <a:ext cx="3043991" cy="593673"/>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no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rtl="0"/>
          <a:fld id="{EC8B34AD-5A03-4028-878D-437D47AFAC33}" type="TxLink">
            <a:rPr lang="en-US" sz="1600" b="0" i="0" u="none" strike="noStrike">
              <a:solidFill>
                <a:schemeClr val="bg1"/>
              </a:solidFill>
              <a:effectLst/>
              <a:latin typeface="Arial"/>
              <a:cs typeface="Arial"/>
            </a:rPr>
            <a:pPr rtl="0"/>
            <a:t>Should Cost Modelling Case Study - Illustrative SCM</a:t>
          </a:fld>
          <a:endParaRPr lang="en-US" sz="1600">
            <a:solidFill>
              <a:schemeClr val="bg1"/>
            </a:solidFill>
            <a:effectLst/>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0.38572</cdr:x>
      <cdr:y>0.0194</cdr:y>
    </cdr:from>
    <cdr:to>
      <cdr:x>0.6787</cdr:x>
      <cdr:y>0.06545</cdr:y>
    </cdr:to>
    <cdr:sp macro="" textlink="[0]!cstProtectiveMarking">
      <cdr:nvSpPr>
        <cdr:cNvPr id="11" name="TextBox 1">
          <a:extLst xmlns:a="http://schemas.openxmlformats.org/drawingml/2006/main">
            <a:ext uri="{FF2B5EF4-FFF2-40B4-BE49-F238E27FC236}">
              <a16:creationId xmlns:a16="http://schemas.microsoft.com/office/drawing/2014/main" id="{F0323009-8D2E-124A-8A6E-AD92FBF6BFA4}"/>
            </a:ext>
          </a:extLst>
        </cdr:cNvPr>
        <cdr:cNvSpPr txBox="1"/>
      </cdr:nvSpPr>
      <cdr:spPr>
        <a:xfrm xmlns:a="http://schemas.openxmlformats.org/drawingml/2006/main">
          <a:off x="3053080" y="100338"/>
          <a:ext cx="2319017" cy="238174"/>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rtl="0"/>
          <a:fld id="{FDED7E02-1165-4F15-A7B5-7B2390D8C160}" type="TxLink">
            <a:rPr lang="en-US" sz="900" b="1" i="0" u="none" strike="noStrike">
              <a:solidFill>
                <a:schemeClr val="bg1">
                  <a:lumMod val="95000"/>
                </a:schemeClr>
              </a:solidFill>
              <a:effectLst/>
              <a:latin typeface="Arial"/>
              <a:cs typeface="Arial"/>
            </a:rPr>
            <a:pPr rtl="0"/>
            <a:t>Not Protectively Marked</a:t>
          </a:fld>
          <a:endParaRPr lang="en-US" sz="2000" b="1">
            <a:solidFill>
              <a:schemeClr val="bg1">
                <a:lumMod val="95000"/>
              </a:schemeClr>
            </a:solidFill>
            <a:effectLst/>
            <a:latin typeface="+mn-lt"/>
            <a:cs typeface="Arial" panose="020B0604020202020204" pitchFamily="34" charset="0"/>
          </a:endParaRPr>
        </a:p>
      </cdr:txBody>
    </cdr:sp>
  </cdr:relSizeAnchor>
  <cdr:relSizeAnchor xmlns:cdr="http://schemas.openxmlformats.org/drawingml/2006/chartDrawing">
    <cdr:from>
      <cdr:x>0.03193</cdr:x>
      <cdr:y>0.65292</cdr:y>
    </cdr:from>
    <cdr:to>
      <cdr:x>0.44163</cdr:x>
      <cdr:y>0.79927</cdr:y>
    </cdr:to>
    <cdr:sp macro="" textlink="">
      <cdr:nvSpPr>
        <cdr:cNvPr id="12" name="TextBox 1">
          <a:extLst xmlns:a="http://schemas.openxmlformats.org/drawingml/2006/main">
            <a:ext uri="{FF2B5EF4-FFF2-40B4-BE49-F238E27FC236}">
              <a16:creationId xmlns:a16="http://schemas.microsoft.com/office/drawing/2014/main" id="{58BA87E4-B3EB-49BC-A367-8833DBFFEA11}"/>
            </a:ext>
          </a:extLst>
        </cdr:cNvPr>
        <cdr:cNvSpPr txBox="1"/>
      </cdr:nvSpPr>
      <cdr:spPr>
        <a:xfrm xmlns:a="http://schemas.openxmlformats.org/drawingml/2006/main">
          <a:off x="297329" y="3972859"/>
          <a:ext cx="3815163" cy="890510"/>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no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rtl="0"/>
          <a:r>
            <a:rPr lang="en-US" sz="1050" b="0" i="0" u="none" strike="noStrike">
              <a:solidFill>
                <a:schemeClr val="bg1"/>
              </a:solidFill>
              <a:effectLst/>
              <a:latin typeface="Arial"/>
              <a:cs typeface="Arial"/>
            </a:rPr>
            <a:t>MAY 2021</a:t>
          </a:r>
        </a:p>
        <a:p xmlns:a="http://schemas.openxmlformats.org/drawingml/2006/main">
          <a:pPr rtl="0"/>
          <a:r>
            <a:rPr lang="en-US" sz="1050" b="0" i="0" u="none" strike="noStrike">
              <a:solidFill>
                <a:schemeClr val="bg1"/>
              </a:solidFill>
              <a:effectLst/>
              <a:latin typeface="Arial"/>
              <a:cs typeface="Arial"/>
            </a:rPr>
            <a:t>Version 1.00</a:t>
          </a:r>
          <a:endParaRPr lang="en-US" sz="2800">
            <a:solidFill>
              <a:schemeClr val="bg1"/>
            </a:solidFill>
            <a:effectLst/>
            <a:latin typeface="Arial" panose="020B0604020202020204" pitchFamily="34" charset="0"/>
            <a:cs typeface="Arial" panose="020B0604020202020204" pitchFamily="34" charset="0"/>
          </a:endParaRPr>
        </a:p>
      </cdr:txBody>
    </cdr:sp>
  </cdr:relSizeAnchor>
</c:userShapes>
</file>

<file path=xl/drawings/drawing3.xml><?xml version="1.0" encoding="utf-8"?>
<xdr:wsDr xmlns:xdr="http://schemas.openxmlformats.org/drawingml/2006/spreadsheetDrawing" xmlns:a="http://schemas.openxmlformats.org/drawingml/2006/main">
  <xdr:twoCellAnchor>
    <xdr:from>
      <xdr:col>0</xdr:col>
      <xdr:colOff>212912</xdr:colOff>
      <xdr:row>10</xdr:row>
      <xdr:rowOff>112059</xdr:rowOff>
    </xdr:from>
    <xdr:to>
      <xdr:col>17</xdr:col>
      <xdr:colOff>533400</xdr:colOff>
      <xdr:row>63</xdr:row>
      <xdr:rowOff>142875</xdr:rowOff>
    </xdr:to>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212912" y="1712259"/>
          <a:ext cx="11502838" cy="810801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This example Should Cost Model (SCM) has been prepared by the Cabinet Office Sourcing Programme. It is based on a fictitious case study, namely the ‘CASE Contact Centre’, and has been prepared as an illustrative example of an SCM. </a:t>
          </a:r>
        </a:p>
        <a:p>
          <a:endParaRPr lang="en-GB" sz="1100"/>
        </a:p>
        <a:p>
          <a:r>
            <a:rPr lang="en-GB" sz="1100"/>
            <a:t>It is one of three case study publications which illustrate some* of the key documentation that would typically be produced over the SCM development lifecycle and is intended to highlight good practice principles. The documents produced for this case study are:</a:t>
          </a:r>
        </a:p>
        <a:p>
          <a:r>
            <a:rPr lang="en-GB" sz="1100"/>
            <a:t>     - An illustrative Model Scope</a:t>
          </a:r>
        </a:p>
        <a:p>
          <a:r>
            <a:rPr lang="en-GB" sz="1100">
              <a:solidFill>
                <a:schemeClr val="dk1"/>
              </a:solidFill>
              <a:effectLst/>
              <a:latin typeface="+mn-lt"/>
              <a:ea typeface="+mn-ea"/>
              <a:cs typeface="+mn-cs"/>
            </a:rPr>
            <a:t>     - </a:t>
          </a:r>
          <a:r>
            <a:rPr lang="en-GB" sz="1100"/>
            <a:t>An illustrative Model Specification </a:t>
          </a:r>
        </a:p>
        <a:p>
          <a:r>
            <a:rPr lang="en-GB" sz="1100">
              <a:solidFill>
                <a:schemeClr val="dk1"/>
              </a:solidFill>
              <a:effectLst/>
              <a:latin typeface="+mn-lt"/>
              <a:ea typeface="+mn-ea"/>
              <a:cs typeface="+mn-cs"/>
            </a:rPr>
            <a:t>     - </a:t>
          </a:r>
          <a:r>
            <a:rPr lang="en-GB" sz="1100"/>
            <a:t>An illustrative SCM (this file)</a:t>
          </a:r>
        </a:p>
        <a:p>
          <a:endParaRPr lang="en-GB" sz="1100"/>
        </a:p>
        <a:p>
          <a:r>
            <a:rPr lang="en-GB" sz="1100"/>
            <a:t>The case study publications are intended to provide a worked example illustration of good practice model planning and model build techniques and are intended for use by those involved in the production of SCMs.</a:t>
          </a:r>
        </a:p>
        <a:p>
          <a:endParaRPr lang="en-GB" sz="1100"/>
        </a:p>
        <a:p>
          <a:r>
            <a:rPr lang="en-GB" sz="1100"/>
            <a:t>The case study publications are based on SCM Tools and Templates produced by the Sourcing Programme. The underlying Sourcing Programme SCM Tools &amp; Templates use GCF branding and include guidance on how to use and adapt them. The branding of the underlying SCM Tools &amp; Templates in this case study have been updated to reflect that of the fictitious ‘CASE’ department.</a:t>
          </a:r>
        </a:p>
        <a:p>
          <a:endParaRPr lang="en-GB" sz="1100"/>
        </a:p>
        <a:p>
          <a:r>
            <a:rPr lang="en-GB" sz="1100"/>
            <a:t>For the purposes of this illustrative case study all inputs and outputs from the model are exclusive of VAT. Notably, whilst the Green Book excludes irrecoverable VAT from the economic case of a Business Case (it is classed as a transfer payment) the calculation of irrecoverable VAT would be required for the financial case of a Business Case owing to its impact on affordability. </a:t>
          </a:r>
        </a:p>
        <a:p>
          <a:endParaRPr lang="en-GB" sz="1100"/>
        </a:p>
        <a:p>
          <a:r>
            <a:rPr lang="en-GB" sz="1100">
              <a:solidFill>
                <a:schemeClr val="dk1"/>
              </a:solidFill>
              <a:effectLst/>
              <a:latin typeface="+mn-lt"/>
              <a:ea typeface="+mn-ea"/>
              <a:cs typeface="+mn-cs"/>
            </a:rPr>
            <a:t>Additionally, for simplification purposes, this case study does not include the calculation of Optimism Bias within the SCM, although in practice the inclusion of Optimism Bias should be considered (either, within an SCM or calculated separately).</a:t>
          </a:r>
        </a:p>
        <a:p>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It should be noted that, SCM inputs are typically reflective of defined contractual performance standards. For simplicity, in this illustrative case study, performance standards have not been separately defined. In practice, however, inputs should be considered for their alignment with the defined performance standards. </a:t>
          </a:r>
        </a:p>
        <a:p>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It is good practice to include a record and audit trail of input data denoting the source / ownership of input data. This is typically in the form of a Book of Assumptions / Data Log, which is not included in this illustrative case study. </a:t>
          </a:r>
        </a:p>
        <a:p>
          <a:endParaRPr lang="en-GB" sz="1100"/>
        </a:p>
        <a:p>
          <a:r>
            <a:rPr lang="en-GB" sz="1100"/>
            <a:t>All case study documents are for illustrative purposes. They</a:t>
          </a:r>
          <a:r>
            <a:rPr lang="en-GB" sz="1100" baseline="0"/>
            <a:t> are not templates and should not be adapted for</a:t>
          </a:r>
          <a:r>
            <a:rPr lang="en-GB" sz="1100"/>
            <a:t> real life use.</a:t>
          </a:r>
          <a:br>
            <a:rPr lang="en-GB" sz="1100"/>
          </a:br>
          <a:endParaRPr lang="en-GB" sz="1100"/>
        </a:p>
        <a:p>
          <a:r>
            <a:rPr lang="en-GB" sz="1100"/>
            <a:t>More general guidance to support the development of SCMs has also been produced by the Sourcing Programme:</a:t>
          </a:r>
        </a:p>
        <a:p>
          <a:r>
            <a:rPr lang="en-GB" sz="1100">
              <a:solidFill>
                <a:schemeClr val="dk1"/>
              </a:solidFill>
              <a:effectLst/>
              <a:latin typeface="+mn-lt"/>
              <a:ea typeface="+mn-ea"/>
              <a:cs typeface="+mn-cs"/>
            </a:rPr>
            <a:t>     - </a:t>
          </a:r>
          <a:r>
            <a:rPr lang="en-GB" sz="1100"/>
            <a:t>SCM Guidance Note – outlines what SCMs are, when and why contracting authorities should produce them, and key considerations around developing and/or procuring them;</a:t>
          </a:r>
        </a:p>
        <a:p>
          <a:r>
            <a:rPr lang="en-GB" sz="1100">
              <a:solidFill>
                <a:schemeClr val="dk1"/>
              </a:solidFill>
              <a:effectLst/>
              <a:latin typeface="+mn-lt"/>
              <a:ea typeface="+mn-ea"/>
              <a:cs typeface="+mn-cs"/>
            </a:rPr>
            <a:t>     - </a:t>
          </a:r>
          <a:r>
            <a:rPr lang="en-GB" sz="1100"/>
            <a:t>SCM Development Guidance – provides contracting authorities with guidance on using internal resources to design, develop, test and manage SCMs; and  </a:t>
          </a:r>
        </a:p>
        <a:p>
          <a:r>
            <a:rPr lang="en-GB" sz="1100">
              <a:solidFill>
                <a:schemeClr val="dk1"/>
              </a:solidFill>
              <a:effectLst/>
              <a:latin typeface="+mn-lt"/>
              <a:ea typeface="+mn-ea"/>
              <a:cs typeface="+mn-cs"/>
            </a:rPr>
            <a:t>     - </a:t>
          </a:r>
          <a:r>
            <a:rPr lang="en-GB" sz="1100"/>
            <a:t>SCM Technical Build Guidance – guidance, based on good practice principles for building SCMs. It is technical in nature and aimed at people who will be building SCMs. </a:t>
          </a:r>
        </a:p>
        <a:p>
          <a:endParaRPr lang="en-GB" sz="1100"/>
        </a:p>
        <a:p>
          <a:r>
            <a:rPr lang="en-GB" sz="1100"/>
            <a:t>It is recommended that the above guidance, and particularly the </a:t>
          </a:r>
          <a:r>
            <a:rPr lang="en-GB" sz="1100">
              <a:solidFill>
                <a:schemeClr val="dk1"/>
              </a:solidFill>
              <a:effectLst/>
              <a:latin typeface="+mn-lt"/>
              <a:ea typeface="+mn-ea"/>
              <a:cs typeface="+mn-cs"/>
            </a:rPr>
            <a:t>SCM Technical Build Guidance</a:t>
          </a:r>
          <a:r>
            <a:rPr lang="en-GB" sz="1100"/>
            <a:t>, is read before commencing development of an SCM . Practitioners should also consult existing good practice guidance including HM Treasury’s Macpherson report, Aqua Book and Green Book.</a:t>
          </a:r>
        </a:p>
        <a:p>
          <a:endParaRPr lang="en-GB" sz="1100"/>
        </a:p>
        <a:p>
          <a:r>
            <a:rPr lang="en-GB" sz="1100"/>
            <a:t>You should consult the Cabinet Office Sourcing Programme for further information or before planning an SCM for complex services, projects or programmes via sourcing.programme@cabinetoffice.gov.uk.</a:t>
          </a:r>
        </a:p>
        <a:p>
          <a:endParaRPr lang="en-GB" sz="1100"/>
        </a:p>
        <a:p>
          <a:r>
            <a:rPr lang="en-GB" sz="1100"/>
            <a:t>The following sheets of this workbook present the illustrative example SCM for the fictitious case study.</a:t>
          </a:r>
        </a:p>
        <a:p>
          <a:endParaRPr lang="en-GB" sz="1100"/>
        </a:p>
        <a:p>
          <a:r>
            <a:rPr lang="en-GB" sz="1100"/>
            <a:t>*For further details of other documentation typically produced during the model development lifecycle (e.g. Book of Assumptions / Data Log, User Guide etc.) see SCM Development Guidance.</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6</xdr:col>
      <xdr:colOff>4448735</xdr:colOff>
      <xdr:row>33</xdr:row>
      <xdr:rowOff>70223</xdr:rowOff>
    </xdr:from>
    <xdr:to>
      <xdr:col>6</xdr:col>
      <xdr:colOff>5909235</xdr:colOff>
      <xdr:row>37</xdr:row>
      <xdr:rowOff>63873</xdr:rowOff>
    </xdr:to>
    <xdr:sp macro="" textlink="">
      <xdr:nvSpPr>
        <xdr:cNvPr id="8" name="Rounded Rectangle 7">
          <a:hlinkClick xmlns:r="http://schemas.openxmlformats.org/officeDocument/2006/relationships" r:id="rId1"/>
          <a:extLst>
            <a:ext uri="{FF2B5EF4-FFF2-40B4-BE49-F238E27FC236}">
              <a16:creationId xmlns:a16="http://schemas.microsoft.com/office/drawing/2014/main" id="{00000000-0008-0000-0200-000008000000}"/>
            </a:ext>
          </a:extLst>
        </xdr:cNvPr>
        <xdr:cNvSpPr/>
      </xdr:nvSpPr>
      <xdr:spPr>
        <a:xfrm>
          <a:off x="7171764" y="7129929"/>
          <a:ext cx="1460500" cy="621179"/>
        </a:xfrm>
        <a:prstGeom prst="roundRect">
          <a:avLst/>
        </a:prstGeom>
        <a:solidFill>
          <a:srgbClr val="002060"/>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b="1">
              <a:solidFill>
                <a:schemeClr val="bg1"/>
              </a:solidFill>
            </a:rPr>
            <a:t>oFinancials</a:t>
          </a:r>
        </a:p>
      </xdr:txBody>
    </xdr:sp>
    <xdr:clientData/>
  </xdr:twoCellAnchor>
  <xdr:twoCellAnchor>
    <xdr:from>
      <xdr:col>6</xdr:col>
      <xdr:colOff>401171</xdr:colOff>
      <xdr:row>33</xdr:row>
      <xdr:rowOff>70222</xdr:rowOff>
    </xdr:from>
    <xdr:to>
      <xdr:col>6</xdr:col>
      <xdr:colOff>1861671</xdr:colOff>
      <xdr:row>37</xdr:row>
      <xdr:rowOff>63872</xdr:rowOff>
    </xdr:to>
    <xdr:sp macro="" textlink="">
      <xdr:nvSpPr>
        <xdr:cNvPr id="9" name="Rounded Rectangle 8">
          <a:hlinkClick xmlns:r="http://schemas.openxmlformats.org/officeDocument/2006/relationships" r:id="rId2"/>
          <a:extLst>
            <a:ext uri="{FF2B5EF4-FFF2-40B4-BE49-F238E27FC236}">
              <a16:creationId xmlns:a16="http://schemas.microsoft.com/office/drawing/2014/main" id="{00000000-0008-0000-0200-000009000000}"/>
            </a:ext>
          </a:extLst>
        </xdr:cNvPr>
        <xdr:cNvSpPr/>
      </xdr:nvSpPr>
      <xdr:spPr>
        <a:xfrm>
          <a:off x="3124200" y="7129928"/>
          <a:ext cx="1460500" cy="621179"/>
        </a:xfrm>
        <a:prstGeom prst="roundRect">
          <a:avLst/>
        </a:prstGeom>
        <a:solidFill>
          <a:srgbClr val="00B050"/>
        </a:solidFill>
        <a:ln>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b="1">
              <a:solidFill>
                <a:sysClr val="windowText" lastClr="000000"/>
              </a:solidFill>
            </a:rPr>
            <a:t>cVolumetrics</a:t>
          </a:r>
        </a:p>
      </xdr:txBody>
    </xdr:sp>
    <xdr:clientData/>
  </xdr:twoCellAnchor>
  <xdr:twoCellAnchor>
    <xdr:from>
      <xdr:col>3</xdr:col>
      <xdr:colOff>17929</xdr:colOff>
      <xdr:row>39</xdr:row>
      <xdr:rowOff>103841</xdr:rowOff>
    </xdr:from>
    <xdr:to>
      <xdr:col>4</xdr:col>
      <xdr:colOff>1276723</xdr:colOff>
      <xdr:row>43</xdr:row>
      <xdr:rowOff>97492</xdr:rowOff>
    </xdr:to>
    <xdr:sp macro="" textlink="">
      <xdr:nvSpPr>
        <xdr:cNvPr id="10" name="Rounded Rectangle 9">
          <a:hlinkClick xmlns:r="http://schemas.openxmlformats.org/officeDocument/2006/relationships" r:id="rId3"/>
          <a:extLst>
            <a:ext uri="{FF2B5EF4-FFF2-40B4-BE49-F238E27FC236}">
              <a16:creationId xmlns:a16="http://schemas.microsoft.com/office/drawing/2014/main" id="{00000000-0008-0000-0200-00000A000000}"/>
            </a:ext>
          </a:extLst>
        </xdr:cNvPr>
        <xdr:cNvSpPr/>
      </xdr:nvSpPr>
      <xdr:spPr>
        <a:xfrm>
          <a:off x="948017" y="8104841"/>
          <a:ext cx="1460500" cy="621180"/>
        </a:xfrm>
        <a:prstGeom prst="roundRect">
          <a:avLst/>
        </a:prstGeom>
        <a:solidFill>
          <a:srgbClr val="FFFFCC"/>
        </a:solidFill>
        <a:ln>
          <a:solidFill>
            <a:srgbClr val="FFFFCC"/>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b="1">
              <a:solidFill>
                <a:sysClr val="windowText" lastClr="000000"/>
              </a:solidFill>
            </a:rPr>
            <a:t>iControl</a:t>
          </a:r>
        </a:p>
      </xdr:txBody>
    </xdr:sp>
    <xdr:clientData/>
  </xdr:twoCellAnchor>
  <xdr:twoCellAnchor>
    <xdr:from>
      <xdr:col>4</xdr:col>
      <xdr:colOff>1296895</xdr:colOff>
      <xdr:row>35</xdr:row>
      <xdr:rowOff>67048</xdr:rowOff>
    </xdr:from>
    <xdr:to>
      <xdr:col>6</xdr:col>
      <xdr:colOff>401171</xdr:colOff>
      <xdr:row>35</xdr:row>
      <xdr:rowOff>69662</xdr:rowOff>
    </xdr:to>
    <xdr:cxnSp macro="">
      <xdr:nvCxnSpPr>
        <xdr:cNvPr id="12" name="Straight Arrow Connector 11">
          <a:extLst>
            <a:ext uri="{FF2B5EF4-FFF2-40B4-BE49-F238E27FC236}">
              <a16:creationId xmlns:a16="http://schemas.microsoft.com/office/drawing/2014/main" id="{00000000-0008-0000-0200-00000C000000}"/>
            </a:ext>
          </a:extLst>
        </xdr:cNvPr>
        <xdr:cNvCxnSpPr>
          <a:stCxn id="20" idx="3"/>
          <a:endCxn id="9" idx="1"/>
        </xdr:cNvCxnSpPr>
      </xdr:nvCxnSpPr>
      <xdr:spPr>
        <a:xfrm flipV="1">
          <a:off x="2428689" y="7440519"/>
          <a:ext cx="695511" cy="261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6663765</xdr:colOff>
      <xdr:row>37</xdr:row>
      <xdr:rowOff>101605</xdr:rowOff>
    </xdr:from>
    <xdr:to>
      <xdr:col>9</xdr:col>
      <xdr:colOff>169582</xdr:colOff>
      <xdr:row>41</xdr:row>
      <xdr:rowOff>95255</xdr:rowOff>
    </xdr:to>
    <xdr:sp macro="" textlink="">
      <xdr:nvSpPr>
        <xdr:cNvPr id="11" name="Rounded Rectangle 10">
          <a:hlinkClick xmlns:r="http://schemas.openxmlformats.org/officeDocument/2006/relationships" r:id="rId4"/>
          <a:extLst>
            <a:ext uri="{FF2B5EF4-FFF2-40B4-BE49-F238E27FC236}">
              <a16:creationId xmlns:a16="http://schemas.microsoft.com/office/drawing/2014/main" id="{00000000-0008-0000-0200-00000B000000}"/>
            </a:ext>
          </a:extLst>
        </xdr:cNvPr>
        <xdr:cNvSpPr/>
      </xdr:nvSpPr>
      <xdr:spPr>
        <a:xfrm>
          <a:off x="9386794" y="7094076"/>
          <a:ext cx="1518023" cy="621179"/>
        </a:xfrm>
        <a:prstGeom prst="roundRect">
          <a:avLst/>
        </a:prstGeom>
        <a:solidFill>
          <a:srgbClr val="5F5F5F"/>
        </a:solidFill>
        <a:ln>
          <a:solidFill>
            <a:srgbClr val="61717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b="1">
              <a:solidFill>
                <a:schemeClr val="bg1"/>
              </a:solidFill>
            </a:rPr>
            <a:t>Introduction</a:t>
          </a:r>
        </a:p>
      </xdr:txBody>
    </xdr:sp>
    <xdr:clientData/>
  </xdr:twoCellAnchor>
  <xdr:twoCellAnchor>
    <xdr:from>
      <xdr:col>6</xdr:col>
      <xdr:colOff>6663765</xdr:colOff>
      <xdr:row>42</xdr:row>
      <xdr:rowOff>62014</xdr:rowOff>
    </xdr:from>
    <xdr:to>
      <xdr:col>9</xdr:col>
      <xdr:colOff>169582</xdr:colOff>
      <xdr:row>46</xdr:row>
      <xdr:rowOff>55664</xdr:rowOff>
    </xdr:to>
    <xdr:sp macro="" textlink="">
      <xdr:nvSpPr>
        <xdr:cNvPr id="16" name="Rounded Rectangle 15">
          <a:hlinkClick xmlns:r="http://schemas.openxmlformats.org/officeDocument/2006/relationships" r:id="rId5"/>
          <a:extLst>
            <a:ext uri="{FF2B5EF4-FFF2-40B4-BE49-F238E27FC236}">
              <a16:creationId xmlns:a16="http://schemas.microsoft.com/office/drawing/2014/main" id="{00000000-0008-0000-0200-000010000000}"/>
            </a:ext>
          </a:extLst>
        </xdr:cNvPr>
        <xdr:cNvSpPr/>
      </xdr:nvSpPr>
      <xdr:spPr>
        <a:xfrm>
          <a:off x="9386794" y="7838896"/>
          <a:ext cx="1518023" cy="621180"/>
        </a:xfrm>
        <a:prstGeom prst="roundRect">
          <a:avLst/>
        </a:prstGeom>
        <a:solidFill>
          <a:srgbClr val="5F5F5F"/>
        </a:solidFill>
        <a:ln>
          <a:solidFill>
            <a:srgbClr val="61717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b="1">
              <a:solidFill>
                <a:schemeClr val="bg1"/>
              </a:solidFill>
            </a:rPr>
            <a:t>SysConfig</a:t>
          </a:r>
        </a:p>
      </xdr:txBody>
    </xdr:sp>
    <xdr:clientData/>
  </xdr:twoCellAnchor>
  <xdr:twoCellAnchor>
    <xdr:from>
      <xdr:col>6</xdr:col>
      <xdr:colOff>6663765</xdr:colOff>
      <xdr:row>47</xdr:row>
      <xdr:rowOff>10092</xdr:rowOff>
    </xdr:from>
    <xdr:to>
      <xdr:col>9</xdr:col>
      <xdr:colOff>169582</xdr:colOff>
      <xdr:row>51</xdr:row>
      <xdr:rowOff>3741</xdr:rowOff>
    </xdr:to>
    <xdr:sp macro="" textlink="">
      <xdr:nvSpPr>
        <xdr:cNvPr id="17" name="Rounded Rectangle 16">
          <a:hlinkClick xmlns:r="http://schemas.openxmlformats.org/officeDocument/2006/relationships" r:id="rId6"/>
          <a:extLst>
            <a:ext uri="{FF2B5EF4-FFF2-40B4-BE49-F238E27FC236}">
              <a16:creationId xmlns:a16="http://schemas.microsoft.com/office/drawing/2014/main" id="{00000000-0008-0000-0200-000011000000}"/>
            </a:ext>
          </a:extLst>
        </xdr:cNvPr>
        <xdr:cNvSpPr/>
      </xdr:nvSpPr>
      <xdr:spPr>
        <a:xfrm>
          <a:off x="9386794" y="8571386"/>
          <a:ext cx="1518023" cy="621179"/>
        </a:xfrm>
        <a:prstGeom prst="roundRect">
          <a:avLst/>
        </a:prstGeom>
        <a:solidFill>
          <a:srgbClr val="5F5F5F"/>
        </a:solidFill>
        <a:ln>
          <a:solidFill>
            <a:srgbClr val="61717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b="1">
              <a:solidFill>
                <a:schemeClr val="bg1"/>
              </a:solidFill>
            </a:rPr>
            <a:t>SysTime</a:t>
          </a:r>
        </a:p>
      </xdr:txBody>
    </xdr:sp>
    <xdr:clientData/>
  </xdr:twoCellAnchor>
  <xdr:twoCellAnchor>
    <xdr:from>
      <xdr:col>6</xdr:col>
      <xdr:colOff>6416167</xdr:colOff>
      <xdr:row>31</xdr:row>
      <xdr:rowOff>145674</xdr:rowOff>
    </xdr:from>
    <xdr:to>
      <xdr:col>9</xdr:col>
      <xdr:colOff>436921</xdr:colOff>
      <xdr:row>51</xdr:row>
      <xdr:rowOff>134475</xdr:rowOff>
    </xdr:to>
    <xdr:sp macro="" textlink="">
      <xdr:nvSpPr>
        <xdr:cNvPr id="18" name="Rounded Rectangle 17">
          <a:extLst>
            <a:ext uri="{FF2B5EF4-FFF2-40B4-BE49-F238E27FC236}">
              <a16:creationId xmlns:a16="http://schemas.microsoft.com/office/drawing/2014/main" id="{00000000-0008-0000-0200-000012000000}"/>
            </a:ext>
          </a:extLst>
        </xdr:cNvPr>
        <xdr:cNvSpPr/>
      </xdr:nvSpPr>
      <xdr:spPr>
        <a:xfrm>
          <a:off x="9139196" y="6196850"/>
          <a:ext cx="2032960" cy="3126449"/>
        </a:xfrm>
        <a:prstGeom prst="roundRect">
          <a:avLst/>
        </a:prstGeom>
        <a:noFill/>
        <a:ln>
          <a:solidFill>
            <a:srgbClr val="61717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GB" sz="1100" b="1">
            <a:solidFill>
              <a:schemeClr val="bg1"/>
            </a:solidFill>
          </a:endParaRPr>
        </a:p>
      </xdr:txBody>
    </xdr:sp>
    <xdr:clientData/>
  </xdr:twoCellAnchor>
  <xdr:twoCellAnchor>
    <xdr:from>
      <xdr:col>3</xdr:col>
      <xdr:colOff>20171</xdr:colOff>
      <xdr:row>45</xdr:row>
      <xdr:rowOff>144557</xdr:rowOff>
    </xdr:from>
    <xdr:to>
      <xdr:col>4</xdr:col>
      <xdr:colOff>1278965</xdr:colOff>
      <xdr:row>49</xdr:row>
      <xdr:rowOff>138207</xdr:rowOff>
    </xdr:to>
    <xdr:sp macro="" textlink="">
      <xdr:nvSpPr>
        <xdr:cNvPr id="19" name="Rounded Rectangle 9">
          <a:hlinkClick xmlns:r="http://schemas.openxmlformats.org/officeDocument/2006/relationships" r:id="rId7"/>
          <a:extLst>
            <a:ext uri="{FF2B5EF4-FFF2-40B4-BE49-F238E27FC236}">
              <a16:creationId xmlns:a16="http://schemas.microsoft.com/office/drawing/2014/main" id="{00000000-0008-0000-0200-000013000000}"/>
            </a:ext>
          </a:extLst>
        </xdr:cNvPr>
        <xdr:cNvSpPr/>
      </xdr:nvSpPr>
      <xdr:spPr>
        <a:xfrm>
          <a:off x="950259" y="9086851"/>
          <a:ext cx="1460500" cy="621180"/>
        </a:xfrm>
        <a:prstGeom prst="roundRect">
          <a:avLst/>
        </a:prstGeom>
        <a:solidFill>
          <a:srgbClr val="FFFFCC"/>
        </a:solidFill>
        <a:ln>
          <a:solidFill>
            <a:srgbClr val="FFFFCC"/>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b="1">
              <a:solidFill>
                <a:sysClr val="windowText" lastClr="000000"/>
              </a:solidFill>
            </a:rPr>
            <a:t>iIndices</a:t>
          </a:r>
        </a:p>
      </xdr:txBody>
    </xdr:sp>
    <xdr:clientData/>
  </xdr:twoCellAnchor>
  <xdr:twoCellAnchor>
    <xdr:from>
      <xdr:col>3</xdr:col>
      <xdr:colOff>38101</xdr:colOff>
      <xdr:row>33</xdr:row>
      <xdr:rowOff>72836</xdr:rowOff>
    </xdr:from>
    <xdr:to>
      <xdr:col>4</xdr:col>
      <xdr:colOff>1296895</xdr:colOff>
      <xdr:row>37</xdr:row>
      <xdr:rowOff>66486</xdr:rowOff>
    </xdr:to>
    <xdr:sp macro="" textlink="">
      <xdr:nvSpPr>
        <xdr:cNvPr id="20" name="Rounded Rectangle 9">
          <a:hlinkClick xmlns:r="http://schemas.openxmlformats.org/officeDocument/2006/relationships" r:id="rId8"/>
          <a:extLst>
            <a:ext uri="{FF2B5EF4-FFF2-40B4-BE49-F238E27FC236}">
              <a16:creationId xmlns:a16="http://schemas.microsoft.com/office/drawing/2014/main" id="{00000000-0008-0000-0200-000014000000}"/>
            </a:ext>
          </a:extLst>
        </xdr:cNvPr>
        <xdr:cNvSpPr/>
      </xdr:nvSpPr>
      <xdr:spPr>
        <a:xfrm>
          <a:off x="968189" y="7132542"/>
          <a:ext cx="1460500" cy="621179"/>
        </a:xfrm>
        <a:prstGeom prst="roundRect">
          <a:avLst/>
        </a:prstGeom>
        <a:solidFill>
          <a:srgbClr val="FFFFCC"/>
        </a:solidFill>
        <a:ln>
          <a:solidFill>
            <a:srgbClr val="FFFFCC"/>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b="1">
              <a:solidFill>
                <a:sysClr val="windowText" lastClr="000000"/>
              </a:solidFill>
            </a:rPr>
            <a:t>iOptions</a:t>
          </a:r>
        </a:p>
      </xdr:txBody>
    </xdr:sp>
    <xdr:clientData/>
  </xdr:twoCellAnchor>
  <xdr:twoCellAnchor>
    <xdr:from>
      <xdr:col>6</xdr:col>
      <xdr:colOff>407895</xdr:colOff>
      <xdr:row>39</xdr:row>
      <xdr:rowOff>110564</xdr:rowOff>
    </xdr:from>
    <xdr:to>
      <xdr:col>6</xdr:col>
      <xdr:colOff>1868395</xdr:colOff>
      <xdr:row>43</xdr:row>
      <xdr:rowOff>104215</xdr:rowOff>
    </xdr:to>
    <xdr:sp macro="" textlink="">
      <xdr:nvSpPr>
        <xdr:cNvPr id="28" name="Rounded Rectangle 8">
          <a:hlinkClick xmlns:r="http://schemas.openxmlformats.org/officeDocument/2006/relationships" r:id="rId9"/>
          <a:extLst>
            <a:ext uri="{FF2B5EF4-FFF2-40B4-BE49-F238E27FC236}">
              <a16:creationId xmlns:a16="http://schemas.microsoft.com/office/drawing/2014/main" id="{00000000-0008-0000-0200-00001C000000}"/>
            </a:ext>
          </a:extLst>
        </xdr:cNvPr>
        <xdr:cNvSpPr/>
      </xdr:nvSpPr>
      <xdr:spPr>
        <a:xfrm>
          <a:off x="3130924" y="8111564"/>
          <a:ext cx="1460500" cy="621180"/>
        </a:xfrm>
        <a:prstGeom prst="roundRect">
          <a:avLst/>
        </a:prstGeom>
        <a:solidFill>
          <a:srgbClr val="00B050"/>
        </a:solidFill>
        <a:ln>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b="1">
              <a:solidFill>
                <a:sysClr val="windowText" lastClr="000000"/>
              </a:solidFill>
            </a:rPr>
            <a:t>cCosts</a:t>
          </a:r>
        </a:p>
      </xdr:txBody>
    </xdr:sp>
    <xdr:clientData/>
  </xdr:twoCellAnchor>
  <xdr:twoCellAnchor>
    <xdr:from>
      <xdr:col>4</xdr:col>
      <xdr:colOff>1296895</xdr:colOff>
      <xdr:row>35</xdr:row>
      <xdr:rowOff>69662</xdr:rowOff>
    </xdr:from>
    <xdr:to>
      <xdr:col>6</xdr:col>
      <xdr:colOff>407895</xdr:colOff>
      <xdr:row>41</xdr:row>
      <xdr:rowOff>107389</xdr:rowOff>
    </xdr:to>
    <xdr:cxnSp macro="">
      <xdr:nvCxnSpPr>
        <xdr:cNvPr id="30" name="Connector: Elbow 29">
          <a:extLst>
            <a:ext uri="{FF2B5EF4-FFF2-40B4-BE49-F238E27FC236}">
              <a16:creationId xmlns:a16="http://schemas.microsoft.com/office/drawing/2014/main" id="{00000000-0008-0000-0200-00001E000000}"/>
            </a:ext>
          </a:extLst>
        </xdr:cNvPr>
        <xdr:cNvCxnSpPr>
          <a:stCxn id="20" idx="3"/>
          <a:endCxn id="28" idx="1"/>
        </xdr:cNvCxnSpPr>
      </xdr:nvCxnSpPr>
      <xdr:spPr>
        <a:xfrm>
          <a:off x="2428689" y="7443133"/>
          <a:ext cx="702235" cy="979021"/>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1131421</xdr:colOff>
      <xdr:row>37</xdr:row>
      <xdr:rowOff>63872</xdr:rowOff>
    </xdr:from>
    <xdr:to>
      <xdr:col>6</xdr:col>
      <xdr:colOff>1138145</xdr:colOff>
      <xdr:row>39</xdr:row>
      <xdr:rowOff>110564</xdr:rowOff>
    </xdr:to>
    <xdr:cxnSp macro="">
      <xdr:nvCxnSpPr>
        <xdr:cNvPr id="33" name="Straight Arrow Connector 32">
          <a:extLst>
            <a:ext uri="{FF2B5EF4-FFF2-40B4-BE49-F238E27FC236}">
              <a16:creationId xmlns:a16="http://schemas.microsoft.com/office/drawing/2014/main" id="{00000000-0008-0000-0200-000021000000}"/>
            </a:ext>
          </a:extLst>
        </xdr:cNvPr>
        <xdr:cNvCxnSpPr>
          <a:stCxn id="9" idx="2"/>
          <a:endCxn id="28" idx="0"/>
        </xdr:cNvCxnSpPr>
      </xdr:nvCxnSpPr>
      <xdr:spPr>
        <a:xfrm>
          <a:off x="3854450" y="7751107"/>
          <a:ext cx="6724" cy="36045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403413</xdr:colOff>
      <xdr:row>45</xdr:row>
      <xdr:rowOff>139701</xdr:rowOff>
    </xdr:from>
    <xdr:to>
      <xdr:col>6</xdr:col>
      <xdr:colOff>1863913</xdr:colOff>
      <xdr:row>49</xdr:row>
      <xdr:rowOff>133351</xdr:rowOff>
    </xdr:to>
    <xdr:sp macro="" textlink="">
      <xdr:nvSpPr>
        <xdr:cNvPr id="38" name="Rounded Rectangle 8">
          <a:hlinkClick xmlns:r="http://schemas.openxmlformats.org/officeDocument/2006/relationships" r:id="rId10"/>
          <a:extLst>
            <a:ext uri="{FF2B5EF4-FFF2-40B4-BE49-F238E27FC236}">
              <a16:creationId xmlns:a16="http://schemas.microsoft.com/office/drawing/2014/main" id="{00000000-0008-0000-0200-000026000000}"/>
            </a:ext>
          </a:extLst>
        </xdr:cNvPr>
        <xdr:cNvSpPr/>
      </xdr:nvSpPr>
      <xdr:spPr>
        <a:xfrm>
          <a:off x="3126442" y="9081995"/>
          <a:ext cx="1460500" cy="621180"/>
        </a:xfrm>
        <a:prstGeom prst="roundRect">
          <a:avLst/>
        </a:prstGeom>
        <a:solidFill>
          <a:srgbClr val="00B050"/>
        </a:solidFill>
        <a:ln>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b="1">
              <a:solidFill>
                <a:sysClr val="windowText" lastClr="000000"/>
              </a:solidFill>
            </a:rPr>
            <a:t>cFactors</a:t>
          </a:r>
        </a:p>
      </xdr:txBody>
    </xdr:sp>
    <xdr:clientData/>
  </xdr:twoCellAnchor>
  <xdr:twoCellAnchor>
    <xdr:from>
      <xdr:col>6</xdr:col>
      <xdr:colOff>1133663</xdr:colOff>
      <xdr:row>43</xdr:row>
      <xdr:rowOff>104215</xdr:rowOff>
    </xdr:from>
    <xdr:to>
      <xdr:col>6</xdr:col>
      <xdr:colOff>1138145</xdr:colOff>
      <xdr:row>45</xdr:row>
      <xdr:rowOff>139701</xdr:rowOff>
    </xdr:to>
    <xdr:cxnSp macro="">
      <xdr:nvCxnSpPr>
        <xdr:cNvPr id="39" name="Straight Arrow Connector 38">
          <a:extLst>
            <a:ext uri="{FF2B5EF4-FFF2-40B4-BE49-F238E27FC236}">
              <a16:creationId xmlns:a16="http://schemas.microsoft.com/office/drawing/2014/main" id="{00000000-0008-0000-0200-000027000000}"/>
            </a:ext>
          </a:extLst>
        </xdr:cNvPr>
        <xdr:cNvCxnSpPr>
          <a:stCxn id="38" idx="0"/>
          <a:endCxn id="28" idx="2"/>
        </xdr:cNvCxnSpPr>
      </xdr:nvCxnSpPr>
      <xdr:spPr>
        <a:xfrm flipV="1">
          <a:off x="3856692" y="8732744"/>
          <a:ext cx="4482" cy="34925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1278965</xdr:colOff>
      <xdr:row>47</xdr:row>
      <xdr:rowOff>136526</xdr:rowOff>
    </xdr:from>
    <xdr:to>
      <xdr:col>6</xdr:col>
      <xdr:colOff>403413</xdr:colOff>
      <xdr:row>47</xdr:row>
      <xdr:rowOff>141382</xdr:rowOff>
    </xdr:to>
    <xdr:cxnSp macro="">
      <xdr:nvCxnSpPr>
        <xdr:cNvPr id="42" name="Straight Arrow Connector 41">
          <a:extLst>
            <a:ext uri="{FF2B5EF4-FFF2-40B4-BE49-F238E27FC236}">
              <a16:creationId xmlns:a16="http://schemas.microsoft.com/office/drawing/2014/main" id="{00000000-0008-0000-0200-00002A000000}"/>
            </a:ext>
          </a:extLst>
        </xdr:cNvPr>
        <xdr:cNvCxnSpPr>
          <a:stCxn id="19" idx="3"/>
          <a:endCxn id="38" idx="1"/>
        </xdr:cNvCxnSpPr>
      </xdr:nvCxnSpPr>
      <xdr:spPr>
        <a:xfrm flipV="1">
          <a:off x="2410759" y="9392585"/>
          <a:ext cx="715683" cy="485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2353236</xdr:colOff>
      <xdr:row>39</xdr:row>
      <xdr:rowOff>117288</xdr:rowOff>
    </xdr:from>
    <xdr:to>
      <xdr:col>6</xdr:col>
      <xdr:colOff>3813736</xdr:colOff>
      <xdr:row>43</xdr:row>
      <xdr:rowOff>110939</xdr:rowOff>
    </xdr:to>
    <xdr:sp macro="" textlink="">
      <xdr:nvSpPr>
        <xdr:cNvPr id="45" name="Rounded Rectangle 8">
          <a:hlinkClick xmlns:r="http://schemas.openxmlformats.org/officeDocument/2006/relationships" r:id="rId11"/>
          <a:extLst>
            <a:ext uri="{FF2B5EF4-FFF2-40B4-BE49-F238E27FC236}">
              <a16:creationId xmlns:a16="http://schemas.microsoft.com/office/drawing/2014/main" id="{00000000-0008-0000-0200-00002D000000}"/>
            </a:ext>
          </a:extLst>
        </xdr:cNvPr>
        <xdr:cNvSpPr/>
      </xdr:nvSpPr>
      <xdr:spPr>
        <a:xfrm>
          <a:off x="5076265" y="8118288"/>
          <a:ext cx="1460500" cy="621180"/>
        </a:xfrm>
        <a:prstGeom prst="roundRect">
          <a:avLst/>
        </a:prstGeom>
        <a:solidFill>
          <a:srgbClr val="00B050"/>
        </a:solidFill>
        <a:ln>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b="1">
              <a:solidFill>
                <a:sysClr val="windowText" lastClr="000000"/>
              </a:solidFill>
            </a:rPr>
            <a:t>cOutputs</a:t>
          </a:r>
        </a:p>
      </xdr:txBody>
    </xdr:sp>
    <xdr:clientData/>
  </xdr:twoCellAnchor>
  <xdr:twoCellAnchor>
    <xdr:from>
      <xdr:col>6</xdr:col>
      <xdr:colOff>1868395</xdr:colOff>
      <xdr:row>41</xdr:row>
      <xdr:rowOff>107389</xdr:rowOff>
    </xdr:from>
    <xdr:to>
      <xdr:col>6</xdr:col>
      <xdr:colOff>2353236</xdr:colOff>
      <xdr:row>41</xdr:row>
      <xdr:rowOff>114113</xdr:rowOff>
    </xdr:to>
    <xdr:cxnSp macro="">
      <xdr:nvCxnSpPr>
        <xdr:cNvPr id="46" name="Straight Arrow Connector 45">
          <a:extLst>
            <a:ext uri="{FF2B5EF4-FFF2-40B4-BE49-F238E27FC236}">
              <a16:creationId xmlns:a16="http://schemas.microsoft.com/office/drawing/2014/main" id="{00000000-0008-0000-0200-00002E000000}"/>
            </a:ext>
          </a:extLst>
        </xdr:cNvPr>
        <xdr:cNvCxnSpPr>
          <a:stCxn id="28" idx="3"/>
          <a:endCxn id="45" idx="1"/>
        </xdr:cNvCxnSpPr>
      </xdr:nvCxnSpPr>
      <xdr:spPr>
        <a:xfrm>
          <a:off x="4591424" y="8422154"/>
          <a:ext cx="484841" cy="672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3083486</xdr:colOff>
      <xdr:row>35</xdr:row>
      <xdr:rowOff>67050</xdr:rowOff>
    </xdr:from>
    <xdr:to>
      <xdr:col>6</xdr:col>
      <xdr:colOff>4448735</xdr:colOff>
      <xdr:row>39</xdr:row>
      <xdr:rowOff>117289</xdr:rowOff>
    </xdr:to>
    <xdr:cxnSp macro="">
      <xdr:nvCxnSpPr>
        <xdr:cNvPr id="52" name="Connector: Elbow 51">
          <a:extLst>
            <a:ext uri="{FF2B5EF4-FFF2-40B4-BE49-F238E27FC236}">
              <a16:creationId xmlns:a16="http://schemas.microsoft.com/office/drawing/2014/main" id="{00000000-0008-0000-0200-000034000000}"/>
            </a:ext>
          </a:extLst>
        </xdr:cNvPr>
        <xdr:cNvCxnSpPr>
          <a:stCxn id="45" idx="0"/>
          <a:endCxn id="8" idx="1"/>
        </xdr:cNvCxnSpPr>
      </xdr:nvCxnSpPr>
      <xdr:spPr>
        <a:xfrm rot="5400000" flipH="1" flipV="1">
          <a:off x="6150256" y="7096780"/>
          <a:ext cx="677768" cy="1365249"/>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4444253</xdr:colOff>
      <xdr:row>45</xdr:row>
      <xdr:rowOff>144183</xdr:rowOff>
    </xdr:from>
    <xdr:to>
      <xdr:col>6</xdr:col>
      <xdr:colOff>5904753</xdr:colOff>
      <xdr:row>49</xdr:row>
      <xdr:rowOff>137833</xdr:rowOff>
    </xdr:to>
    <xdr:sp macro="" textlink="">
      <xdr:nvSpPr>
        <xdr:cNvPr id="55" name="Rounded Rectangle 7">
          <a:hlinkClick xmlns:r="http://schemas.openxmlformats.org/officeDocument/2006/relationships" r:id="rId12"/>
          <a:extLst>
            <a:ext uri="{FF2B5EF4-FFF2-40B4-BE49-F238E27FC236}">
              <a16:creationId xmlns:a16="http://schemas.microsoft.com/office/drawing/2014/main" id="{00000000-0008-0000-0200-000037000000}"/>
            </a:ext>
          </a:extLst>
        </xdr:cNvPr>
        <xdr:cNvSpPr/>
      </xdr:nvSpPr>
      <xdr:spPr>
        <a:xfrm>
          <a:off x="7167282" y="9086477"/>
          <a:ext cx="1460500" cy="621180"/>
        </a:xfrm>
        <a:prstGeom prst="roundRect">
          <a:avLst/>
        </a:prstGeom>
        <a:solidFill>
          <a:srgbClr val="002060"/>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b="1">
              <a:solidFill>
                <a:schemeClr val="bg1"/>
              </a:solidFill>
            </a:rPr>
            <a:t>oDashboard</a:t>
          </a:r>
        </a:p>
      </xdr:txBody>
    </xdr:sp>
    <xdr:clientData/>
  </xdr:twoCellAnchor>
  <xdr:twoCellAnchor>
    <xdr:from>
      <xdr:col>6</xdr:col>
      <xdr:colOff>3083485</xdr:colOff>
      <xdr:row>43</xdr:row>
      <xdr:rowOff>110939</xdr:rowOff>
    </xdr:from>
    <xdr:to>
      <xdr:col>6</xdr:col>
      <xdr:colOff>4444252</xdr:colOff>
      <xdr:row>47</xdr:row>
      <xdr:rowOff>141008</xdr:rowOff>
    </xdr:to>
    <xdr:cxnSp macro="">
      <xdr:nvCxnSpPr>
        <xdr:cNvPr id="62" name="Connector: Elbow 61">
          <a:extLst>
            <a:ext uri="{FF2B5EF4-FFF2-40B4-BE49-F238E27FC236}">
              <a16:creationId xmlns:a16="http://schemas.microsoft.com/office/drawing/2014/main" id="{00000000-0008-0000-0200-00003E000000}"/>
            </a:ext>
          </a:extLst>
        </xdr:cNvPr>
        <xdr:cNvCxnSpPr>
          <a:stCxn id="45" idx="2"/>
          <a:endCxn id="55" idx="1"/>
        </xdr:cNvCxnSpPr>
      </xdr:nvCxnSpPr>
      <xdr:spPr>
        <a:xfrm rot="16200000" flipH="1">
          <a:off x="6158098" y="8387884"/>
          <a:ext cx="657599" cy="1360767"/>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6663765</xdr:colOff>
      <xdr:row>32</xdr:row>
      <xdr:rowOff>153527</xdr:rowOff>
    </xdr:from>
    <xdr:to>
      <xdr:col>9</xdr:col>
      <xdr:colOff>169582</xdr:colOff>
      <xdr:row>36</xdr:row>
      <xdr:rowOff>147177</xdr:rowOff>
    </xdr:to>
    <xdr:sp macro="" textlink="">
      <xdr:nvSpPr>
        <xdr:cNvPr id="26" name="Rounded Rectangle 10">
          <a:hlinkClick xmlns:r="http://schemas.openxmlformats.org/officeDocument/2006/relationships" r:id="rId13"/>
          <a:extLst>
            <a:ext uri="{FF2B5EF4-FFF2-40B4-BE49-F238E27FC236}">
              <a16:creationId xmlns:a16="http://schemas.microsoft.com/office/drawing/2014/main" id="{00000000-0008-0000-0200-00001A000000}"/>
            </a:ext>
          </a:extLst>
        </xdr:cNvPr>
        <xdr:cNvSpPr/>
      </xdr:nvSpPr>
      <xdr:spPr>
        <a:xfrm>
          <a:off x="9386794" y="6361586"/>
          <a:ext cx="1518023" cy="621179"/>
        </a:xfrm>
        <a:prstGeom prst="roundRect">
          <a:avLst/>
        </a:prstGeom>
        <a:solidFill>
          <a:srgbClr val="5F5F5F"/>
        </a:solidFill>
        <a:ln>
          <a:solidFill>
            <a:srgbClr val="61717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b="1">
              <a:solidFill>
                <a:schemeClr val="bg1"/>
              </a:solidFill>
            </a:rPr>
            <a:t>Contents</a:t>
          </a:r>
        </a:p>
      </xdr:txBody>
    </xdr:sp>
    <xdr:clientData/>
  </xdr:twoCellAnchor>
  <xdr:twoCellAnchor editAs="oneCell">
    <xdr:from>
      <xdr:col>9</xdr:col>
      <xdr:colOff>168088</xdr:colOff>
      <xdr:row>0</xdr:row>
      <xdr:rowOff>134470</xdr:rowOff>
    </xdr:from>
    <xdr:to>
      <xdr:col>10</xdr:col>
      <xdr:colOff>984073</xdr:colOff>
      <xdr:row>6</xdr:row>
      <xdr:rowOff>136283</xdr:rowOff>
    </xdr:to>
    <xdr:pic>
      <xdr:nvPicPr>
        <xdr:cNvPr id="29" name="Picture 28">
          <a:extLst>
            <a:ext uri="{FF2B5EF4-FFF2-40B4-BE49-F238E27FC236}">
              <a16:creationId xmlns:a16="http://schemas.microsoft.com/office/drawing/2014/main" id="{00000000-0008-0000-0200-00001D000000}"/>
            </a:ext>
          </a:extLst>
        </xdr:cNvPr>
        <xdr:cNvPicPr>
          <a:picLocks noChangeAspect="1"/>
        </xdr:cNvPicPr>
      </xdr:nvPicPr>
      <xdr:blipFill>
        <a:blip xmlns:r="http://schemas.openxmlformats.org/officeDocument/2006/relationships" r:embed="rId14"/>
        <a:stretch>
          <a:fillRect/>
        </a:stretch>
      </xdr:blipFill>
      <xdr:spPr>
        <a:xfrm>
          <a:off x="10903323" y="134470"/>
          <a:ext cx="1409897" cy="94310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25400</xdr:colOff>
          <xdr:row>10</xdr:row>
          <xdr:rowOff>139700</xdr:rowOff>
        </xdr:from>
        <xdr:to>
          <xdr:col>10</xdr:col>
          <xdr:colOff>101600</xdr:colOff>
          <xdr:row>12</xdr:row>
          <xdr:rowOff>0</xdr:rowOff>
        </xdr:to>
        <xdr:sp macro="" textlink="">
          <xdr:nvSpPr>
            <xdr:cNvPr id="11267" name="Drop Down 3" hidden="1">
              <a:extLst>
                <a:ext uri="{63B3BB69-23CF-44E3-9099-C40C66FF867C}">
                  <a14:compatExt spid="_x0000_s11267"/>
                </a:ext>
                <a:ext uri="{FF2B5EF4-FFF2-40B4-BE49-F238E27FC236}">
                  <a16:creationId xmlns:a16="http://schemas.microsoft.com/office/drawing/2014/main" id="{00000000-0008-0000-0400-000003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20</xdr:row>
          <xdr:rowOff>139700</xdr:rowOff>
        </xdr:from>
        <xdr:to>
          <xdr:col>10</xdr:col>
          <xdr:colOff>88900</xdr:colOff>
          <xdr:row>21</xdr:row>
          <xdr:rowOff>139700</xdr:rowOff>
        </xdr:to>
        <xdr:sp macro="" textlink="">
          <xdr:nvSpPr>
            <xdr:cNvPr id="11269" name="Drop Down 5" hidden="1">
              <a:extLst>
                <a:ext uri="{63B3BB69-23CF-44E3-9099-C40C66FF867C}">
                  <a14:compatExt spid="_x0000_s11269"/>
                </a:ext>
                <a:ext uri="{FF2B5EF4-FFF2-40B4-BE49-F238E27FC236}">
                  <a16:creationId xmlns:a16="http://schemas.microsoft.com/office/drawing/2014/main" id="{00000000-0008-0000-0400-000005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139700</xdr:colOff>
          <xdr:row>12</xdr:row>
          <xdr:rowOff>139700</xdr:rowOff>
        </xdr:from>
        <xdr:to>
          <xdr:col>10</xdr:col>
          <xdr:colOff>444500</xdr:colOff>
          <xdr:row>14</xdr:row>
          <xdr:rowOff>0</xdr:rowOff>
        </xdr:to>
        <xdr:sp macro="" textlink="">
          <xdr:nvSpPr>
            <xdr:cNvPr id="16387" name="Drop Down 3" hidden="1">
              <a:extLst>
                <a:ext uri="{63B3BB69-23CF-44E3-9099-C40C66FF867C}">
                  <a14:compatExt spid="_x0000_s16387"/>
                </a:ext>
                <a:ext uri="{FF2B5EF4-FFF2-40B4-BE49-F238E27FC236}">
                  <a16:creationId xmlns:a16="http://schemas.microsoft.com/office/drawing/2014/main" id="{00000000-0008-0000-0900-0000034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139700</xdr:colOff>
          <xdr:row>14</xdr:row>
          <xdr:rowOff>139700</xdr:rowOff>
        </xdr:from>
        <xdr:to>
          <xdr:col>10</xdr:col>
          <xdr:colOff>444500</xdr:colOff>
          <xdr:row>16</xdr:row>
          <xdr:rowOff>0</xdr:rowOff>
        </xdr:to>
        <xdr:sp macro="" textlink="">
          <xdr:nvSpPr>
            <xdr:cNvPr id="16388" name="Drop Down 4" hidden="1">
              <a:extLst>
                <a:ext uri="{63B3BB69-23CF-44E3-9099-C40C66FF867C}">
                  <a14:compatExt spid="_x0000_s16388"/>
                </a:ext>
                <a:ext uri="{FF2B5EF4-FFF2-40B4-BE49-F238E27FC236}">
                  <a16:creationId xmlns:a16="http://schemas.microsoft.com/office/drawing/2014/main" id="{00000000-0008-0000-0900-0000044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139700</xdr:colOff>
          <xdr:row>12</xdr:row>
          <xdr:rowOff>139700</xdr:rowOff>
        </xdr:from>
        <xdr:to>
          <xdr:col>10</xdr:col>
          <xdr:colOff>368300</xdr:colOff>
          <xdr:row>14</xdr:row>
          <xdr:rowOff>12700</xdr:rowOff>
        </xdr:to>
        <xdr:sp macro="" textlink="">
          <xdr:nvSpPr>
            <xdr:cNvPr id="8193" name="Drop Down 1" hidden="1">
              <a:extLst>
                <a:ext uri="{63B3BB69-23CF-44E3-9099-C40C66FF867C}">
                  <a14:compatExt spid="_x0000_s8193"/>
                </a:ext>
                <a:ext uri="{FF2B5EF4-FFF2-40B4-BE49-F238E27FC236}">
                  <a16:creationId xmlns:a16="http://schemas.microsoft.com/office/drawing/2014/main" id="{00000000-0008-0000-0A00-0000012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139700</xdr:colOff>
          <xdr:row>14</xdr:row>
          <xdr:rowOff>139700</xdr:rowOff>
        </xdr:from>
        <xdr:to>
          <xdr:col>10</xdr:col>
          <xdr:colOff>368300</xdr:colOff>
          <xdr:row>16</xdr:row>
          <xdr:rowOff>12700</xdr:rowOff>
        </xdr:to>
        <xdr:sp macro="" textlink="">
          <xdr:nvSpPr>
            <xdr:cNvPr id="8194" name="Drop Down 2" hidden="1">
              <a:extLst>
                <a:ext uri="{63B3BB69-23CF-44E3-9099-C40C66FF867C}">
                  <a14:compatExt spid="_x0000_s8194"/>
                </a:ext>
                <a:ext uri="{FF2B5EF4-FFF2-40B4-BE49-F238E27FC236}">
                  <a16:creationId xmlns:a16="http://schemas.microsoft.com/office/drawing/2014/main" id="{00000000-0008-0000-0A00-0000022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139700</xdr:colOff>
          <xdr:row>13</xdr:row>
          <xdr:rowOff>0</xdr:rowOff>
        </xdr:from>
        <xdr:to>
          <xdr:col>10</xdr:col>
          <xdr:colOff>304800</xdr:colOff>
          <xdr:row>14</xdr:row>
          <xdr:rowOff>12700</xdr:rowOff>
        </xdr:to>
        <xdr:sp macro="" textlink="">
          <xdr:nvSpPr>
            <xdr:cNvPr id="25601" name="Drop Down 1" hidden="1">
              <a:extLst>
                <a:ext uri="{63B3BB69-23CF-44E3-9099-C40C66FF867C}">
                  <a14:compatExt spid="_x0000_s25601"/>
                </a:ext>
                <a:ext uri="{FF2B5EF4-FFF2-40B4-BE49-F238E27FC236}">
                  <a16:creationId xmlns:a16="http://schemas.microsoft.com/office/drawing/2014/main" id="{00000000-0008-0000-0D00-0000016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139700</xdr:colOff>
          <xdr:row>15</xdr:row>
          <xdr:rowOff>12700</xdr:rowOff>
        </xdr:from>
        <xdr:to>
          <xdr:col>10</xdr:col>
          <xdr:colOff>304800</xdr:colOff>
          <xdr:row>16</xdr:row>
          <xdr:rowOff>25400</xdr:rowOff>
        </xdr:to>
        <xdr:sp macro="" textlink="">
          <xdr:nvSpPr>
            <xdr:cNvPr id="25602" name="Drop Down 2" hidden="1">
              <a:extLst>
                <a:ext uri="{63B3BB69-23CF-44E3-9099-C40C66FF867C}">
                  <a14:compatExt spid="_x0000_s25602"/>
                </a:ext>
                <a:ext uri="{FF2B5EF4-FFF2-40B4-BE49-F238E27FC236}">
                  <a16:creationId xmlns:a16="http://schemas.microsoft.com/office/drawing/2014/main" id="{00000000-0008-0000-0D00-0000026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xdr:twoCellAnchor>
    <xdr:from>
      <xdr:col>3</xdr:col>
      <xdr:colOff>200025</xdr:colOff>
      <xdr:row>20</xdr:row>
      <xdr:rowOff>57150</xdr:rowOff>
    </xdr:from>
    <xdr:to>
      <xdr:col>9</xdr:col>
      <xdr:colOff>114300</xdr:colOff>
      <xdr:row>35</xdr:row>
      <xdr:rowOff>28575</xdr:rowOff>
    </xdr:to>
    <xdr:graphicFrame macro="">
      <xdr:nvGraphicFramePr>
        <xdr:cNvPr id="2" name="Chart 1">
          <a:extLst>
            <a:ext uri="{FF2B5EF4-FFF2-40B4-BE49-F238E27FC236}">
              <a16:creationId xmlns:a16="http://schemas.microsoft.com/office/drawing/2014/main" id="{00000000-0008-0000-0E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66675</xdr:colOff>
      <xdr:row>20</xdr:row>
      <xdr:rowOff>38100</xdr:rowOff>
    </xdr:from>
    <xdr:to>
      <xdr:col>22</xdr:col>
      <xdr:colOff>542925</xdr:colOff>
      <xdr:row>35</xdr:row>
      <xdr:rowOff>9525</xdr:rowOff>
    </xdr:to>
    <xdr:graphicFrame macro="">
      <xdr:nvGraphicFramePr>
        <xdr:cNvPr id="4" name="Chart 3">
          <a:extLst>
            <a:ext uri="{FF2B5EF4-FFF2-40B4-BE49-F238E27FC236}">
              <a16:creationId xmlns:a16="http://schemas.microsoft.com/office/drawing/2014/main" id="{00000000-0008-0000-0E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mc:AlternateContent xmlns:mc="http://schemas.openxmlformats.org/markup-compatibility/2006">
    <mc:Choice xmlns:a14="http://schemas.microsoft.com/office/drawing/2010/main" Requires="a14">
      <xdr:twoCellAnchor editAs="oneCell">
        <xdr:from>
          <xdr:col>6</xdr:col>
          <xdr:colOff>558800</xdr:colOff>
          <xdr:row>12</xdr:row>
          <xdr:rowOff>139700</xdr:rowOff>
        </xdr:from>
        <xdr:to>
          <xdr:col>9</xdr:col>
          <xdr:colOff>241300</xdr:colOff>
          <xdr:row>14</xdr:row>
          <xdr:rowOff>0</xdr:rowOff>
        </xdr:to>
        <xdr:sp macro="" textlink="">
          <xdr:nvSpPr>
            <xdr:cNvPr id="28673" name="Drop Down 1" hidden="1">
              <a:extLst>
                <a:ext uri="{63B3BB69-23CF-44E3-9099-C40C66FF867C}">
                  <a14:compatExt spid="_x0000_s28673"/>
                </a:ext>
                <a:ext uri="{FF2B5EF4-FFF2-40B4-BE49-F238E27FC236}">
                  <a16:creationId xmlns:a16="http://schemas.microsoft.com/office/drawing/2014/main" id="{00000000-0008-0000-0E00-0000017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571500</xdr:colOff>
          <xdr:row>14</xdr:row>
          <xdr:rowOff>139700</xdr:rowOff>
        </xdr:from>
        <xdr:to>
          <xdr:col>9</xdr:col>
          <xdr:colOff>254000</xdr:colOff>
          <xdr:row>15</xdr:row>
          <xdr:rowOff>139700</xdr:rowOff>
        </xdr:to>
        <xdr:sp macro="" textlink="">
          <xdr:nvSpPr>
            <xdr:cNvPr id="28674" name="Drop Down 2" hidden="1">
              <a:extLst>
                <a:ext uri="{63B3BB69-23CF-44E3-9099-C40C66FF867C}">
                  <a14:compatExt spid="_x0000_s28674"/>
                </a:ext>
                <a:ext uri="{FF2B5EF4-FFF2-40B4-BE49-F238E27FC236}">
                  <a16:creationId xmlns:a16="http://schemas.microsoft.com/office/drawing/2014/main" id="{00000000-0008-0000-0E00-0000027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8</xdr:col>
      <xdr:colOff>331304</xdr:colOff>
      <xdr:row>20</xdr:row>
      <xdr:rowOff>49695</xdr:rowOff>
    </xdr:from>
    <xdr:to>
      <xdr:col>15</xdr:col>
      <xdr:colOff>229014</xdr:colOff>
      <xdr:row>35</xdr:row>
      <xdr:rowOff>21120</xdr:rowOff>
    </xdr:to>
    <xdr:graphicFrame macro="">
      <xdr:nvGraphicFramePr>
        <xdr:cNvPr id="6" name="Chart 5">
          <a:extLst>
            <a:ext uri="{FF2B5EF4-FFF2-40B4-BE49-F238E27FC236}">
              <a16:creationId xmlns:a16="http://schemas.microsoft.com/office/drawing/2014/main" id="{00000000-0008-0000-0E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gov.uk/government/publications/the-green-book-appraisal-and-evaluation-in-central-governent" TargetMode="External"/><Relationship Id="rId2" Type="http://schemas.openxmlformats.org/officeDocument/2006/relationships/hyperlink" Target="https://www.gov.uk/government/publications/review-of-quality-assurance-of-government-models" TargetMode="External"/><Relationship Id="rId1" Type="http://schemas.openxmlformats.org/officeDocument/2006/relationships/hyperlink" Target="https://www.gov.uk/government/publications/the-aqua-book-guidance-on-producing-quality-analysis-for-government" TargetMode="External"/><Relationship Id="rId6" Type="http://schemas.openxmlformats.org/officeDocument/2006/relationships/drawing" Target="../drawings/drawing3.xml"/><Relationship Id="rId5" Type="http://schemas.openxmlformats.org/officeDocument/2006/relationships/printerSettings" Target="../printerSettings/printerSettings2.bin"/><Relationship Id="rId4" Type="http://schemas.openxmlformats.org/officeDocument/2006/relationships/hyperlink" Target="https://www.gov.uk/government/publications/the-outsourcing-playbook"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5.xml"/><Relationship Id="rId1" Type="http://schemas.openxmlformats.org/officeDocument/2006/relationships/printerSettings" Target="../printerSettings/printerSettings5.bin"/><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10.bin"/><Relationship Id="rId5" Type="http://schemas.openxmlformats.org/officeDocument/2006/relationships/ctrlProp" Target="../ctrlProps/ctrlProp4.xml"/><Relationship Id="rId4" Type="http://schemas.openxmlformats.org/officeDocument/2006/relationships/ctrlProp" Target="../ctrlProps/ctrlProp3.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7.xml"/><Relationship Id="rId1" Type="http://schemas.openxmlformats.org/officeDocument/2006/relationships/printerSettings" Target="../printerSettings/printerSettings11.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8.xml"/><Relationship Id="rId1" Type="http://schemas.openxmlformats.org/officeDocument/2006/relationships/printerSettings" Target="../printerSettings/printerSettings14.bin"/><Relationship Id="rId5" Type="http://schemas.openxmlformats.org/officeDocument/2006/relationships/ctrlProp" Target="../ctrlProps/ctrlProp8.xml"/><Relationship Id="rId4" Type="http://schemas.openxmlformats.org/officeDocument/2006/relationships/ctrlProp" Target="../ctrlProps/ctrlProp7.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9.xml"/><Relationship Id="rId1" Type="http://schemas.openxmlformats.org/officeDocument/2006/relationships/printerSettings" Target="../printerSettings/printerSettings15.bin"/><Relationship Id="rId5" Type="http://schemas.openxmlformats.org/officeDocument/2006/relationships/ctrlProp" Target="../ctrlProps/ctrlProp10.xml"/><Relationship Id="rId4" Type="http://schemas.openxmlformats.org/officeDocument/2006/relationships/ctrlProp" Target="../ctrlProps/ctrlProp9.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hyperlink" Target="mailto:sourcing.programme@cabinetoffice.gov.uk" TargetMode="Externa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3FDFE-EFF8-4777-80B8-AECD9ECF4405}">
  <sheetPr codeName="Sheet19">
    <tabColor rgb="FF57B6B3"/>
    <pageSetUpPr fitToPage="1"/>
  </sheetPr>
  <dimension ref="A1:XFD73"/>
  <sheetViews>
    <sheetView showGridLines="0" zoomScale="80" zoomScaleNormal="80" workbookViewId="0">
      <pane ySplit="9" topLeftCell="A22" activePane="bottomLeft" state="frozen"/>
      <selection activeCell="E21" sqref="E21"/>
      <selection pane="bottomLeft"/>
    </sheetView>
  </sheetViews>
  <sheetFormatPr baseColWidth="10" defaultColWidth="0" defaultRowHeight="12"/>
  <cols>
    <col min="1" max="2" width="3.3984375" style="40" customWidth="1"/>
    <col min="3" max="3" width="10.796875" style="40" bestFit="1" customWidth="1"/>
    <col min="4" max="4" width="2.59765625" style="40" bestFit="1" customWidth="1"/>
    <col min="5" max="5" width="4.19921875" style="40" customWidth="1"/>
    <col min="6" max="6" width="27.796875" style="40" bestFit="1" customWidth="1"/>
    <col min="7" max="7" width="14.59765625" style="40" bestFit="1" customWidth="1"/>
    <col min="8" max="11" width="8.796875" style="40" customWidth="1"/>
    <col min="12" max="14" width="11.3984375" style="40" customWidth="1"/>
    <col min="15" max="15" width="8.796875" style="40" customWidth="1"/>
    <col min="16" max="16" width="13.59765625" style="40" bestFit="1" customWidth="1"/>
    <col min="17" max="17" width="8.796875" style="40" customWidth="1"/>
    <col min="18" max="18" width="10.3984375" style="40" customWidth="1"/>
    <col min="19" max="19" width="11.3984375" style="40" hidden="1" customWidth="1"/>
    <col min="20" max="20" width="10.796875" style="40" hidden="1" customWidth="1"/>
    <col min="21" max="16384" width="8.796875" style="40" hidden="1"/>
  </cols>
  <sheetData>
    <row r="1" spans="1:16384">
      <c r="A1" s="110"/>
      <c r="B1" s="110"/>
      <c r="C1" s="111" t="s">
        <v>436</v>
      </c>
      <c r="D1" s="110"/>
      <c r="E1" s="110"/>
      <c r="F1" s="110"/>
      <c r="G1" s="110"/>
      <c r="H1" s="110"/>
      <c r="I1" s="110"/>
      <c r="J1" s="110"/>
      <c r="K1" s="110"/>
      <c r="L1" s="110"/>
      <c r="M1" s="110"/>
      <c r="N1" s="110"/>
      <c r="O1" s="110"/>
      <c r="P1" s="110"/>
      <c r="Q1" s="110"/>
      <c r="R1" s="110"/>
      <c r="S1" s="95"/>
      <c r="T1" s="95"/>
      <c r="U1" s="95"/>
      <c r="V1" s="95"/>
      <c r="W1" s="95"/>
      <c r="X1" s="95"/>
      <c r="Y1" s="95"/>
    </row>
    <row r="2" spans="1:16384" ht="13">
      <c r="A2" s="110"/>
      <c r="B2" s="110"/>
      <c r="C2" s="112" t="str">
        <f>cstProjectName</f>
        <v>Should Cost Modelling Case Study - Illustrative SCM</v>
      </c>
      <c r="D2" s="110"/>
      <c r="E2" s="110"/>
      <c r="F2" s="110"/>
      <c r="G2" s="110"/>
      <c r="H2" s="110"/>
      <c r="I2" s="110"/>
      <c r="J2" s="110"/>
      <c r="K2" s="110"/>
      <c r="L2" s="110"/>
      <c r="M2" s="110"/>
      <c r="N2" s="110"/>
      <c r="O2" s="110"/>
      <c r="P2" s="110"/>
      <c r="Q2" s="110"/>
      <c r="R2" s="110"/>
      <c r="S2" s="95"/>
      <c r="T2" s="95"/>
      <c r="U2" s="95"/>
      <c r="V2" s="95"/>
      <c r="W2" s="95"/>
      <c r="X2" s="95"/>
      <c r="Y2" s="95"/>
    </row>
    <row r="3" spans="1:16384" ht="13">
      <c r="A3" s="110"/>
      <c r="B3" s="110"/>
      <c r="C3" s="113" t="str">
        <f ca="1">MID(CELL("filename",A1),FIND("]",CELL("filename",A1))+1,256)&amp;" Sheet"</f>
        <v>Introduction Sheet</v>
      </c>
      <c r="D3" s="110"/>
      <c r="E3" s="110"/>
      <c r="F3" s="110"/>
      <c r="G3" s="110"/>
      <c r="H3" s="110"/>
      <c r="I3" s="110"/>
      <c r="J3" s="110"/>
      <c r="K3" s="110"/>
      <c r="L3" s="110"/>
      <c r="M3" s="110"/>
      <c r="N3" s="110"/>
      <c r="O3" s="110"/>
      <c r="P3" s="110"/>
      <c r="Q3" s="110"/>
      <c r="R3" s="110"/>
      <c r="S3" s="95"/>
      <c r="T3" s="95"/>
      <c r="U3" s="95"/>
      <c r="V3" s="95"/>
      <c r="W3" s="95"/>
      <c r="X3" s="95"/>
      <c r="Y3" s="95"/>
    </row>
    <row r="4" spans="1:16384">
      <c r="A4" s="110"/>
      <c r="B4" s="110"/>
      <c r="C4" s="111" t="str">
        <f>IF(ISBLANK(cstProtectiveMarking),"",cstProtectiveMarking)</f>
        <v>Not Protectively Marked</v>
      </c>
      <c r="D4" s="110"/>
      <c r="E4" s="110"/>
      <c r="F4" s="110"/>
      <c r="G4" s="110"/>
      <c r="H4" s="110"/>
      <c r="I4" s="110"/>
      <c r="J4" s="110"/>
      <c r="K4" s="110"/>
      <c r="L4" s="110"/>
      <c r="M4" s="110"/>
      <c r="N4" s="110"/>
      <c r="O4" s="110"/>
      <c r="P4" s="110"/>
      <c r="Q4" s="110"/>
      <c r="R4" s="110"/>
      <c r="S4" s="95"/>
      <c r="T4" s="95"/>
      <c r="U4" s="95"/>
      <c r="V4" s="95"/>
      <c r="W4" s="95"/>
      <c r="X4" s="95"/>
      <c r="Y4" s="95"/>
    </row>
    <row r="5" spans="1:16384">
      <c r="A5" s="110"/>
      <c r="B5" s="110"/>
      <c r="C5" s="114" t="str">
        <f>HYPERLINK("#'Contents'!A1",sysChkWord)</f>
        <v>All Checks OK</v>
      </c>
      <c r="D5" s="114"/>
      <c r="E5" s="114"/>
      <c r="F5" s="114"/>
      <c r="G5" s="110"/>
      <c r="H5" s="110"/>
      <c r="I5" s="110"/>
      <c r="J5" s="110"/>
      <c r="K5" s="110"/>
      <c r="L5" s="110"/>
      <c r="M5" s="110"/>
      <c r="N5" s="110"/>
      <c r="O5" s="110"/>
      <c r="P5" s="110"/>
      <c r="Q5" s="110"/>
      <c r="R5" s="110"/>
      <c r="S5" s="95"/>
      <c r="T5" s="95"/>
      <c r="U5" s="95"/>
      <c r="V5" s="95"/>
      <c r="W5" s="95"/>
      <c r="X5" s="95"/>
      <c r="Y5" s="95"/>
    </row>
    <row r="6" spans="1:16384" ht="13">
      <c r="A6" s="110"/>
      <c r="B6" s="115"/>
      <c r="C6" s="116" t="str">
        <f>HYPERLINK("#'Contents'!A1","Click for Contents")</f>
        <v>Click for Contents</v>
      </c>
      <c r="D6" s="114"/>
      <c r="E6" s="114"/>
      <c r="F6" s="114"/>
      <c r="G6" s="114"/>
      <c r="H6" s="114"/>
      <c r="I6" s="110"/>
      <c r="J6" s="110"/>
      <c r="K6" s="110"/>
      <c r="L6" s="110"/>
      <c r="M6" s="110"/>
      <c r="N6" s="110"/>
      <c r="O6" s="110"/>
      <c r="P6" s="110"/>
      <c r="Q6" s="110"/>
      <c r="R6" s="110"/>
      <c r="S6" s="95"/>
      <c r="T6" s="95"/>
      <c r="U6" s="95"/>
      <c r="V6" s="95"/>
      <c r="W6" s="95"/>
      <c r="X6" s="95"/>
      <c r="Y6" s="95"/>
    </row>
    <row r="7" spans="1:16384">
      <c r="A7" s="110"/>
      <c r="B7" s="110"/>
      <c r="C7" s="110"/>
      <c r="D7" s="110"/>
      <c r="E7" s="110"/>
      <c r="F7" s="110"/>
      <c r="G7" s="110"/>
      <c r="H7" s="110"/>
      <c r="I7" s="110"/>
      <c r="J7" s="110"/>
      <c r="K7" s="110"/>
      <c r="L7" s="110"/>
      <c r="M7" s="110"/>
      <c r="N7" s="110"/>
      <c r="O7" s="110"/>
      <c r="P7" s="110"/>
      <c r="Q7" s="110"/>
      <c r="R7" s="110"/>
      <c r="S7" s="95"/>
      <c r="T7" s="95"/>
      <c r="U7" s="95"/>
      <c r="V7" s="95"/>
      <c r="W7" s="95"/>
      <c r="X7" s="95"/>
      <c r="Y7" s="95"/>
    </row>
    <row r="8" spans="1:16384">
      <c r="A8" s="117"/>
      <c r="B8" s="117"/>
      <c r="C8" s="117"/>
      <c r="D8" s="117"/>
      <c r="E8" s="117"/>
      <c r="F8" s="117"/>
      <c r="G8" s="117"/>
      <c r="H8" s="117"/>
      <c r="I8" s="117"/>
      <c r="J8" s="117"/>
      <c r="K8" s="110"/>
      <c r="L8" s="110"/>
      <c r="M8" s="110"/>
      <c r="N8" s="110"/>
      <c r="O8" s="110"/>
      <c r="P8" s="110"/>
      <c r="Q8" s="110"/>
      <c r="R8" s="110"/>
      <c r="S8" s="95"/>
      <c r="T8" s="95"/>
      <c r="U8" s="95"/>
      <c r="V8" s="95"/>
      <c r="W8" s="95"/>
      <c r="X8" s="95"/>
      <c r="Y8" s="95"/>
    </row>
    <row r="10" spans="1:16384" ht="16">
      <c r="A10" s="108"/>
      <c r="B10" s="108"/>
      <c r="C10" s="108" t="s">
        <v>434</v>
      </c>
      <c r="D10" s="108"/>
      <c r="E10" s="108"/>
      <c r="F10" s="108"/>
      <c r="G10" s="108"/>
      <c r="H10" s="108"/>
      <c r="I10" s="108"/>
      <c r="J10" s="108"/>
      <c r="K10" s="108"/>
      <c r="L10" s="107"/>
      <c r="M10" s="108"/>
      <c r="N10" s="108"/>
      <c r="O10" s="108"/>
      <c r="P10" s="108"/>
      <c r="Q10" s="108"/>
      <c r="R10" s="108"/>
      <c r="S10" s="108"/>
      <c r="T10" s="108"/>
      <c r="U10" s="108"/>
      <c r="V10" s="108"/>
      <c r="W10" s="108"/>
      <c r="X10" s="108"/>
      <c r="Y10" s="108"/>
      <c r="Z10" s="108"/>
      <c r="AA10" s="108"/>
      <c r="AB10" s="108"/>
      <c r="AC10" s="108"/>
      <c r="AD10" s="108"/>
      <c r="AE10" s="108"/>
      <c r="AF10" s="108"/>
      <c r="AG10" s="108"/>
      <c r="AH10" s="108"/>
      <c r="AI10" s="108"/>
      <c r="AJ10" s="108"/>
      <c r="AK10" s="108"/>
      <c r="AL10" s="108"/>
      <c r="AM10" s="108"/>
      <c r="AN10" s="108"/>
      <c r="AO10" s="108"/>
      <c r="AP10" s="108"/>
      <c r="AQ10" s="108"/>
      <c r="AR10" s="108"/>
      <c r="AS10" s="108"/>
      <c r="AT10" s="108"/>
      <c r="AU10" s="108"/>
      <c r="AV10" s="108"/>
      <c r="AW10" s="108"/>
      <c r="AX10" s="108"/>
      <c r="AY10" s="108"/>
      <c r="AZ10" s="108"/>
      <c r="BA10" s="108"/>
      <c r="BB10" s="108"/>
      <c r="BC10" s="108"/>
      <c r="BD10" s="108"/>
      <c r="BE10" s="108"/>
      <c r="BF10" s="108"/>
      <c r="BG10" s="108"/>
      <c r="BH10" s="108"/>
      <c r="BI10" s="108"/>
      <c r="BJ10" s="108"/>
      <c r="BK10" s="108"/>
      <c r="BL10" s="108"/>
      <c r="BM10" s="108"/>
      <c r="BN10" s="108"/>
      <c r="BO10" s="108"/>
      <c r="BP10" s="108"/>
      <c r="BQ10" s="108"/>
      <c r="BR10" s="108"/>
      <c r="BS10" s="108"/>
      <c r="BT10" s="108"/>
      <c r="BU10" s="108"/>
      <c r="BV10" s="108"/>
      <c r="BW10" s="108"/>
      <c r="BX10" s="108"/>
      <c r="BY10" s="108"/>
      <c r="BZ10" s="108"/>
      <c r="CA10" s="108"/>
      <c r="CB10" s="108"/>
      <c r="CC10" s="108"/>
      <c r="CD10" s="108"/>
      <c r="CE10" s="108"/>
      <c r="CF10" s="108"/>
      <c r="CG10" s="108"/>
      <c r="CH10" s="108"/>
      <c r="CI10" s="108"/>
      <c r="CJ10" s="108"/>
      <c r="CK10" s="108"/>
      <c r="CL10" s="108"/>
      <c r="CM10" s="108"/>
      <c r="CN10" s="108"/>
      <c r="CO10" s="108"/>
      <c r="CP10" s="108"/>
      <c r="CQ10" s="108"/>
      <c r="CR10" s="108"/>
      <c r="CS10" s="108"/>
      <c r="CT10" s="108"/>
      <c r="CU10" s="108"/>
      <c r="CV10" s="108"/>
      <c r="CW10" s="108"/>
      <c r="CX10" s="108"/>
      <c r="CY10" s="108"/>
      <c r="CZ10" s="108"/>
      <c r="DA10" s="108"/>
      <c r="DB10" s="108"/>
      <c r="DC10" s="108"/>
      <c r="DD10" s="108"/>
      <c r="DE10" s="108"/>
      <c r="DF10" s="108"/>
      <c r="DG10" s="108"/>
      <c r="DH10" s="108"/>
      <c r="DI10" s="108"/>
      <c r="DJ10" s="108"/>
      <c r="DK10" s="108"/>
      <c r="DL10" s="108"/>
      <c r="DM10" s="108"/>
      <c r="DN10" s="108"/>
      <c r="DO10" s="108"/>
      <c r="DP10" s="108"/>
      <c r="DQ10" s="108"/>
      <c r="DR10" s="108"/>
      <c r="DS10" s="108"/>
      <c r="DT10" s="108"/>
      <c r="DU10" s="108"/>
      <c r="DV10" s="108"/>
      <c r="DW10" s="108"/>
      <c r="DX10" s="108"/>
      <c r="DY10" s="108"/>
      <c r="DZ10" s="108"/>
      <c r="EA10" s="108"/>
      <c r="EB10" s="108"/>
      <c r="EC10" s="108"/>
      <c r="ED10" s="108"/>
      <c r="EE10" s="108"/>
      <c r="EF10" s="108"/>
      <c r="EG10" s="108"/>
      <c r="EH10" s="108"/>
      <c r="EI10" s="108"/>
      <c r="EJ10" s="108"/>
      <c r="EK10" s="108"/>
      <c r="EL10" s="108"/>
      <c r="EM10" s="108"/>
      <c r="EN10" s="108"/>
      <c r="EO10" s="108"/>
      <c r="EP10" s="108"/>
      <c r="EQ10" s="108"/>
      <c r="ER10" s="108"/>
      <c r="ES10" s="108"/>
      <c r="ET10" s="108"/>
      <c r="EU10" s="108"/>
      <c r="EV10" s="108"/>
      <c r="EW10" s="108"/>
      <c r="EX10" s="108"/>
      <c r="EY10" s="108"/>
      <c r="EZ10" s="108"/>
      <c r="FA10" s="108"/>
      <c r="FB10" s="108"/>
      <c r="FC10" s="108"/>
      <c r="FD10" s="108"/>
      <c r="FE10" s="108"/>
      <c r="FF10" s="108"/>
      <c r="FG10" s="108"/>
      <c r="FH10" s="108"/>
      <c r="FI10" s="108"/>
      <c r="FJ10" s="108"/>
      <c r="FK10" s="108"/>
      <c r="FL10" s="108"/>
      <c r="FM10" s="108"/>
      <c r="FN10" s="108"/>
      <c r="FO10" s="108"/>
      <c r="FP10" s="108"/>
      <c r="FQ10" s="108"/>
      <c r="FR10" s="108"/>
      <c r="FS10" s="108"/>
      <c r="FT10" s="108"/>
      <c r="FU10" s="108"/>
      <c r="FV10" s="108"/>
      <c r="FW10" s="108"/>
      <c r="FX10" s="108"/>
      <c r="FY10" s="108"/>
      <c r="FZ10" s="108"/>
      <c r="GA10" s="108"/>
      <c r="GB10" s="108"/>
      <c r="GC10" s="108"/>
      <c r="GD10" s="108"/>
      <c r="GE10" s="108"/>
      <c r="GF10" s="108"/>
      <c r="GG10" s="108"/>
      <c r="GH10" s="108"/>
      <c r="GI10" s="108"/>
      <c r="GJ10" s="108"/>
      <c r="GK10" s="108"/>
      <c r="GL10" s="108"/>
      <c r="GM10" s="108"/>
      <c r="GN10" s="108"/>
      <c r="GO10" s="108"/>
      <c r="GP10" s="108"/>
      <c r="GQ10" s="108"/>
      <c r="GR10" s="108"/>
      <c r="GS10" s="108"/>
      <c r="GT10" s="108"/>
      <c r="GU10" s="108"/>
      <c r="GV10" s="108"/>
      <c r="GW10" s="108"/>
      <c r="GX10" s="108"/>
      <c r="GY10" s="108"/>
      <c r="GZ10" s="108"/>
      <c r="HA10" s="108"/>
      <c r="HB10" s="108"/>
      <c r="HC10" s="108"/>
      <c r="HD10" s="108"/>
      <c r="HE10" s="108"/>
      <c r="HF10" s="108"/>
      <c r="HG10" s="108"/>
      <c r="HH10" s="108"/>
      <c r="HI10" s="108"/>
      <c r="HJ10" s="108"/>
      <c r="HK10" s="108"/>
      <c r="HL10" s="108"/>
      <c r="HM10" s="108"/>
      <c r="HN10" s="108"/>
      <c r="HO10" s="108"/>
      <c r="HP10" s="108"/>
      <c r="HQ10" s="108"/>
      <c r="HR10" s="108"/>
      <c r="HS10" s="108"/>
      <c r="HT10" s="108"/>
      <c r="HU10" s="108"/>
      <c r="HV10" s="108"/>
      <c r="HW10" s="108"/>
      <c r="HX10" s="108"/>
      <c r="HY10" s="108"/>
      <c r="HZ10" s="108"/>
      <c r="IA10" s="108"/>
      <c r="IB10" s="108"/>
      <c r="IC10" s="108"/>
      <c r="ID10" s="108"/>
      <c r="IE10" s="108"/>
      <c r="IF10" s="108"/>
      <c r="IG10" s="108"/>
      <c r="IH10" s="108"/>
      <c r="II10" s="108"/>
      <c r="IJ10" s="108"/>
      <c r="IK10" s="108"/>
      <c r="IL10" s="108"/>
      <c r="IM10" s="108"/>
      <c r="IN10" s="108"/>
      <c r="IO10" s="108"/>
      <c r="IP10" s="108"/>
      <c r="IQ10" s="108"/>
      <c r="IR10" s="108"/>
      <c r="IS10" s="108"/>
      <c r="IT10" s="108"/>
      <c r="IU10" s="108"/>
      <c r="IV10" s="108"/>
      <c r="IW10" s="108"/>
      <c r="IX10" s="108"/>
      <c r="IY10" s="108"/>
      <c r="IZ10" s="108"/>
      <c r="JA10" s="108"/>
      <c r="JB10" s="108"/>
      <c r="JC10" s="108"/>
      <c r="JD10" s="108"/>
      <c r="JE10" s="108"/>
      <c r="JF10" s="108"/>
      <c r="JG10" s="108"/>
      <c r="JH10" s="108"/>
      <c r="JI10" s="108"/>
      <c r="JJ10" s="108"/>
      <c r="JK10" s="108"/>
      <c r="JL10" s="108"/>
      <c r="JM10" s="108"/>
      <c r="JN10" s="108"/>
      <c r="JO10" s="108"/>
      <c r="JP10" s="108"/>
      <c r="JQ10" s="108"/>
      <c r="JR10" s="108"/>
      <c r="JS10" s="108"/>
      <c r="JT10" s="108"/>
      <c r="JU10" s="108"/>
      <c r="JV10" s="108"/>
      <c r="JW10" s="108"/>
      <c r="JX10" s="108"/>
      <c r="JY10" s="108"/>
      <c r="JZ10" s="108"/>
      <c r="KA10" s="108"/>
      <c r="KB10" s="108"/>
      <c r="KC10" s="108"/>
      <c r="KD10" s="108"/>
      <c r="KE10" s="108"/>
      <c r="KF10" s="108"/>
      <c r="KG10" s="108"/>
      <c r="KH10" s="108"/>
      <c r="KI10" s="108"/>
      <c r="KJ10" s="108"/>
      <c r="KK10" s="108"/>
      <c r="KL10" s="108"/>
      <c r="KM10" s="108"/>
      <c r="KN10" s="108"/>
      <c r="KO10" s="108"/>
      <c r="KP10" s="108"/>
      <c r="KQ10" s="108"/>
      <c r="KR10" s="108"/>
      <c r="KS10" s="108"/>
      <c r="KT10" s="108"/>
      <c r="KU10" s="108"/>
      <c r="KV10" s="108"/>
      <c r="KW10" s="108"/>
      <c r="KX10" s="108"/>
      <c r="KY10" s="108"/>
      <c r="KZ10" s="108"/>
      <c r="LA10" s="108"/>
      <c r="LB10" s="108"/>
      <c r="LC10" s="108"/>
      <c r="LD10" s="108"/>
      <c r="LE10" s="108"/>
      <c r="LF10" s="108"/>
      <c r="LG10" s="108"/>
      <c r="LH10" s="108"/>
      <c r="LI10" s="108"/>
      <c r="LJ10" s="108"/>
      <c r="LK10" s="108"/>
      <c r="LL10" s="108"/>
      <c r="LM10" s="108"/>
      <c r="LN10" s="108"/>
      <c r="LO10" s="108"/>
      <c r="LP10" s="108"/>
      <c r="LQ10" s="108"/>
      <c r="LR10" s="108"/>
      <c r="LS10" s="108"/>
      <c r="LT10" s="108"/>
      <c r="LU10" s="108"/>
      <c r="LV10" s="108"/>
      <c r="LW10" s="108"/>
      <c r="LX10" s="108"/>
      <c r="LY10" s="108"/>
      <c r="LZ10" s="108"/>
      <c r="MA10" s="108"/>
      <c r="MB10" s="108"/>
      <c r="MC10" s="108"/>
      <c r="MD10" s="108"/>
      <c r="ME10" s="108"/>
      <c r="MF10" s="108"/>
      <c r="MG10" s="108"/>
      <c r="MH10" s="108"/>
      <c r="MI10" s="108"/>
      <c r="MJ10" s="108"/>
      <c r="MK10" s="108"/>
      <c r="ML10" s="108"/>
      <c r="MM10" s="108"/>
      <c r="MN10" s="108"/>
      <c r="MO10" s="108"/>
      <c r="MP10" s="108"/>
      <c r="MQ10" s="108"/>
      <c r="MR10" s="108"/>
      <c r="MS10" s="108"/>
      <c r="MT10" s="108"/>
      <c r="MU10" s="108"/>
      <c r="MV10" s="108"/>
      <c r="MW10" s="108"/>
      <c r="MX10" s="108"/>
      <c r="MY10" s="108"/>
      <c r="MZ10" s="108"/>
      <c r="NA10" s="108"/>
      <c r="NB10" s="108"/>
      <c r="NC10" s="108"/>
      <c r="ND10" s="108"/>
      <c r="NE10" s="108"/>
      <c r="NF10" s="108"/>
      <c r="NG10" s="108"/>
      <c r="NH10" s="108"/>
      <c r="NI10" s="108"/>
      <c r="NJ10" s="108"/>
      <c r="NK10" s="108"/>
      <c r="NL10" s="108"/>
      <c r="NM10" s="108"/>
      <c r="NN10" s="108"/>
      <c r="NO10" s="108"/>
      <c r="NP10" s="108"/>
      <c r="NQ10" s="108"/>
      <c r="NR10" s="108"/>
      <c r="NS10" s="108"/>
      <c r="NT10" s="108"/>
      <c r="NU10" s="108"/>
      <c r="NV10" s="108"/>
      <c r="NW10" s="108"/>
      <c r="NX10" s="108"/>
      <c r="NY10" s="108"/>
      <c r="NZ10" s="108"/>
      <c r="OA10" s="108"/>
      <c r="OB10" s="108"/>
      <c r="OC10" s="108"/>
      <c r="OD10" s="108"/>
      <c r="OE10" s="108"/>
      <c r="OF10" s="108"/>
      <c r="OG10" s="108"/>
      <c r="OH10" s="108"/>
      <c r="OI10" s="108"/>
      <c r="OJ10" s="108"/>
      <c r="OK10" s="108"/>
      <c r="OL10" s="108"/>
      <c r="OM10" s="108"/>
      <c r="ON10" s="108"/>
      <c r="OO10" s="108"/>
      <c r="OP10" s="108"/>
      <c r="OQ10" s="108"/>
      <c r="OR10" s="108"/>
      <c r="OS10" s="108"/>
      <c r="OT10" s="108"/>
      <c r="OU10" s="108"/>
      <c r="OV10" s="108"/>
      <c r="OW10" s="108"/>
      <c r="OX10" s="108"/>
      <c r="OY10" s="108"/>
      <c r="OZ10" s="108"/>
      <c r="PA10" s="108"/>
      <c r="PB10" s="108"/>
      <c r="PC10" s="108"/>
      <c r="PD10" s="108"/>
      <c r="PE10" s="108"/>
      <c r="PF10" s="108"/>
      <c r="PG10" s="108"/>
      <c r="PH10" s="108"/>
      <c r="PI10" s="108"/>
      <c r="PJ10" s="108"/>
      <c r="PK10" s="108"/>
      <c r="PL10" s="108"/>
      <c r="PM10" s="108"/>
      <c r="PN10" s="108"/>
      <c r="PO10" s="108"/>
      <c r="PP10" s="108"/>
      <c r="PQ10" s="108"/>
      <c r="PR10" s="108"/>
      <c r="PS10" s="108"/>
      <c r="PT10" s="108"/>
      <c r="PU10" s="108"/>
      <c r="PV10" s="108"/>
      <c r="PW10" s="108"/>
      <c r="PX10" s="108"/>
      <c r="PY10" s="108"/>
      <c r="PZ10" s="108"/>
      <c r="QA10" s="108"/>
      <c r="QB10" s="108"/>
      <c r="QC10" s="108"/>
      <c r="QD10" s="108"/>
      <c r="QE10" s="108"/>
      <c r="QF10" s="108"/>
      <c r="QG10" s="108"/>
      <c r="QH10" s="108"/>
      <c r="QI10" s="108"/>
      <c r="QJ10" s="108"/>
      <c r="QK10" s="108"/>
      <c r="QL10" s="108"/>
      <c r="QM10" s="108"/>
      <c r="QN10" s="108"/>
      <c r="QO10" s="108"/>
      <c r="QP10" s="108"/>
      <c r="QQ10" s="108"/>
      <c r="QR10" s="108"/>
      <c r="QS10" s="108"/>
      <c r="QT10" s="108"/>
      <c r="QU10" s="108"/>
      <c r="QV10" s="108"/>
      <c r="QW10" s="108"/>
      <c r="QX10" s="108"/>
      <c r="QY10" s="108"/>
      <c r="QZ10" s="108"/>
      <c r="RA10" s="108"/>
      <c r="RB10" s="108"/>
      <c r="RC10" s="108"/>
      <c r="RD10" s="108"/>
      <c r="RE10" s="108"/>
      <c r="RF10" s="108"/>
      <c r="RG10" s="108"/>
      <c r="RH10" s="108"/>
      <c r="RI10" s="108"/>
      <c r="RJ10" s="108"/>
      <c r="RK10" s="108"/>
      <c r="RL10" s="108"/>
      <c r="RM10" s="108"/>
      <c r="RN10" s="108"/>
      <c r="RO10" s="108"/>
      <c r="RP10" s="108"/>
      <c r="RQ10" s="108"/>
      <c r="RR10" s="108"/>
      <c r="RS10" s="108"/>
      <c r="RT10" s="108"/>
      <c r="RU10" s="108"/>
      <c r="RV10" s="108"/>
      <c r="RW10" s="108"/>
      <c r="RX10" s="108"/>
      <c r="RY10" s="108"/>
      <c r="RZ10" s="108"/>
      <c r="SA10" s="108"/>
      <c r="SB10" s="108"/>
      <c r="SC10" s="108"/>
      <c r="SD10" s="108"/>
      <c r="SE10" s="108"/>
      <c r="SF10" s="108"/>
      <c r="SG10" s="108"/>
      <c r="SH10" s="108"/>
      <c r="SI10" s="108"/>
      <c r="SJ10" s="108"/>
      <c r="SK10" s="108"/>
      <c r="SL10" s="108"/>
      <c r="SM10" s="108"/>
      <c r="SN10" s="108"/>
      <c r="SO10" s="108"/>
      <c r="SP10" s="108"/>
      <c r="SQ10" s="108"/>
      <c r="SR10" s="108"/>
      <c r="SS10" s="108"/>
      <c r="ST10" s="108"/>
      <c r="SU10" s="108"/>
      <c r="SV10" s="108"/>
      <c r="SW10" s="108"/>
      <c r="SX10" s="108"/>
      <c r="SY10" s="108"/>
      <c r="SZ10" s="108"/>
      <c r="TA10" s="108"/>
      <c r="TB10" s="108"/>
      <c r="TC10" s="108"/>
      <c r="TD10" s="108"/>
      <c r="TE10" s="108"/>
      <c r="TF10" s="108"/>
      <c r="TG10" s="108"/>
      <c r="TH10" s="108"/>
      <c r="TI10" s="108"/>
      <c r="TJ10" s="108"/>
      <c r="TK10" s="108"/>
      <c r="TL10" s="108"/>
      <c r="TM10" s="108"/>
      <c r="TN10" s="108"/>
      <c r="TO10" s="108"/>
      <c r="TP10" s="108"/>
      <c r="TQ10" s="108"/>
      <c r="TR10" s="108"/>
      <c r="TS10" s="108"/>
      <c r="TT10" s="108"/>
      <c r="TU10" s="108"/>
      <c r="TV10" s="108"/>
      <c r="TW10" s="108"/>
      <c r="TX10" s="108"/>
      <c r="TY10" s="108"/>
      <c r="TZ10" s="108"/>
      <c r="UA10" s="108"/>
      <c r="UB10" s="108"/>
      <c r="UC10" s="108"/>
      <c r="UD10" s="108"/>
      <c r="UE10" s="108"/>
      <c r="UF10" s="108"/>
      <c r="UG10" s="108"/>
      <c r="UH10" s="108"/>
      <c r="UI10" s="108"/>
      <c r="UJ10" s="108"/>
      <c r="UK10" s="108"/>
      <c r="UL10" s="108"/>
      <c r="UM10" s="108"/>
      <c r="UN10" s="108"/>
      <c r="UO10" s="108"/>
      <c r="UP10" s="108"/>
      <c r="UQ10" s="108"/>
      <c r="UR10" s="108"/>
      <c r="US10" s="108"/>
      <c r="UT10" s="108"/>
      <c r="UU10" s="108"/>
      <c r="UV10" s="108"/>
      <c r="UW10" s="108"/>
      <c r="UX10" s="108"/>
      <c r="UY10" s="108"/>
      <c r="UZ10" s="108"/>
      <c r="VA10" s="108"/>
      <c r="VB10" s="108"/>
      <c r="VC10" s="108"/>
      <c r="VD10" s="108"/>
      <c r="VE10" s="108"/>
      <c r="VF10" s="108"/>
      <c r="VG10" s="108"/>
      <c r="VH10" s="108"/>
      <c r="VI10" s="108"/>
      <c r="VJ10" s="108"/>
      <c r="VK10" s="108"/>
      <c r="VL10" s="108"/>
      <c r="VM10" s="108"/>
      <c r="VN10" s="108"/>
      <c r="VO10" s="108"/>
      <c r="VP10" s="108"/>
      <c r="VQ10" s="108"/>
      <c r="VR10" s="108"/>
      <c r="VS10" s="108"/>
      <c r="VT10" s="108"/>
      <c r="VU10" s="108"/>
      <c r="VV10" s="108"/>
      <c r="VW10" s="108"/>
      <c r="VX10" s="108"/>
      <c r="VY10" s="108"/>
      <c r="VZ10" s="108"/>
      <c r="WA10" s="108"/>
      <c r="WB10" s="108"/>
      <c r="WC10" s="108"/>
      <c r="WD10" s="108"/>
      <c r="WE10" s="108"/>
      <c r="WF10" s="108"/>
      <c r="WG10" s="108"/>
      <c r="WH10" s="108"/>
      <c r="WI10" s="108"/>
      <c r="WJ10" s="108"/>
      <c r="WK10" s="108"/>
      <c r="WL10" s="108"/>
      <c r="WM10" s="108"/>
      <c r="WN10" s="108"/>
      <c r="WO10" s="108"/>
      <c r="WP10" s="108"/>
      <c r="WQ10" s="108"/>
      <c r="WR10" s="108"/>
      <c r="WS10" s="108"/>
      <c r="WT10" s="108"/>
      <c r="WU10" s="108"/>
      <c r="WV10" s="108"/>
      <c r="WW10" s="108"/>
      <c r="WX10" s="108"/>
      <c r="WY10" s="108"/>
      <c r="WZ10" s="108"/>
      <c r="XA10" s="108"/>
      <c r="XB10" s="108"/>
      <c r="XC10" s="108"/>
      <c r="XD10" s="108"/>
      <c r="XE10" s="108"/>
      <c r="XF10" s="108"/>
      <c r="XG10" s="108"/>
      <c r="XH10" s="108"/>
      <c r="XI10" s="108"/>
      <c r="XJ10" s="108"/>
      <c r="XK10" s="108"/>
      <c r="XL10" s="108"/>
      <c r="XM10" s="108"/>
      <c r="XN10" s="108"/>
      <c r="XO10" s="108"/>
      <c r="XP10" s="108"/>
      <c r="XQ10" s="108"/>
      <c r="XR10" s="108"/>
      <c r="XS10" s="108"/>
      <c r="XT10" s="108"/>
      <c r="XU10" s="108"/>
      <c r="XV10" s="108"/>
      <c r="XW10" s="108"/>
      <c r="XX10" s="108"/>
      <c r="XY10" s="108"/>
      <c r="XZ10" s="108"/>
      <c r="YA10" s="108"/>
      <c r="YB10" s="108"/>
      <c r="YC10" s="108"/>
      <c r="YD10" s="108"/>
      <c r="YE10" s="108"/>
      <c r="YF10" s="108"/>
      <c r="YG10" s="108"/>
      <c r="YH10" s="108"/>
      <c r="YI10" s="108"/>
      <c r="YJ10" s="108"/>
      <c r="YK10" s="108"/>
      <c r="YL10" s="108"/>
      <c r="YM10" s="108"/>
      <c r="YN10" s="108"/>
      <c r="YO10" s="108"/>
      <c r="YP10" s="108"/>
      <c r="YQ10" s="108"/>
      <c r="YR10" s="108"/>
      <c r="YS10" s="108"/>
      <c r="YT10" s="108"/>
      <c r="YU10" s="108"/>
      <c r="YV10" s="108"/>
      <c r="YW10" s="108"/>
      <c r="YX10" s="108"/>
      <c r="YY10" s="108"/>
      <c r="YZ10" s="108"/>
      <c r="ZA10" s="108"/>
      <c r="ZB10" s="108"/>
      <c r="ZC10" s="108"/>
      <c r="ZD10" s="108"/>
      <c r="ZE10" s="108"/>
      <c r="ZF10" s="108"/>
      <c r="ZG10" s="108"/>
      <c r="ZH10" s="108"/>
      <c r="ZI10" s="108"/>
      <c r="ZJ10" s="108"/>
      <c r="ZK10" s="108"/>
      <c r="ZL10" s="108"/>
      <c r="ZM10" s="108"/>
      <c r="ZN10" s="108"/>
      <c r="ZO10" s="108"/>
      <c r="ZP10" s="108"/>
      <c r="ZQ10" s="108"/>
      <c r="ZR10" s="108"/>
      <c r="ZS10" s="108"/>
      <c r="ZT10" s="108"/>
      <c r="ZU10" s="108"/>
      <c r="ZV10" s="108"/>
      <c r="ZW10" s="108"/>
      <c r="ZX10" s="108"/>
      <c r="ZY10" s="108"/>
      <c r="ZZ10" s="108"/>
      <c r="AAA10" s="108"/>
      <c r="AAB10" s="108"/>
      <c r="AAC10" s="108"/>
      <c r="AAD10" s="108"/>
      <c r="AAE10" s="108"/>
      <c r="AAF10" s="108"/>
      <c r="AAG10" s="108"/>
      <c r="AAH10" s="108"/>
      <c r="AAI10" s="108"/>
      <c r="AAJ10" s="108"/>
      <c r="AAK10" s="108"/>
      <c r="AAL10" s="108"/>
      <c r="AAM10" s="108"/>
      <c r="AAN10" s="108"/>
      <c r="AAO10" s="108"/>
      <c r="AAP10" s="108"/>
      <c r="AAQ10" s="108"/>
      <c r="AAR10" s="108"/>
      <c r="AAS10" s="108"/>
      <c r="AAT10" s="108"/>
      <c r="AAU10" s="108"/>
      <c r="AAV10" s="108"/>
      <c r="AAW10" s="108"/>
      <c r="AAX10" s="108"/>
      <c r="AAY10" s="108"/>
      <c r="AAZ10" s="108"/>
      <c r="ABA10" s="108"/>
      <c r="ABB10" s="108"/>
      <c r="ABC10" s="108"/>
      <c r="ABD10" s="108"/>
      <c r="ABE10" s="108"/>
      <c r="ABF10" s="108"/>
      <c r="ABG10" s="108"/>
      <c r="ABH10" s="108"/>
      <c r="ABI10" s="108"/>
      <c r="ABJ10" s="108"/>
      <c r="ABK10" s="108"/>
      <c r="ABL10" s="108"/>
      <c r="ABM10" s="108"/>
      <c r="ABN10" s="108"/>
      <c r="ABO10" s="108"/>
      <c r="ABP10" s="108"/>
      <c r="ABQ10" s="108"/>
      <c r="ABR10" s="108"/>
      <c r="ABS10" s="108"/>
      <c r="ABT10" s="108"/>
      <c r="ABU10" s="108"/>
      <c r="ABV10" s="108"/>
      <c r="ABW10" s="108"/>
      <c r="ABX10" s="108"/>
      <c r="ABY10" s="108"/>
      <c r="ABZ10" s="108"/>
      <c r="ACA10" s="108"/>
      <c r="ACB10" s="108"/>
      <c r="ACC10" s="108"/>
      <c r="ACD10" s="108"/>
      <c r="ACE10" s="108"/>
      <c r="ACF10" s="108"/>
      <c r="ACG10" s="108"/>
      <c r="ACH10" s="108"/>
      <c r="ACI10" s="108"/>
      <c r="ACJ10" s="108"/>
      <c r="ACK10" s="108"/>
      <c r="ACL10" s="108"/>
      <c r="ACM10" s="108"/>
      <c r="ACN10" s="108"/>
      <c r="ACO10" s="108"/>
      <c r="ACP10" s="108"/>
      <c r="ACQ10" s="108"/>
      <c r="ACR10" s="108"/>
      <c r="ACS10" s="108"/>
      <c r="ACT10" s="108"/>
      <c r="ACU10" s="108"/>
      <c r="ACV10" s="108"/>
      <c r="ACW10" s="108"/>
      <c r="ACX10" s="108"/>
      <c r="ACY10" s="108"/>
      <c r="ACZ10" s="108"/>
      <c r="ADA10" s="108"/>
      <c r="ADB10" s="108"/>
      <c r="ADC10" s="108"/>
      <c r="ADD10" s="108"/>
      <c r="ADE10" s="108"/>
      <c r="ADF10" s="108"/>
      <c r="ADG10" s="108"/>
      <c r="ADH10" s="108"/>
      <c r="ADI10" s="108"/>
      <c r="ADJ10" s="108"/>
      <c r="ADK10" s="108"/>
      <c r="ADL10" s="108"/>
      <c r="ADM10" s="108"/>
      <c r="ADN10" s="108"/>
      <c r="ADO10" s="108"/>
      <c r="ADP10" s="108"/>
      <c r="ADQ10" s="108"/>
      <c r="ADR10" s="108"/>
      <c r="ADS10" s="108"/>
      <c r="ADT10" s="108"/>
      <c r="ADU10" s="108"/>
      <c r="ADV10" s="108"/>
      <c r="ADW10" s="108"/>
      <c r="ADX10" s="108"/>
      <c r="ADY10" s="108"/>
      <c r="ADZ10" s="108"/>
      <c r="AEA10" s="108"/>
      <c r="AEB10" s="108"/>
      <c r="AEC10" s="108"/>
      <c r="AED10" s="108"/>
      <c r="AEE10" s="108"/>
      <c r="AEF10" s="108"/>
      <c r="AEG10" s="108"/>
      <c r="AEH10" s="108"/>
      <c r="AEI10" s="108"/>
      <c r="AEJ10" s="108"/>
      <c r="AEK10" s="108"/>
      <c r="AEL10" s="108"/>
      <c r="AEM10" s="108"/>
      <c r="AEN10" s="108"/>
      <c r="AEO10" s="108"/>
      <c r="AEP10" s="108"/>
      <c r="AEQ10" s="108"/>
      <c r="AER10" s="108"/>
      <c r="AES10" s="108"/>
      <c r="AET10" s="108"/>
      <c r="AEU10" s="108"/>
      <c r="AEV10" s="108"/>
      <c r="AEW10" s="108"/>
      <c r="AEX10" s="108"/>
      <c r="AEY10" s="108"/>
      <c r="AEZ10" s="108"/>
      <c r="AFA10" s="108"/>
      <c r="AFB10" s="108"/>
      <c r="AFC10" s="108"/>
      <c r="AFD10" s="108"/>
      <c r="AFE10" s="108"/>
      <c r="AFF10" s="108"/>
      <c r="AFG10" s="108"/>
      <c r="AFH10" s="108"/>
      <c r="AFI10" s="108"/>
      <c r="AFJ10" s="108"/>
      <c r="AFK10" s="108"/>
      <c r="AFL10" s="108"/>
      <c r="AFM10" s="108"/>
      <c r="AFN10" s="108"/>
      <c r="AFO10" s="108"/>
      <c r="AFP10" s="108"/>
      <c r="AFQ10" s="108"/>
      <c r="AFR10" s="108"/>
      <c r="AFS10" s="108"/>
      <c r="AFT10" s="108"/>
      <c r="AFU10" s="108"/>
      <c r="AFV10" s="108"/>
      <c r="AFW10" s="108"/>
      <c r="AFX10" s="108"/>
      <c r="AFY10" s="108"/>
      <c r="AFZ10" s="108"/>
      <c r="AGA10" s="108"/>
      <c r="AGB10" s="108"/>
      <c r="AGC10" s="108"/>
      <c r="AGD10" s="108"/>
      <c r="AGE10" s="108"/>
      <c r="AGF10" s="108"/>
      <c r="AGG10" s="108"/>
      <c r="AGH10" s="108"/>
      <c r="AGI10" s="108"/>
      <c r="AGJ10" s="108"/>
      <c r="AGK10" s="108"/>
      <c r="AGL10" s="108"/>
      <c r="AGM10" s="108"/>
      <c r="AGN10" s="108"/>
      <c r="AGO10" s="108"/>
      <c r="AGP10" s="108"/>
      <c r="AGQ10" s="108"/>
      <c r="AGR10" s="108"/>
      <c r="AGS10" s="108"/>
      <c r="AGT10" s="108"/>
      <c r="AGU10" s="108"/>
      <c r="AGV10" s="108"/>
      <c r="AGW10" s="108"/>
      <c r="AGX10" s="108"/>
      <c r="AGY10" s="108"/>
      <c r="AGZ10" s="108"/>
      <c r="AHA10" s="108"/>
      <c r="AHB10" s="108"/>
      <c r="AHC10" s="108"/>
      <c r="AHD10" s="108"/>
      <c r="AHE10" s="108"/>
      <c r="AHF10" s="108"/>
      <c r="AHG10" s="108"/>
      <c r="AHH10" s="108"/>
      <c r="AHI10" s="108"/>
      <c r="AHJ10" s="108"/>
      <c r="AHK10" s="108"/>
      <c r="AHL10" s="108"/>
      <c r="AHM10" s="108"/>
      <c r="AHN10" s="108"/>
      <c r="AHO10" s="108"/>
      <c r="AHP10" s="108"/>
      <c r="AHQ10" s="108"/>
      <c r="AHR10" s="108"/>
      <c r="AHS10" s="108"/>
      <c r="AHT10" s="108"/>
      <c r="AHU10" s="108"/>
      <c r="AHV10" s="108"/>
      <c r="AHW10" s="108"/>
      <c r="AHX10" s="108"/>
      <c r="AHY10" s="108"/>
      <c r="AHZ10" s="108"/>
      <c r="AIA10" s="108"/>
      <c r="AIB10" s="108"/>
      <c r="AIC10" s="108"/>
      <c r="AID10" s="108"/>
      <c r="AIE10" s="108"/>
      <c r="AIF10" s="108"/>
      <c r="AIG10" s="108"/>
      <c r="AIH10" s="108"/>
      <c r="AII10" s="108"/>
      <c r="AIJ10" s="108"/>
      <c r="AIK10" s="108"/>
      <c r="AIL10" s="108"/>
      <c r="AIM10" s="108"/>
      <c r="AIN10" s="108"/>
      <c r="AIO10" s="108"/>
      <c r="AIP10" s="108"/>
      <c r="AIQ10" s="108"/>
      <c r="AIR10" s="108"/>
      <c r="AIS10" s="108"/>
      <c r="AIT10" s="108"/>
      <c r="AIU10" s="108"/>
      <c r="AIV10" s="108"/>
      <c r="AIW10" s="108"/>
      <c r="AIX10" s="108"/>
      <c r="AIY10" s="108"/>
      <c r="AIZ10" s="108"/>
      <c r="AJA10" s="108"/>
      <c r="AJB10" s="108"/>
      <c r="AJC10" s="108"/>
      <c r="AJD10" s="108"/>
      <c r="AJE10" s="108"/>
      <c r="AJF10" s="108"/>
      <c r="AJG10" s="108"/>
      <c r="AJH10" s="108"/>
      <c r="AJI10" s="108"/>
      <c r="AJJ10" s="108"/>
      <c r="AJK10" s="108"/>
      <c r="AJL10" s="108"/>
      <c r="AJM10" s="108"/>
      <c r="AJN10" s="108"/>
      <c r="AJO10" s="108"/>
      <c r="AJP10" s="108"/>
      <c r="AJQ10" s="108"/>
      <c r="AJR10" s="108"/>
      <c r="AJS10" s="108"/>
      <c r="AJT10" s="108"/>
      <c r="AJU10" s="108"/>
      <c r="AJV10" s="108"/>
      <c r="AJW10" s="108"/>
      <c r="AJX10" s="108"/>
      <c r="AJY10" s="108"/>
      <c r="AJZ10" s="108"/>
      <c r="AKA10" s="108"/>
      <c r="AKB10" s="108"/>
      <c r="AKC10" s="108"/>
      <c r="AKD10" s="108"/>
      <c r="AKE10" s="108"/>
      <c r="AKF10" s="108"/>
      <c r="AKG10" s="108"/>
      <c r="AKH10" s="108"/>
      <c r="AKI10" s="108"/>
      <c r="AKJ10" s="108"/>
      <c r="AKK10" s="108"/>
      <c r="AKL10" s="108"/>
      <c r="AKM10" s="108"/>
      <c r="AKN10" s="108"/>
      <c r="AKO10" s="108"/>
      <c r="AKP10" s="108"/>
      <c r="AKQ10" s="108"/>
      <c r="AKR10" s="108"/>
      <c r="AKS10" s="108"/>
      <c r="AKT10" s="108"/>
      <c r="AKU10" s="108"/>
      <c r="AKV10" s="108"/>
      <c r="AKW10" s="108"/>
      <c r="AKX10" s="108"/>
      <c r="AKY10" s="108"/>
      <c r="AKZ10" s="108"/>
      <c r="ALA10" s="108"/>
      <c r="ALB10" s="108"/>
      <c r="ALC10" s="108"/>
      <c r="ALD10" s="108"/>
      <c r="ALE10" s="108"/>
      <c r="ALF10" s="108"/>
      <c r="ALG10" s="108"/>
      <c r="ALH10" s="108"/>
      <c r="ALI10" s="108"/>
      <c r="ALJ10" s="108"/>
      <c r="ALK10" s="108"/>
      <c r="ALL10" s="108"/>
      <c r="ALM10" s="108"/>
      <c r="ALN10" s="108"/>
      <c r="ALO10" s="108"/>
      <c r="ALP10" s="108"/>
      <c r="ALQ10" s="108"/>
      <c r="ALR10" s="108"/>
      <c r="ALS10" s="108"/>
      <c r="ALT10" s="108"/>
      <c r="ALU10" s="108"/>
      <c r="ALV10" s="108"/>
      <c r="ALW10" s="108"/>
      <c r="ALX10" s="108"/>
      <c r="ALY10" s="108"/>
      <c r="ALZ10" s="108"/>
      <c r="AMA10" s="108"/>
      <c r="AMB10" s="108"/>
      <c r="AMC10" s="108"/>
      <c r="AMD10" s="108"/>
      <c r="AME10" s="108"/>
      <c r="AMF10" s="108"/>
      <c r="AMG10" s="108"/>
      <c r="AMH10" s="108"/>
      <c r="AMI10" s="108"/>
      <c r="AMJ10" s="108"/>
      <c r="AMK10" s="108"/>
      <c r="AML10" s="108"/>
      <c r="AMM10" s="108"/>
      <c r="AMN10" s="108"/>
      <c r="AMO10" s="108"/>
      <c r="AMP10" s="108"/>
      <c r="AMQ10" s="108"/>
      <c r="AMR10" s="108"/>
      <c r="AMS10" s="108"/>
      <c r="AMT10" s="108"/>
      <c r="AMU10" s="108"/>
      <c r="AMV10" s="108"/>
      <c r="AMW10" s="108"/>
      <c r="AMX10" s="108"/>
      <c r="AMY10" s="108"/>
      <c r="AMZ10" s="108"/>
      <c r="ANA10" s="108"/>
      <c r="ANB10" s="108"/>
      <c r="ANC10" s="108"/>
      <c r="AND10" s="108"/>
      <c r="ANE10" s="108"/>
      <c r="ANF10" s="108"/>
      <c r="ANG10" s="108"/>
      <c r="ANH10" s="108"/>
      <c r="ANI10" s="108"/>
      <c r="ANJ10" s="108"/>
      <c r="ANK10" s="108"/>
      <c r="ANL10" s="108"/>
      <c r="ANM10" s="108"/>
      <c r="ANN10" s="108"/>
      <c r="ANO10" s="108"/>
      <c r="ANP10" s="108"/>
      <c r="ANQ10" s="108"/>
      <c r="ANR10" s="108"/>
      <c r="ANS10" s="108"/>
      <c r="ANT10" s="108"/>
      <c r="ANU10" s="108"/>
      <c r="ANV10" s="108"/>
      <c r="ANW10" s="108"/>
      <c r="ANX10" s="108"/>
      <c r="ANY10" s="108"/>
      <c r="ANZ10" s="108"/>
      <c r="AOA10" s="108"/>
      <c r="AOB10" s="108"/>
      <c r="AOC10" s="108"/>
      <c r="AOD10" s="108"/>
      <c r="AOE10" s="108"/>
      <c r="AOF10" s="108"/>
      <c r="AOG10" s="108"/>
      <c r="AOH10" s="108"/>
      <c r="AOI10" s="108"/>
      <c r="AOJ10" s="108"/>
      <c r="AOK10" s="108"/>
      <c r="AOL10" s="108"/>
      <c r="AOM10" s="108"/>
      <c r="AON10" s="108"/>
      <c r="AOO10" s="108"/>
      <c r="AOP10" s="108"/>
      <c r="AOQ10" s="108"/>
      <c r="AOR10" s="108"/>
      <c r="AOS10" s="108"/>
      <c r="AOT10" s="108"/>
      <c r="AOU10" s="108"/>
      <c r="AOV10" s="108"/>
      <c r="AOW10" s="108"/>
      <c r="AOX10" s="108"/>
      <c r="AOY10" s="108"/>
      <c r="AOZ10" s="108"/>
      <c r="APA10" s="108"/>
      <c r="APB10" s="108"/>
      <c r="APC10" s="108"/>
      <c r="APD10" s="108"/>
      <c r="APE10" s="108"/>
      <c r="APF10" s="108"/>
      <c r="APG10" s="108"/>
      <c r="APH10" s="108"/>
      <c r="API10" s="108"/>
      <c r="APJ10" s="108"/>
      <c r="APK10" s="108"/>
      <c r="APL10" s="108"/>
      <c r="APM10" s="108"/>
      <c r="APN10" s="108"/>
      <c r="APO10" s="108"/>
      <c r="APP10" s="108"/>
      <c r="APQ10" s="108"/>
      <c r="APR10" s="108"/>
      <c r="APS10" s="108"/>
      <c r="APT10" s="108"/>
      <c r="APU10" s="108"/>
      <c r="APV10" s="108"/>
      <c r="APW10" s="108"/>
      <c r="APX10" s="108"/>
      <c r="APY10" s="108"/>
      <c r="APZ10" s="108"/>
      <c r="AQA10" s="108"/>
      <c r="AQB10" s="108"/>
      <c r="AQC10" s="108"/>
      <c r="AQD10" s="108"/>
      <c r="AQE10" s="108"/>
      <c r="AQF10" s="108"/>
      <c r="AQG10" s="108"/>
      <c r="AQH10" s="108"/>
      <c r="AQI10" s="108"/>
      <c r="AQJ10" s="108"/>
      <c r="AQK10" s="108"/>
      <c r="AQL10" s="108"/>
      <c r="AQM10" s="108"/>
      <c r="AQN10" s="108"/>
      <c r="AQO10" s="108"/>
      <c r="AQP10" s="108"/>
      <c r="AQQ10" s="108"/>
      <c r="AQR10" s="108"/>
      <c r="AQS10" s="108"/>
      <c r="AQT10" s="108"/>
      <c r="AQU10" s="108"/>
      <c r="AQV10" s="108"/>
      <c r="AQW10" s="108"/>
      <c r="AQX10" s="108"/>
      <c r="AQY10" s="108"/>
      <c r="AQZ10" s="108"/>
      <c r="ARA10" s="108"/>
      <c r="ARB10" s="108"/>
      <c r="ARC10" s="108"/>
      <c r="ARD10" s="108"/>
      <c r="ARE10" s="108"/>
      <c r="ARF10" s="108"/>
      <c r="ARG10" s="108"/>
      <c r="ARH10" s="108"/>
      <c r="ARI10" s="108"/>
      <c r="ARJ10" s="108"/>
      <c r="ARK10" s="108"/>
      <c r="ARL10" s="108"/>
      <c r="ARM10" s="108"/>
      <c r="ARN10" s="108"/>
      <c r="ARO10" s="108"/>
      <c r="ARP10" s="108"/>
      <c r="ARQ10" s="108"/>
      <c r="ARR10" s="108"/>
      <c r="ARS10" s="108"/>
      <c r="ART10" s="108"/>
      <c r="ARU10" s="108"/>
      <c r="ARV10" s="108"/>
      <c r="ARW10" s="108"/>
      <c r="ARX10" s="108"/>
      <c r="ARY10" s="108"/>
      <c r="ARZ10" s="108"/>
      <c r="ASA10" s="108"/>
      <c r="ASB10" s="108"/>
      <c r="ASC10" s="108"/>
      <c r="ASD10" s="108"/>
      <c r="ASE10" s="108"/>
      <c r="ASF10" s="108"/>
      <c r="ASG10" s="108"/>
      <c r="ASH10" s="108"/>
      <c r="ASI10" s="108"/>
      <c r="ASJ10" s="108"/>
      <c r="ASK10" s="108"/>
      <c r="ASL10" s="108"/>
      <c r="ASM10" s="108"/>
      <c r="ASN10" s="108"/>
      <c r="ASO10" s="108"/>
      <c r="ASP10" s="108"/>
      <c r="ASQ10" s="108"/>
      <c r="ASR10" s="108"/>
      <c r="ASS10" s="108"/>
      <c r="AST10" s="108"/>
      <c r="ASU10" s="108"/>
      <c r="ASV10" s="108"/>
      <c r="ASW10" s="108"/>
      <c r="ASX10" s="108"/>
      <c r="ASY10" s="108"/>
      <c r="ASZ10" s="108"/>
      <c r="ATA10" s="108"/>
      <c r="ATB10" s="108"/>
      <c r="ATC10" s="108"/>
      <c r="ATD10" s="108"/>
      <c r="ATE10" s="108"/>
      <c r="ATF10" s="108"/>
      <c r="ATG10" s="108"/>
      <c r="ATH10" s="108"/>
      <c r="ATI10" s="108"/>
      <c r="ATJ10" s="108"/>
      <c r="ATK10" s="108"/>
      <c r="ATL10" s="108"/>
      <c r="ATM10" s="108"/>
      <c r="ATN10" s="108"/>
      <c r="ATO10" s="108"/>
      <c r="ATP10" s="108"/>
      <c r="ATQ10" s="108"/>
      <c r="ATR10" s="108"/>
      <c r="ATS10" s="108"/>
      <c r="ATT10" s="108"/>
      <c r="ATU10" s="108"/>
      <c r="ATV10" s="108"/>
      <c r="ATW10" s="108"/>
      <c r="ATX10" s="108"/>
      <c r="ATY10" s="108"/>
      <c r="ATZ10" s="108"/>
      <c r="AUA10" s="108"/>
      <c r="AUB10" s="108"/>
      <c r="AUC10" s="108"/>
      <c r="AUD10" s="108"/>
      <c r="AUE10" s="108"/>
      <c r="AUF10" s="108"/>
      <c r="AUG10" s="108"/>
      <c r="AUH10" s="108"/>
      <c r="AUI10" s="108"/>
      <c r="AUJ10" s="108"/>
      <c r="AUK10" s="108"/>
      <c r="AUL10" s="108"/>
      <c r="AUM10" s="108"/>
      <c r="AUN10" s="108"/>
      <c r="AUO10" s="108"/>
      <c r="AUP10" s="108"/>
      <c r="AUQ10" s="108"/>
      <c r="AUR10" s="108"/>
      <c r="AUS10" s="108"/>
      <c r="AUT10" s="108"/>
      <c r="AUU10" s="108"/>
      <c r="AUV10" s="108"/>
      <c r="AUW10" s="108"/>
      <c r="AUX10" s="108"/>
      <c r="AUY10" s="108"/>
      <c r="AUZ10" s="108"/>
      <c r="AVA10" s="108"/>
      <c r="AVB10" s="108"/>
      <c r="AVC10" s="108"/>
      <c r="AVD10" s="108"/>
      <c r="AVE10" s="108"/>
      <c r="AVF10" s="108"/>
      <c r="AVG10" s="108"/>
      <c r="AVH10" s="108"/>
      <c r="AVI10" s="108"/>
      <c r="AVJ10" s="108"/>
      <c r="AVK10" s="108"/>
      <c r="AVL10" s="108"/>
      <c r="AVM10" s="108"/>
      <c r="AVN10" s="108"/>
      <c r="AVO10" s="108"/>
      <c r="AVP10" s="108"/>
      <c r="AVQ10" s="108"/>
      <c r="AVR10" s="108"/>
      <c r="AVS10" s="108"/>
      <c r="AVT10" s="108"/>
      <c r="AVU10" s="108"/>
      <c r="AVV10" s="108"/>
      <c r="AVW10" s="108"/>
      <c r="AVX10" s="108"/>
      <c r="AVY10" s="108"/>
      <c r="AVZ10" s="108"/>
      <c r="AWA10" s="108"/>
      <c r="AWB10" s="108"/>
      <c r="AWC10" s="108"/>
      <c r="AWD10" s="108"/>
      <c r="AWE10" s="108"/>
      <c r="AWF10" s="108"/>
      <c r="AWG10" s="108"/>
      <c r="AWH10" s="108"/>
      <c r="AWI10" s="108"/>
      <c r="AWJ10" s="108"/>
      <c r="AWK10" s="108"/>
      <c r="AWL10" s="108"/>
      <c r="AWM10" s="108"/>
      <c r="AWN10" s="108"/>
      <c r="AWO10" s="108"/>
      <c r="AWP10" s="108"/>
      <c r="AWQ10" s="108"/>
      <c r="AWR10" s="108"/>
      <c r="AWS10" s="108"/>
      <c r="AWT10" s="108"/>
      <c r="AWU10" s="108"/>
      <c r="AWV10" s="108"/>
      <c r="AWW10" s="108"/>
      <c r="AWX10" s="108"/>
      <c r="AWY10" s="108"/>
      <c r="AWZ10" s="108"/>
      <c r="AXA10" s="108"/>
      <c r="AXB10" s="108"/>
      <c r="AXC10" s="108"/>
      <c r="AXD10" s="108"/>
      <c r="AXE10" s="108"/>
      <c r="AXF10" s="108"/>
      <c r="AXG10" s="108"/>
      <c r="AXH10" s="108"/>
      <c r="AXI10" s="108"/>
      <c r="AXJ10" s="108"/>
      <c r="AXK10" s="108"/>
      <c r="AXL10" s="108"/>
      <c r="AXM10" s="108"/>
      <c r="AXN10" s="108"/>
      <c r="AXO10" s="108"/>
      <c r="AXP10" s="108"/>
      <c r="AXQ10" s="108"/>
      <c r="AXR10" s="108"/>
      <c r="AXS10" s="108"/>
      <c r="AXT10" s="108"/>
      <c r="AXU10" s="108"/>
      <c r="AXV10" s="108"/>
      <c r="AXW10" s="108"/>
      <c r="AXX10" s="108"/>
      <c r="AXY10" s="108"/>
      <c r="AXZ10" s="108"/>
      <c r="AYA10" s="108"/>
      <c r="AYB10" s="108"/>
      <c r="AYC10" s="108"/>
      <c r="AYD10" s="108"/>
      <c r="AYE10" s="108"/>
      <c r="AYF10" s="108"/>
      <c r="AYG10" s="108"/>
      <c r="AYH10" s="108"/>
      <c r="AYI10" s="108"/>
      <c r="AYJ10" s="108"/>
      <c r="AYK10" s="108"/>
      <c r="AYL10" s="108"/>
      <c r="AYM10" s="108"/>
      <c r="AYN10" s="108"/>
      <c r="AYO10" s="108"/>
      <c r="AYP10" s="108"/>
      <c r="AYQ10" s="108"/>
      <c r="AYR10" s="108"/>
      <c r="AYS10" s="108"/>
      <c r="AYT10" s="108"/>
      <c r="AYU10" s="108"/>
      <c r="AYV10" s="108"/>
      <c r="AYW10" s="108"/>
      <c r="AYX10" s="108"/>
      <c r="AYY10" s="108"/>
      <c r="AYZ10" s="108"/>
      <c r="AZA10" s="108"/>
      <c r="AZB10" s="108"/>
      <c r="AZC10" s="108"/>
      <c r="AZD10" s="108"/>
      <c r="AZE10" s="108"/>
      <c r="AZF10" s="108"/>
      <c r="AZG10" s="108"/>
      <c r="AZH10" s="108"/>
      <c r="AZI10" s="108"/>
      <c r="AZJ10" s="108"/>
      <c r="AZK10" s="108"/>
      <c r="AZL10" s="108"/>
      <c r="AZM10" s="108"/>
      <c r="AZN10" s="108"/>
      <c r="AZO10" s="108"/>
      <c r="AZP10" s="108"/>
      <c r="AZQ10" s="108"/>
      <c r="AZR10" s="108"/>
      <c r="AZS10" s="108"/>
      <c r="AZT10" s="108"/>
      <c r="AZU10" s="108"/>
      <c r="AZV10" s="108"/>
      <c r="AZW10" s="108"/>
      <c r="AZX10" s="108"/>
      <c r="AZY10" s="108"/>
      <c r="AZZ10" s="108"/>
      <c r="BAA10" s="108"/>
      <c r="BAB10" s="108"/>
      <c r="BAC10" s="108"/>
      <c r="BAD10" s="108"/>
      <c r="BAE10" s="108"/>
      <c r="BAF10" s="108"/>
      <c r="BAG10" s="108"/>
      <c r="BAH10" s="108"/>
      <c r="BAI10" s="108"/>
      <c r="BAJ10" s="108"/>
      <c r="BAK10" s="108"/>
      <c r="BAL10" s="108"/>
      <c r="BAM10" s="108"/>
      <c r="BAN10" s="108"/>
      <c r="BAO10" s="108"/>
      <c r="BAP10" s="108"/>
      <c r="BAQ10" s="108"/>
      <c r="BAR10" s="108"/>
      <c r="BAS10" s="108"/>
      <c r="BAT10" s="108"/>
      <c r="BAU10" s="108"/>
      <c r="BAV10" s="108"/>
      <c r="BAW10" s="108"/>
      <c r="BAX10" s="108"/>
      <c r="BAY10" s="108"/>
      <c r="BAZ10" s="108"/>
      <c r="BBA10" s="108"/>
      <c r="BBB10" s="108"/>
      <c r="BBC10" s="108"/>
      <c r="BBD10" s="108"/>
      <c r="BBE10" s="108"/>
      <c r="BBF10" s="108"/>
      <c r="BBG10" s="108"/>
      <c r="BBH10" s="108"/>
      <c r="BBI10" s="108"/>
      <c r="BBJ10" s="108"/>
      <c r="BBK10" s="108"/>
      <c r="BBL10" s="108"/>
      <c r="BBM10" s="108"/>
      <c r="BBN10" s="108"/>
      <c r="BBO10" s="108"/>
      <c r="BBP10" s="108"/>
      <c r="BBQ10" s="108"/>
      <c r="BBR10" s="108"/>
      <c r="BBS10" s="108"/>
      <c r="BBT10" s="108"/>
      <c r="BBU10" s="108"/>
      <c r="BBV10" s="108"/>
      <c r="BBW10" s="108"/>
      <c r="BBX10" s="108"/>
      <c r="BBY10" s="108"/>
      <c r="BBZ10" s="108"/>
      <c r="BCA10" s="108"/>
      <c r="BCB10" s="108"/>
      <c r="BCC10" s="108"/>
      <c r="BCD10" s="108"/>
      <c r="BCE10" s="108"/>
      <c r="BCF10" s="108"/>
      <c r="BCG10" s="108"/>
      <c r="BCH10" s="108"/>
      <c r="BCI10" s="108"/>
      <c r="BCJ10" s="108"/>
      <c r="BCK10" s="108"/>
      <c r="BCL10" s="108"/>
      <c r="BCM10" s="108"/>
      <c r="BCN10" s="108"/>
      <c r="BCO10" s="108"/>
      <c r="BCP10" s="108"/>
      <c r="BCQ10" s="108"/>
      <c r="BCR10" s="108"/>
      <c r="BCS10" s="108"/>
      <c r="BCT10" s="108"/>
      <c r="BCU10" s="108"/>
      <c r="BCV10" s="108"/>
      <c r="BCW10" s="108"/>
      <c r="BCX10" s="108"/>
      <c r="BCY10" s="108"/>
      <c r="BCZ10" s="108"/>
      <c r="BDA10" s="108"/>
      <c r="BDB10" s="108"/>
      <c r="BDC10" s="108"/>
      <c r="BDD10" s="108"/>
      <c r="BDE10" s="108"/>
      <c r="BDF10" s="108"/>
      <c r="BDG10" s="108"/>
      <c r="BDH10" s="108"/>
      <c r="BDI10" s="108"/>
      <c r="BDJ10" s="108"/>
      <c r="BDK10" s="108"/>
      <c r="BDL10" s="108"/>
      <c r="BDM10" s="108"/>
      <c r="BDN10" s="108"/>
      <c r="BDO10" s="108"/>
      <c r="BDP10" s="108"/>
      <c r="BDQ10" s="108"/>
      <c r="BDR10" s="108"/>
      <c r="BDS10" s="108"/>
      <c r="BDT10" s="108"/>
      <c r="BDU10" s="108"/>
      <c r="BDV10" s="108"/>
      <c r="BDW10" s="108"/>
      <c r="BDX10" s="108"/>
      <c r="BDY10" s="108"/>
      <c r="BDZ10" s="108"/>
      <c r="BEA10" s="108"/>
      <c r="BEB10" s="108"/>
      <c r="BEC10" s="108"/>
      <c r="BED10" s="108"/>
      <c r="BEE10" s="108"/>
      <c r="BEF10" s="108"/>
      <c r="BEG10" s="108"/>
      <c r="BEH10" s="108"/>
      <c r="BEI10" s="108"/>
      <c r="BEJ10" s="108"/>
      <c r="BEK10" s="108"/>
      <c r="BEL10" s="108"/>
      <c r="BEM10" s="108"/>
      <c r="BEN10" s="108"/>
      <c r="BEO10" s="108"/>
      <c r="BEP10" s="108"/>
      <c r="BEQ10" s="108"/>
      <c r="BER10" s="108"/>
      <c r="BES10" s="108"/>
      <c r="BET10" s="108"/>
      <c r="BEU10" s="108"/>
      <c r="BEV10" s="108"/>
      <c r="BEW10" s="108"/>
      <c r="BEX10" s="108"/>
      <c r="BEY10" s="108"/>
      <c r="BEZ10" s="108"/>
      <c r="BFA10" s="108"/>
      <c r="BFB10" s="108"/>
      <c r="BFC10" s="108"/>
      <c r="BFD10" s="108"/>
      <c r="BFE10" s="108"/>
      <c r="BFF10" s="108"/>
      <c r="BFG10" s="108"/>
      <c r="BFH10" s="108"/>
      <c r="BFI10" s="108"/>
      <c r="BFJ10" s="108"/>
      <c r="BFK10" s="108"/>
      <c r="BFL10" s="108"/>
      <c r="BFM10" s="108"/>
      <c r="BFN10" s="108"/>
      <c r="BFO10" s="108"/>
      <c r="BFP10" s="108"/>
      <c r="BFQ10" s="108"/>
      <c r="BFR10" s="108"/>
      <c r="BFS10" s="108"/>
      <c r="BFT10" s="108"/>
      <c r="BFU10" s="108"/>
      <c r="BFV10" s="108"/>
      <c r="BFW10" s="108"/>
      <c r="BFX10" s="108"/>
      <c r="BFY10" s="108"/>
      <c r="BFZ10" s="108"/>
      <c r="BGA10" s="108"/>
      <c r="BGB10" s="108"/>
      <c r="BGC10" s="108"/>
      <c r="BGD10" s="108"/>
      <c r="BGE10" s="108"/>
      <c r="BGF10" s="108"/>
      <c r="BGG10" s="108"/>
      <c r="BGH10" s="108"/>
      <c r="BGI10" s="108"/>
      <c r="BGJ10" s="108"/>
      <c r="BGK10" s="108"/>
      <c r="BGL10" s="108"/>
      <c r="BGM10" s="108"/>
      <c r="BGN10" s="108"/>
      <c r="BGO10" s="108"/>
      <c r="BGP10" s="108"/>
      <c r="BGQ10" s="108"/>
      <c r="BGR10" s="108"/>
      <c r="BGS10" s="108"/>
      <c r="BGT10" s="108"/>
      <c r="BGU10" s="108"/>
      <c r="BGV10" s="108"/>
      <c r="BGW10" s="108"/>
      <c r="BGX10" s="108"/>
      <c r="BGY10" s="108"/>
      <c r="BGZ10" s="108"/>
      <c r="BHA10" s="108"/>
      <c r="BHB10" s="108"/>
      <c r="BHC10" s="108"/>
      <c r="BHD10" s="108"/>
      <c r="BHE10" s="108"/>
      <c r="BHF10" s="108"/>
      <c r="BHG10" s="108"/>
      <c r="BHH10" s="108"/>
      <c r="BHI10" s="108"/>
      <c r="BHJ10" s="108"/>
      <c r="BHK10" s="108"/>
      <c r="BHL10" s="108"/>
      <c r="BHM10" s="108"/>
      <c r="BHN10" s="108"/>
      <c r="BHO10" s="108"/>
      <c r="BHP10" s="108"/>
      <c r="BHQ10" s="108"/>
      <c r="BHR10" s="108"/>
      <c r="BHS10" s="108"/>
      <c r="BHT10" s="108"/>
      <c r="BHU10" s="108"/>
      <c r="BHV10" s="108"/>
      <c r="BHW10" s="108"/>
      <c r="BHX10" s="108"/>
      <c r="BHY10" s="108"/>
      <c r="BHZ10" s="108"/>
      <c r="BIA10" s="108"/>
      <c r="BIB10" s="108"/>
      <c r="BIC10" s="108"/>
      <c r="BID10" s="108"/>
      <c r="BIE10" s="108"/>
      <c r="BIF10" s="108"/>
      <c r="BIG10" s="108"/>
      <c r="BIH10" s="108"/>
      <c r="BII10" s="108"/>
      <c r="BIJ10" s="108"/>
      <c r="BIK10" s="108"/>
      <c r="BIL10" s="108"/>
      <c r="BIM10" s="108"/>
      <c r="BIN10" s="108"/>
      <c r="BIO10" s="108"/>
      <c r="BIP10" s="108"/>
      <c r="BIQ10" s="108"/>
      <c r="BIR10" s="108"/>
      <c r="BIS10" s="108"/>
      <c r="BIT10" s="108"/>
      <c r="BIU10" s="108"/>
      <c r="BIV10" s="108"/>
      <c r="BIW10" s="108"/>
      <c r="BIX10" s="108"/>
      <c r="BIY10" s="108"/>
      <c r="BIZ10" s="108"/>
      <c r="BJA10" s="108"/>
      <c r="BJB10" s="108"/>
      <c r="BJC10" s="108"/>
      <c r="BJD10" s="108"/>
      <c r="BJE10" s="108"/>
      <c r="BJF10" s="108"/>
      <c r="BJG10" s="108"/>
      <c r="BJH10" s="108"/>
      <c r="BJI10" s="108"/>
      <c r="BJJ10" s="108"/>
      <c r="BJK10" s="108"/>
      <c r="BJL10" s="108"/>
      <c r="BJM10" s="108"/>
      <c r="BJN10" s="108"/>
      <c r="BJO10" s="108"/>
      <c r="BJP10" s="108"/>
      <c r="BJQ10" s="108"/>
      <c r="BJR10" s="108"/>
      <c r="BJS10" s="108"/>
      <c r="BJT10" s="108"/>
      <c r="BJU10" s="108"/>
      <c r="BJV10" s="108"/>
      <c r="BJW10" s="108"/>
      <c r="BJX10" s="108"/>
      <c r="BJY10" s="108"/>
      <c r="BJZ10" s="108"/>
      <c r="BKA10" s="108"/>
      <c r="BKB10" s="108"/>
      <c r="BKC10" s="108"/>
      <c r="BKD10" s="108"/>
      <c r="BKE10" s="108"/>
      <c r="BKF10" s="108"/>
      <c r="BKG10" s="108"/>
      <c r="BKH10" s="108"/>
      <c r="BKI10" s="108"/>
      <c r="BKJ10" s="108"/>
      <c r="BKK10" s="108"/>
      <c r="BKL10" s="108"/>
      <c r="BKM10" s="108"/>
      <c r="BKN10" s="108"/>
      <c r="BKO10" s="108"/>
      <c r="BKP10" s="108"/>
      <c r="BKQ10" s="108"/>
      <c r="BKR10" s="108"/>
      <c r="BKS10" s="108"/>
      <c r="BKT10" s="108"/>
      <c r="BKU10" s="108"/>
      <c r="BKV10" s="108"/>
      <c r="BKW10" s="108"/>
      <c r="BKX10" s="108"/>
      <c r="BKY10" s="108"/>
      <c r="BKZ10" s="108"/>
      <c r="BLA10" s="108"/>
      <c r="BLB10" s="108"/>
      <c r="BLC10" s="108"/>
      <c r="BLD10" s="108"/>
      <c r="BLE10" s="108"/>
      <c r="BLF10" s="108"/>
      <c r="BLG10" s="108"/>
      <c r="BLH10" s="108"/>
      <c r="BLI10" s="108"/>
      <c r="BLJ10" s="108"/>
      <c r="BLK10" s="108"/>
      <c r="BLL10" s="108"/>
      <c r="BLM10" s="108"/>
      <c r="BLN10" s="108"/>
      <c r="BLO10" s="108"/>
      <c r="BLP10" s="108"/>
      <c r="BLQ10" s="108"/>
      <c r="BLR10" s="108"/>
      <c r="BLS10" s="108"/>
      <c r="BLT10" s="108"/>
      <c r="BLU10" s="108"/>
      <c r="BLV10" s="108"/>
      <c r="BLW10" s="108"/>
      <c r="BLX10" s="108"/>
      <c r="BLY10" s="108"/>
      <c r="BLZ10" s="108"/>
      <c r="BMA10" s="108"/>
      <c r="BMB10" s="108"/>
      <c r="BMC10" s="108"/>
      <c r="BMD10" s="108"/>
      <c r="BME10" s="108"/>
      <c r="BMF10" s="108"/>
      <c r="BMG10" s="108"/>
      <c r="BMH10" s="108"/>
      <c r="BMI10" s="108"/>
      <c r="BMJ10" s="108"/>
      <c r="BMK10" s="108"/>
      <c r="BML10" s="108"/>
      <c r="BMM10" s="108"/>
      <c r="BMN10" s="108"/>
      <c r="BMO10" s="108"/>
      <c r="BMP10" s="108"/>
      <c r="BMQ10" s="108"/>
      <c r="BMR10" s="108"/>
      <c r="BMS10" s="108"/>
      <c r="BMT10" s="108"/>
      <c r="BMU10" s="108"/>
      <c r="BMV10" s="108"/>
      <c r="BMW10" s="108"/>
      <c r="BMX10" s="108"/>
      <c r="BMY10" s="108"/>
      <c r="BMZ10" s="108"/>
      <c r="BNA10" s="108"/>
      <c r="BNB10" s="108"/>
      <c r="BNC10" s="108"/>
      <c r="BND10" s="108"/>
      <c r="BNE10" s="108"/>
      <c r="BNF10" s="108"/>
      <c r="BNG10" s="108"/>
      <c r="BNH10" s="108"/>
      <c r="BNI10" s="108"/>
      <c r="BNJ10" s="108"/>
      <c r="BNK10" s="108"/>
      <c r="BNL10" s="108"/>
      <c r="BNM10" s="108"/>
      <c r="BNN10" s="108"/>
      <c r="BNO10" s="108"/>
      <c r="BNP10" s="108"/>
      <c r="BNQ10" s="108"/>
      <c r="BNR10" s="108"/>
      <c r="BNS10" s="108"/>
      <c r="BNT10" s="108"/>
      <c r="BNU10" s="108"/>
      <c r="BNV10" s="108"/>
      <c r="BNW10" s="108"/>
      <c r="BNX10" s="108"/>
      <c r="BNY10" s="108"/>
      <c r="BNZ10" s="108"/>
      <c r="BOA10" s="108"/>
      <c r="BOB10" s="108"/>
      <c r="BOC10" s="108"/>
      <c r="BOD10" s="108"/>
      <c r="BOE10" s="108"/>
      <c r="BOF10" s="108"/>
      <c r="BOG10" s="108"/>
      <c r="BOH10" s="108"/>
      <c r="BOI10" s="108"/>
      <c r="BOJ10" s="108"/>
      <c r="BOK10" s="108"/>
      <c r="BOL10" s="108"/>
      <c r="BOM10" s="108"/>
      <c r="BON10" s="108"/>
      <c r="BOO10" s="108"/>
      <c r="BOP10" s="108"/>
      <c r="BOQ10" s="108"/>
      <c r="BOR10" s="108"/>
      <c r="BOS10" s="108"/>
      <c r="BOT10" s="108"/>
      <c r="BOU10" s="108"/>
      <c r="BOV10" s="108"/>
      <c r="BOW10" s="108"/>
      <c r="BOX10" s="108"/>
      <c r="BOY10" s="108"/>
      <c r="BOZ10" s="108"/>
      <c r="BPA10" s="108"/>
      <c r="BPB10" s="108"/>
      <c r="BPC10" s="108"/>
      <c r="BPD10" s="108"/>
      <c r="BPE10" s="108"/>
      <c r="BPF10" s="108"/>
      <c r="BPG10" s="108"/>
      <c r="BPH10" s="108"/>
      <c r="BPI10" s="108"/>
      <c r="BPJ10" s="108"/>
      <c r="BPK10" s="108"/>
      <c r="BPL10" s="108"/>
      <c r="BPM10" s="108"/>
      <c r="BPN10" s="108"/>
      <c r="BPO10" s="108"/>
      <c r="BPP10" s="108"/>
      <c r="BPQ10" s="108"/>
      <c r="BPR10" s="108"/>
      <c r="BPS10" s="108"/>
      <c r="BPT10" s="108"/>
      <c r="BPU10" s="108"/>
      <c r="BPV10" s="108"/>
      <c r="BPW10" s="108"/>
      <c r="BPX10" s="108"/>
      <c r="BPY10" s="108"/>
      <c r="BPZ10" s="108"/>
      <c r="BQA10" s="108"/>
      <c r="BQB10" s="108"/>
      <c r="BQC10" s="108"/>
      <c r="BQD10" s="108"/>
      <c r="BQE10" s="108"/>
      <c r="BQF10" s="108"/>
      <c r="BQG10" s="108"/>
      <c r="BQH10" s="108"/>
      <c r="BQI10" s="108"/>
      <c r="BQJ10" s="108"/>
      <c r="BQK10" s="108"/>
      <c r="BQL10" s="108"/>
      <c r="BQM10" s="108"/>
      <c r="BQN10" s="108"/>
      <c r="BQO10" s="108"/>
      <c r="BQP10" s="108"/>
      <c r="BQQ10" s="108"/>
      <c r="BQR10" s="108"/>
      <c r="BQS10" s="108"/>
      <c r="BQT10" s="108"/>
      <c r="BQU10" s="108"/>
      <c r="BQV10" s="108"/>
      <c r="BQW10" s="108"/>
      <c r="BQX10" s="108"/>
      <c r="BQY10" s="108"/>
      <c r="BQZ10" s="108"/>
      <c r="BRA10" s="108"/>
      <c r="BRB10" s="108"/>
      <c r="BRC10" s="108"/>
      <c r="BRD10" s="108"/>
      <c r="BRE10" s="108"/>
      <c r="BRF10" s="108"/>
      <c r="BRG10" s="108"/>
      <c r="BRH10" s="108"/>
      <c r="BRI10" s="108"/>
      <c r="BRJ10" s="108"/>
      <c r="BRK10" s="108"/>
      <c r="BRL10" s="108"/>
      <c r="BRM10" s="108"/>
      <c r="BRN10" s="108"/>
      <c r="BRO10" s="108"/>
      <c r="BRP10" s="108"/>
      <c r="BRQ10" s="108"/>
      <c r="BRR10" s="108"/>
      <c r="BRS10" s="108"/>
      <c r="BRT10" s="108"/>
      <c r="BRU10" s="108"/>
      <c r="BRV10" s="108"/>
      <c r="BRW10" s="108"/>
      <c r="BRX10" s="108"/>
      <c r="BRY10" s="108"/>
      <c r="BRZ10" s="108"/>
      <c r="BSA10" s="108"/>
      <c r="BSB10" s="108"/>
      <c r="BSC10" s="108"/>
      <c r="BSD10" s="108"/>
      <c r="BSE10" s="108"/>
      <c r="BSF10" s="108"/>
      <c r="BSG10" s="108"/>
      <c r="BSH10" s="108"/>
      <c r="BSI10" s="108"/>
      <c r="BSJ10" s="108"/>
      <c r="BSK10" s="108"/>
      <c r="BSL10" s="108"/>
      <c r="BSM10" s="108"/>
      <c r="BSN10" s="108"/>
      <c r="BSO10" s="108"/>
      <c r="BSP10" s="108"/>
      <c r="BSQ10" s="108"/>
      <c r="BSR10" s="108"/>
      <c r="BSS10" s="108"/>
      <c r="BST10" s="108"/>
      <c r="BSU10" s="108"/>
      <c r="BSV10" s="108"/>
      <c r="BSW10" s="108"/>
      <c r="BSX10" s="108"/>
      <c r="BSY10" s="108"/>
      <c r="BSZ10" s="108"/>
      <c r="BTA10" s="108"/>
      <c r="BTB10" s="108"/>
      <c r="BTC10" s="108"/>
      <c r="BTD10" s="108"/>
      <c r="BTE10" s="108"/>
      <c r="BTF10" s="108"/>
      <c r="BTG10" s="108"/>
      <c r="BTH10" s="108"/>
      <c r="BTI10" s="108"/>
      <c r="BTJ10" s="108"/>
      <c r="BTK10" s="108"/>
      <c r="BTL10" s="108"/>
      <c r="BTM10" s="108"/>
      <c r="BTN10" s="108"/>
      <c r="BTO10" s="108"/>
      <c r="BTP10" s="108"/>
      <c r="BTQ10" s="108"/>
      <c r="BTR10" s="108"/>
      <c r="BTS10" s="108"/>
      <c r="BTT10" s="108"/>
      <c r="BTU10" s="108"/>
      <c r="BTV10" s="108"/>
      <c r="BTW10" s="108"/>
      <c r="BTX10" s="108"/>
      <c r="BTY10" s="108"/>
      <c r="BTZ10" s="108"/>
      <c r="BUA10" s="108"/>
      <c r="BUB10" s="108"/>
      <c r="BUC10" s="108"/>
      <c r="BUD10" s="108"/>
      <c r="BUE10" s="108"/>
      <c r="BUF10" s="108"/>
      <c r="BUG10" s="108"/>
      <c r="BUH10" s="108"/>
      <c r="BUI10" s="108"/>
      <c r="BUJ10" s="108"/>
      <c r="BUK10" s="108"/>
      <c r="BUL10" s="108"/>
      <c r="BUM10" s="108"/>
      <c r="BUN10" s="108"/>
      <c r="BUO10" s="108"/>
      <c r="BUP10" s="108"/>
      <c r="BUQ10" s="108"/>
      <c r="BUR10" s="108"/>
      <c r="BUS10" s="108"/>
      <c r="BUT10" s="108"/>
      <c r="BUU10" s="108"/>
      <c r="BUV10" s="108"/>
      <c r="BUW10" s="108"/>
      <c r="BUX10" s="108"/>
      <c r="BUY10" s="108"/>
      <c r="BUZ10" s="108"/>
      <c r="BVA10" s="108"/>
      <c r="BVB10" s="108"/>
      <c r="BVC10" s="108"/>
      <c r="BVD10" s="108"/>
      <c r="BVE10" s="108"/>
      <c r="BVF10" s="108"/>
      <c r="BVG10" s="108"/>
      <c r="BVH10" s="108"/>
      <c r="BVI10" s="108"/>
      <c r="BVJ10" s="108"/>
      <c r="BVK10" s="108"/>
      <c r="BVL10" s="108"/>
      <c r="BVM10" s="108"/>
      <c r="BVN10" s="108"/>
      <c r="BVO10" s="108"/>
      <c r="BVP10" s="108"/>
      <c r="BVQ10" s="108"/>
      <c r="BVR10" s="108"/>
      <c r="BVS10" s="108"/>
      <c r="BVT10" s="108"/>
      <c r="BVU10" s="108"/>
      <c r="BVV10" s="108"/>
      <c r="BVW10" s="108"/>
      <c r="BVX10" s="108"/>
      <c r="BVY10" s="108"/>
      <c r="BVZ10" s="108"/>
      <c r="BWA10" s="108"/>
      <c r="BWB10" s="108"/>
      <c r="BWC10" s="108"/>
      <c r="BWD10" s="108"/>
      <c r="BWE10" s="108"/>
      <c r="BWF10" s="108"/>
      <c r="BWG10" s="108"/>
      <c r="BWH10" s="108"/>
      <c r="BWI10" s="108"/>
      <c r="BWJ10" s="108"/>
      <c r="BWK10" s="108"/>
      <c r="BWL10" s="108"/>
      <c r="BWM10" s="108"/>
      <c r="BWN10" s="108"/>
      <c r="BWO10" s="108"/>
      <c r="BWP10" s="108"/>
      <c r="BWQ10" s="108"/>
      <c r="BWR10" s="108"/>
      <c r="BWS10" s="108"/>
      <c r="BWT10" s="108"/>
      <c r="BWU10" s="108"/>
      <c r="BWV10" s="108"/>
      <c r="BWW10" s="108"/>
      <c r="BWX10" s="108"/>
      <c r="BWY10" s="108"/>
      <c r="BWZ10" s="108"/>
      <c r="BXA10" s="108"/>
      <c r="BXB10" s="108"/>
      <c r="BXC10" s="108"/>
      <c r="BXD10" s="108"/>
      <c r="BXE10" s="108"/>
      <c r="BXF10" s="108"/>
      <c r="BXG10" s="108"/>
      <c r="BXH10" s="108"/>
      <c r="BXI10" s="108"/>
      <c r="BXJ10" s="108"/>
      <c r="BXK10" s="108"/>
      <c r="BXL10" s="108"/>
      <c r="BXM10" s="108"/>
      <c r="BXN10" s="108"/>
      <c r="BXO10" s="108"/>
      <c r="BXP10" s="108"/>
      <c r="BXQ10" s="108"/>
      <c r="BXR10" s="108"/>
      <c r="BXS10" s="108"/>
      <c r="BXT10" s="108"/>
      <c r="BXU10" s="108"/>
      <c r="BXV10" s="108"/>
      <c r="BXW10" s="108"/>
      <c r="BXX10" s="108"/>
      <c r="BXY10" s="108"/>
      <c r="BXZ10" s="108"/>
      <c r="BYA10" s="108"/>
      <c r="BYB10" s="108"/>
      <c r="BYC10" s="108"/>
      <c r="BYD10" s="108"/>
      <c r="BYE10" s="108"/>
      <c r="BYF10" s="108"/>
      <c r="BYG10" s="108"/>
      <c r="BYH10" s="108"/>
      <c r="BYI10" s="108"/>
      <c r="BYJ10" s="108"/>
      <c r="BYK10" s="108"/>
      <c r="BYL10" s="108"/>
      <c r="BYM10" s="108"/>
      <c r="BYN10" s="108"/>
      <c r="BYO10" s="108"/>
      <c r="BYP10" s="108"/>
      <c r="BYQ10" s="108"/>
      <c r="BYR10" s="108"/>
      <c r="BYS10" s="108"/>
      <c r="BYT10" s="108"/>
      <c r="BYU10" s="108"/>
      <c r="BYV10" s="108"/>
      <c r="BYW10" s="108"/>
      <c r="BYX10" s="108"/>
      <c r="BYY10" s="108"/>
      <c r="BYZ10" s="108"/>
      <c r="BZA10" s="108"/>
      <c r="BZB10" s="108"/>
      <c r="BZC10" s="108"/>
      <c r="BZD10" s="108"/>
      <c r="BZE10" s="108"/>
      <c r="BZF10" s="108"/>
      <c r="BZG10" s="108"/>
      <c r="BZH10" s="108"/>
      <c r="BZI10" s="108"/>
      <c r="BZJ10" s="108"/>
      <c r="BZK10" s="108"/>
      <c r="BZL10" s="108"/>
      <c r="BZM10" s="108"/>
      <c r="BZN10" s="108"/>
      <c r="BZO10" s="108"/>
      <c r="BZP10" s="108"/>
      <c r="BZQ10" s="108"/>
      <c r="BZR10" s="108"/>
      <c r="BZS10" s="108"/>
      <c r="BZT10" s="108"/>
      <c r="BZU10" s="108"/>
      <c r="BZV10" s="108"/>
      <c r="BZW10" s="108"/>
      <c r="BZX10" s="108"/>
      <c r="BZY10" s="108"/>
      <c r="BZZ10" s="108"/>
      <c r="CAA10" s="108"/>
      <c r="CAB10" s="108"/>
      <c r="CAC10" s="108"/>
      <c r="CAD10" s="108"/>
      <c r="CAE10" s="108"/>
      <c r="CAF10" s="108"/>
      <c r="CAG10" s="108"/>
      <c r="CAH10" s="108"/>
      <c r="CAI10" s="108"/>
      <c r="CAJ10" s="108"/>
      <c r="CAK10" s="108"/>
      <c r="CAL10" s="108"/>
      <c r="CAM10" s="108"/>
      <c r="CAN10" s="108"/>
      <c r="CAO10" s="108"/>
      <c r="CAP10" s="108"/>
      <c r="CAQ10" s="108"/>
      <c r="CAR10" s="108"/>
      <c r="CAS10" s="108"/>
      <c r="CAT10" s="108"/>
      <c r="CAU10" s="108"/>
      <c r="CAV10" s="108"/>
      <c r="CAW10" s="108"/>
      <c r="CAX10" s="108"/>
      <c r="CAY10" s="108"/>
      <c r="CAZ10" s="108"/>
      <c r="CBA10" s="108"/>
      <c r="CBB10" s="108"/>
      <c r="CBC10" s="108"/>
      <c r="CBD10" s="108"/>
      <c r="CBE10" s="108"/>
      <c r="CBF10" s="108"/>
      <c r="CBG10" s="108"/>
      <c r="CBH10" s="108"/>
      <c r="CBI10" s="108"/>
      <c r="CBJ10" s="108"/>
      <c r="CBK10" s="108"/>
      <c r="CBL10" s="108"/>
      <c r="CBM10" s="108"/>
      <c r="CBN10" s="108"/>
      <c r="CBO10" s="108"/>
      <c r="CBP10" s="108"/>
      <c r="CBQ10" s="108"/>
      <c r="CBR10" s="108"/>
      <c r="CBS10" s="108"/>
      <c r="CBT10" s="108"/>
      <c r="CBU10" s="108"/>
      <c r="CBV10" s="108"/>
      <c r="CBW10" s="108"/>
      <c r="CBX10" s="108"/>
      <c r="CBY10" s="108"/>
      <c r="CBZ10" s="108"/>
      <c r="CCA10" s="108"/>
      <c r="CCB10" s="108"/>
      <c r="CCC10" s="108"/>
      <c r="CCD10" s="108"/>
      <c r="CCE10" s="108"/>
      <c r="CCF10" s="108"/>
      <c r="CCG10" s="108"/>
      <c r="CCH10" s="108"/>
      <c r="CCI10" s="108"/>
      <c r="CCJ10" s="108"/>
      <c r="CCK10" s="108"/>
      <c r="CCL10" s="108"/>
      <c r="CCM10" s="108"/>
      <c r="CCN10" s="108"/>
      <c r="CCO10" s="108"/>
      <c r="CCP10" s="108"/>
      <c r="CCQ10" s="108"/>
      <c r="CCR10" s="108"/>
      <c r="CCS10" s="108"/>
      <c r="CCT10" s="108"/>
      <c r="CCU10" s="108"/>
      <c r="CCV10" s="108"/>
      <c r="CCW10" s="108"/>
      <c r="CCX10" s="108"/>
      <c r="CCY10" s="108"/>
      <c r="CCZ10" s="108"/>
      <c r="CDA10" s="108"/>
      <c r="CDB10" s="108"/>
      <c r="CDC10" s="108"/>
      <c r="CDD10" s="108"/>
      <c r="CDE10" s="108"/>
      <c r="CDF10" s="108"/>
      <c r="CDG10" s="108"/>
      <c r="CDH10" s="108"/>
      <c r="CDI10" s="108"/>
      <c r="CDJ10" s="108"/>
      <c r="CDK10" s="108"/>
      <c r="CDL10" s="108"/>
      <c r="CDM10" s="108"/>
      <c r="CDN10" s="108"/>
      <c r="CDO10" s="108"/>
      <c r="CDP10" s="108"/>
      <c r="CDQ10" s="108"/>
      <c r="CDR10" s="108"/>
      <c r="CDS10" s="108"/>
      <c r="CDT10" s="108"/>
      <c r="CDU10" s="108"/>
      <c r="CDV10" s="108"/>
      <c r="CDW10" s="108"/>
      <c r="CDX10" s="108"/>
      <c r="CDY10" s="108"/>
      <c r="CDZ10" s="108"/>
      <c r="CEA10" s="108"/>
      <c r="CEB10" s="108"/>
      <c r="CEC10" s="108"/>
      <c r="CED10" s="108"/>
      <c r="CEE10" s="108"/>
      <c r="CEF10" s="108"/>
      <c r="CEG10" s="108"/>
      <c r="CEH10" s="108"/>
      <c r="CEI10" s="108"/>
      <c r="CEJ10" s="108"/>
      <c r="CEK10" s="108"/>
      <c r="CEL10" s="108"/>
      <c r="CEM10" s="108"/>
      <c r="CEN10" s="108"/>
      <c r="CEO10" s="108"/>
      <c r="CEP10" s="108"/>
      <c r="CEQ10" s="108"/>
      <c r="CER10" s="108"/>
      <c r="CES10" s="108"/>
      <c r="CET10" s="108"/>
      <c r="CEU10" s="108"/>
      <c r="CEV10" s="108"/>
      <c r="CEW10" s="108"/>
      <c r="CEX10" s="108"/>
      <c r="CEY10" s="108"/>
      <c r="CEZ10" s="108"/>
      <c r="CFA10" s="108"/>
      <c r="CFB10" s="108"/>
      <c r="CFC10" s="108"/>
      <c r="CFD10" s="108"/>
      <c r="CFE10" s="108"/>
      <c r="CFF10" s="108"/>
      <c r="CFG10" s="108"/>
      <c r="CFH10" s="108"/>
      <c r="CFI10" s="108"/>
      <c r="CFJ10" s="108"/>
      <c r="CFK10" s="108"/>
      <c r="CFL10" s="108"/>
      <c r="CFM10" s="108"/>
      <c r="CFN10" s="108"/>
      <c r="CFO10" s="108"/>
      <c r="CFP10" s="108"/>
      <c r="CFQ10" s="108"/>
      <c r="CFR10" s="108"/>
      <c r="CFS10" s="108"/>
      <c r="CFT10" s="108"/>
      <c r="CFU10" s="108"/>
      <c r="CFV10" s="108"/>
      <c r="CFW10" s="108"/>
      <c r="CFX10" s="108"/>
      <c r="CFY10" s="108"/>
      <c r="CFZ10" s="108"/>
      <c r="CGA10" s="108"/>
      <c r="CGB10" s="108"/>
      <c r="CGC10" s="108"/>
      <c r="CGD10" s="108"/>
      <c r="CGE10" s="108"/>
      <c r="CGF10" s="108"/>
      <c r="CGG10" s="108"/>
      <c r="CGH10" s="108"/>
      <c r="CGI10" s="108"/>
      <c r="CGJ10" s="108"/>
      <c r="CGK10" s="108"/>
      <c r="CGL10" s="108"/>
      <c r="CGM10" s="108"/>
      <c r="CGN10" s="108"/>
      <c r="CGO10" s="108"/>
      <c r="CGP10" s="108"/>
      <c r="CGQ10" s="108"/>
      <c r="CGR10" s="108"/>
      <c r="CGS10" s="108"/>
      <c r="CGT10" s="108"/>
      <c r="CGU10" s="108"/>
      <c r="CGV10" s="108"/>
      <c r="CGW10" s="108"/>
      <c r="CGX10" s="108"/>
      <c r="CGY10" s="108"/>
      <c r="CGZ10" s="108"/>
      <c r="CHA10" s="108"/>
      <c r="CHB10" s="108"/>
      <c r="CHC10" s="108"/>
      <c r="CHD10" s="108"/>
      <c r="CHE10" s="108"/>
      <c r="CHF10" s="108"/>
      <c r="CHG10" s="108"/>
      <c r="CHH10" s="108"/>
      <c r="CHI10" s="108"/>
      <c r="CHJ10" s="108"/>
      <c r="CHK10" s="108"/>
      <c r="CHL10" s="108"/>
      <c r="CHM10" s="108"/>
      <c r="CHN10" s="108"/>
      <c r="CHO10" s="108"/>
      <c r="CHP10" s="108"/>
      <c r="CHQ10" s="108"/>
      <c r="CHR10" s="108"/>
      <c r="CHS10" s="108"/>
      <c r="CHT10" s="108"/>
      <c r="CHU10" s="108"/>
      <c r="CHV10" s="108"/>
      <c r="CHW10" s="108"/>
      <c r="CHX10" s="108"/>
      <c r="CHY10" s="108"/>
      <c r="CHZ10" s="108"/>
      <c r="CIA10" s="108"/>
      <c r="CIB10" s="108"/>
      <c r="CIC10" s="108"/>
      <c r="CID10" s="108"/>
      <c r="CIE10" s="108"/>
      <c r="CIF10" s="108"/>
      <c r="CIG10" s="108"/>
      <c r="CIH10" s="108"/>
      <c r="CII10" s="108"/>
      <c r="CIJ10" s="108"/>
      <c r="CIK10" s="108"/>
      <c r="CIL10" s="108"/>
      <c r="CIM10" s="108"/>
      <c r="CIN10" s="108"/>
      <c r="CIO10" s="108"/>
      <c r="CIP10" s="108"/>
      <c r="CIQ10" s="108"/>
      <c r="CIR10" s="108"/>
      <c r="CIS10" s="108"/>
      <c r="CIT10" s="108"/>
      <c r="CIU10" s="108"/>
      <c r="CIV10" s="108"/>
      <c r="CIW10" s="108"/>
      <c r="CIX10" s="108"/>
      <c r="CIY10" s="108"/>
      <c r="CIZ10" s="108"/>
      <c r="CJA10" s="108"/>
      <c r="CJB10" s="108"/>
      <c r="CJC10" s="108"/>
      <c r="CJD10" s="108"/>
      <c r="CJE10" s="108"/>
      <c r="CJF10" s="108"/>
      <c r="CJG10" s="108"/>
      <c r="CJH10" s="108"/>
      <c r="CJI10" s="108"/>
      <c r="CJJ10" s="108"/>
      <c r="CJK10" s="108"/>
      <c r="CJL10" s="108"/>
      <c r="CJM10" s="108"/>
      <c r="CJN10" s="108"/>
      <c r="CJO10" s="108"/>
      <c r="CJP10" s="108"/>
      <c r="CJQ10" s="108"/>
      <c r="CJR10" s="108"/>
      <c r="CJS10" s="108"/>
      <c r="CJT10" s="108"/>
      <c r="CJU10" s="108"/>
      <c r="CJV10" s="108"/>
      <c r="CJW10" s="108"/>
      <c r="CJX10" s="108"/>
      <c r="CJY10" s="108"/>
      <c r="CJZ10" s="108"/>
      <c r="CKA10" s="108"/>
      <c r="CKB10" s="108"/>
      <c r="CKC10" s="108"/>
      <c r="CKD10" s="108"/>
      <c r="CKE10" s="108"/>
      <c r="CKF10" s="108"/>
      <c r="CKG10" s="108"/>
      <c r="CKH10" s="108"/>
      <c r="CKI10" s="108"/>
      <c r="CKJ10" s="108"/>
      <c r="CKK10" s="108"/>
      <c r="CKL10" s="108"/>
      <c r="CKM10" s="108"/>
      <c r="CKN10" s="108"/>
      <c r="CKO10" s="108"/>
      <c r="CKP10" s="108"/>
      <c r="CKQ10" s="108"/>
      <c r="CKR10" s="108"/>
      <c r="CKS10" s="108"/>
      <c r="CKT10" s="108"/>
      <c r="CKU10" s="108"/>
      <c r="CKV10" s="108"/>
      <c r="CKW10" s="108"/>
      <c r="CKX10" s="108"/>
      <c r="CKY10" s="108"/>
      <c r="CKZ10" s="108"/>
      <c r="CLA10" s="108"/>
      <c r="CLB10" s="108"/>
      <c r="CLC10" s="108"/>
      <c r="CLD10" s="108"/>
      <c r="CLE10" s="108"/>
      <c r="CLF10" s="108"/>
      <c r="CLG10" s="108"/>
      <c r="CLH10" s="108"/>
      <c r="CLI10" s="108"/>
      <c r="CLJ10" s="108"/>
      <c r="CLK10" s="108"/>
      <c r="CLL10" s="108"/>
      <c r="CLM10" s="108"/>
      <c r="CLN10" s="108"/>
      <c r="CLO10" s="108"/>
      <c r="CLP10" s="108"/>
      <c r="CLQ10" s="108"/>
      <c r="CLR10" s="108"/>
      <c r="CLS10" s="108"/>
      <c r="CLT10" s="108"/>
      <c r="CLU10" s="108"/>
      <c r="CLV10" s="108"/>
      <c r="CLW10" s="108"/>
      <c r="CLX10" s="108"/>
      <c r="CLY10" s="108"/>
      <c r="CLZ10" s="108"/>
      <c r="CMA10" s="108"/>
      <c r="CMB10" s="108"/>
      <c r="CMC10" s="108"/>
      <c r="CMD10" s="108"/>
      <c r="CME10" s="108"/>
      <c r="CMF10" s="108"/>
      <c r="CMG10" s="108"/>
      <c r="CMH10" s="108"/>
      <c r="CMI10" s="108"/>
      <c r="CMJ10" s="108"/>
      <c r="CMK10" s="108"/>
      <c r="CML10" s="108"/>
      <c r="CMM10" s="108"/>
      <c r="CMN10" s="108"/>
      <c r="CMO10" s="108"/>
      <c r="CMP10" s="108"/>
      <c r="CMQ10" s="108"/>
      <c r="CMR10" s="108"/>
      <c r="CMS10" s="108"/>
      <c r="CMT10" s="108"/>
      <c r="CMU10" s="108"/>
      <c r="CMV10" s="108"/>
      <c r="CMW10" s="108"/>
      <c r="CMX10" s="108"/>
      <c r="CMY10" s="108"/>
      <c r="CMZ10" s="108"/>
      <c r="CNA10" s="108"/>
      <c r="CNB10" s="108"/>
      <c r="CNC10" s="108"/>
      <c r="CND10" s="108"/>
      <c r="CNE10" s="108"/>
      <c r="CNF10" s="108"/>
      <c r="CNG10" s="108"/>
      <c r="CNH10" s="108"/>
      <c r="CNI10" s="108"/>
      <c r="CNJ10" s="108"/>
      <c r="CNK10" s="108"/>
      <c r="CNL10" s="108"/>
      <c r="CNM10" s="108"/>
      <c r="CNN10" s="108"/>
      <c r="CNO10" s="108"/>
      <c r="CNP10" s="108"/>
      <c r="CNQ10" s="108"/>
      <c r="CNR10" s="108"/>
      <c r="CNS10" s="108"/>
      <c r="CNT10" s="108"/>
      <c r="CNU10" s="108"/>
      <c r="CNV10" s="108"/>
      <c r="CNW10" s="108"/>
      <c r="CNX10" s="108"/>
      <c r="CNY10" s="108"/>
      <c r="CNZ10" s="108"/>
      <c r="COA10" s="108"/>
      <c r="COB10" s="108"/>
      <c r="COC10" s="108"/>
      <c r="COD10" s="108"/>
      <c r="COE10" s="108"/>
      <c r="COF10" s="108"/>
      <c r="COG10" s="108"/>
      <c r="COH10" s="108"/>
      <c r="COI10" s="108"/>
      <c r="COJ10" s="108"/>
      <c r="COK10" s="108"/>
      <c r="COL10" s="108"/>
      <c r="COM10" s="108"/>
      <c r="CON10" s="108"/>
      <c r="COO10" s="108"/>
      <c r="COP10" s="108"/>
      <c r="COQ10" s="108"/>
      <c r="COR10" s="108"/>
      <c r="COS10" s="108"/>
      <c r="COT10" s="108"/>
      <c r="COU10" s="108"/>
      <c r="COV10" s="108"/>
      <c r="COW10" s="108"/>
      <c r="COX10" s="108"/>
      <c r="COY10" s="108"/>
      <c r="COZ10" s="108"/>
      <c r="CPA10" s="108"/>
      <c r="CPB10" s="108"/>
      <c r="CPC10" s="108"/>
      <c r="CPD10" s="108"/>
      <c r="CPE10" s="108"/>
      <c r="CPF10" s="108"/>
      <c r="CPG10" s="108"/>
      <c r="CPH10" s="108"/>
      <c r="CPI10" s="108"/>
      <c r="CPJ10" s="108"/>
      <c r="CPK10" s="108"/>
      <c r="CPL10" s="108"/>
      <c r="CPM10" s="108"/>
      <c r="CPN10" s="108"/>
      <c r="CPO10" s="108"/>
      <c r="CPP10" s="108"/>
      <c r="CPQ10" s="108"/>
      <c r="CPR10" s="108"/>
      <c r="CPS10" s="108"/>
      <c r="CPT10" s="108"/>
      <c r="CPU10" s="108"/>
      <c r="CPV10" s="108"/>
      <c r="CPW10" s="108"/>
      <c r="CPX10" s="108"/>
      <c r="CPY10" s="108"/>
      <c r="CPZ10" s="108"/>
      <c r="CQA10" s="108"/>
      <c r="CQB10" s="108"/>
      <c r="CQC10" s="108"/>
      <c r="CQD10" s="108"/>
      <c r="CQE10" s="108"/>
      <c r="CQF10" s="108"/>
      <c r="CQG10" s="108"/>
      <c r="CQH10" s="108"/>
      <c r="CQI10" s="108"/>
      <c r="CQJ10" s="108"/>
      <c r="CQK10" s="108"/>
      <c r="CQL10" s="108"/>
      <c r="CQM10" s="108"/>
      <c r="CQN10" s="108"/>
      <c r="CQO10" s="108"/>
      <c r="CQP10" s="108"/>
      <c r="CQQ10" s="108"/>
      <c r="CQR10" s="108"/>
      <c r="CQS10" s="108"/>
      <c r="CQT10" s="108"/>
      <c r="CQU10" s="108"/>
      <c r="CQV10" s="108"/>
      <c r="CQW10" s="108"/>
      <c r="CQX10" s="108"/>
      <c r="CQY10" s="108"/>
      <c r="CQZ10" s="108"/>
      <c r="CRA10" s="108"/>
      <c r="CRB10" s="108"/>
      <c r="CRC10" s="108"/>
      <c r="CRD10" s="108"/>
      <c r="CRE10" s="108"/>
      <c r="CRF10" s="108"/>
      <c r="CRG10" s="108"/>
      <c r="CRH10" s="108"/>
      <c r="CRI10" s="108"/>
      <c r="CRJ10" s="108"/>
      <c r="CRK10" s="108"/>
      <c r="CRL10" s="108"/>
      <c r="CRM10" s="108"/>
      <c r="CRN10" s="108"/>
      <c r="CRO10" s="108"/>
      <c r="CRP10" s="108"/>
      <c r="CRQ10" s="108"/>
      <c r="CRR10" s="108"/>
      <c r="CRS10" s="108"/>
      <c r="CRT10" s="108"/>
      <c r="CRU10" s="108"/>
      <c r="CRV10" s="108"/>
      <c r="CRW10" s="108"/>
      <c r="CRX10" s="108"/>
      <c r="CRY10" s="108"/>
      <c r="CRZ10" s="108"/>
      <c r="CSA10" s="108"/>
      <c r="CSB10" s="108"/>
      <c r="CSC10" s="108"/>
      <c r="CSD10" s="108"/>
      <c r="CSE10" s="108"/>
      <c r="CSF10" s="108"/>
      <c r="CSG10" s="108"/>
      <c r="CSH10" s="108"/>
      <c r="CSI10" s="108"/>
      <c r="CSJ10" s="108"/>
      <c r="CSK10" s="108"/>
      <c r="CSL10" s="108"/>
      <c r="CSM10" s="108"/>
      <c r="CSN10" s="108"/>
      <c r="CSO10" s="108"/>
      <c r="CSP10" s="108"/>
      <c r="CSQ10" s="108"/>
      <c r="CSR10" s="108"/>
      <c r="CSS10" s="108"/>
      <c r="CST10" s="108"/>
      <c r="CSU10" s="108"/>
      <c r="CSV10" s="108"/>
      <c r="CSW10" s="108"/>
      <c r="CSX10" s="108"/>
      <c r="CSY10" s="108"/>
      <c r="CSZ10" s="108"/>
      <c r="CTA10" s="108"/>
      <c r="CTB10" s="108"/>
      <c r="CTC10" s="108"/>
      <c r="CTD10" s="108"/>
      <c r="CTE10" s="108"/>
      <c r="CTF10" s="108"/>
      <c r="CTG10" s="108"/>
      <c r="CTH10" s="108"/>
      <c r="CTI10" s="108"/>
      <c r="CTJ10" s="108"/>
      <c r="CTK10" s="108"/>
      <c r="CTL10" s="108"/>
      <c r="CTM10" s="108"/>
      <c r="CTN10" s="108"/>
      <c r="CTO10" s="108"/>
      <c r="CTP10" s="108"/>
      <c r="CTQ10" s="108"/>
      <c r="CTR10" s="108"/>
      <c r="CTS10" s="108"/>
      <c r="CTT10" s="108"/>
      <c r="CTU10" s="108"/>
      <c r="CTV10" s="108"/>
      <c r="CTW10" s="108"/>
      <c r="CTX10" s="108"/>
      <c r="CTY10" s="108"/>
      <c r="CTZ10" s="108"/>
      <c r="CUA10" s="108"/>
      <c r="CUB10" s="108"/>
      <c r="CUC10" s="108"/>
      <c r="CUD10" s="108"/>
      <c r="CUE10" s="108"/>
      <c r="CUF10" s="108"/>
      <c r="CUG10" s="108"/>
      <c r="CUH10" s="108"/>
      <c r="CUI10" s="108"/>
      <c r="CUJ10" s="108"/>
      <c r="CUK10" s="108"/>
      <c r="CUL10" s="108"/>
      <c r="CUM10" s="108"/>
      <c r="CUN10" s="108"/>
      <c r="CUO10" s="108"/>
      <c r="CUP10" s="108"/>
      <c r="CUQ10" s="108"/>
      <c r="CUR10" s="108"/>
      <c r="CUS10" s="108"/>
      <c r="CUT10" s="108"/>
      <c r="CUU10" s="108"/>
      <c r="CUV10" s="108"/>
      <c r="CUW10" s="108"/>
      <c r="CUX10" s="108"/>
      <c r="CUY10" s="108"/>
      <c r="CUZ10" s="108"/>
      <c r="CVA10" s="108"/>
      <c r="CVB10" s="108"/>
      <c r="CVC10" s="108"/>
      <c r="CVD10" s="108"/>
      <c r="CVE10" s="108"/>
      <c r="CVF10" s="108"/>
      <c r="CVG10" s="108"/>
      <c r="CVH10" s="108"/>
      <c r="CVI10" s="108"/>
      <c r="CVJ10" s="108"/>
      <c r="CVK10" s="108"/>
      <c r="CVL10" s="108"/>
      <c r="CVM10" s="108"/>
      <c r="CVN10" s="108"/>
      <c r="CVO10" s="108"/>
      <c r="CVP10" s="108"/>
      <c r="CVQ10" s="108"/>
      <c r="CVR10" s="108"/>
      <c r="CVS10" s="108"/>
      <c r="CVT10" s="108"/>
      <c r="CVU10" s="108"/>
      <c r="CVV10" s="108"/>
      <c r="CVW10" s="108"/>
      <c r="CVX10" s="108"/>
      <c r="CVY10" s="108"/>
      <c r="CVZ10" s="108"/>
      <c r="CWA10" s="108"/>
      <c r="CWB10" s="108"/>
      <c r="CWC10" s="108"/>
      <c r="CWD10" s="108"/>
      <c r="CWE10" s="108"/>
      <c r="CWF10" s="108"/>
      <c r="CWG10" s="108"/>
      <c r="CWH10" s="108"/>
      <c r="CWI10" s="108"/>
      <c r="CWJ10" s="108"/>
      <c r="CWK10" s="108"/>
      <c r="CWL10" s="108"/>
      <c r="CWM10" s="108"/>
      <c r="CWN10" s="108"/>
      <c r="CWO10" s="108"/>
      <c r="CWP10" s="108"/>
      <c r="CWQ10" s="108"/>
      <c r="CWR10" s="108"/>
      <c r="CWS10" s="108"/>
      <c r="CWT10" s="108"/>
      <c r="CWU10" s="108"/>
      <c r="CWV10" s="108"/>
      <c r="CWW10" s="108"/>
      <c r="CWX10" s="108"/>
      <c r="CWY10" s="108"/>
      <c r="CWZ10" s="108"/>
      <c r="CXA10" s="108"/>
      <c r="CXB10" s="108"/>
      <c r="CXC10" s="108"/>
      <c r="CXD10" s="108"/>
      <c r="CXE10" s="108"/>
      <c r="CXF10" s="108"/>
      <c r="CXG10" s="108"/>
      <c r="CXH10" s="108"/>
      <c r="CXI10" s="108"/>
      <c r="CXJ10" s="108"/>
      <c r="CXK10" s="108"/>
      <c r="CXL10" s="108"/>
      <c r="CXM10" s="108"/>
      <c r="CXN10" s="108"/>
      <c r="CXO10" s="108"/>
      <c r="CXP10" s="108"/>
      <c r="CXQ10" s="108"/>
      <c r="CXR10" s="108"/>
      <c r="CXS10" s="108"/>
      <c r="CXT10" s="108"/>
      <c r="CXU10" s="108"/>
      <c r="CXV10" s="108"/>
      <c r="CXW10" s="108"/>
      <c r="CXX10" s="108"/>
      <c r="CXY10" s="108"/>
      <c r="CXZ10" s="108"/>
      <c r="CYA10" s="108"/>
      <c r="CYB10" s="108"/>
      <c r="CYC10" s="108"/>
      <c r="CYD10" s="108"/>
      <c r="CYE10" s="108"/>
      <c r="CYF10" s="108"/>
      <c r="CYG10" s="108"/>
      <c r="CYH10" s="108"/>
      <c r="CYI10" s="108"/>
      <c r="CYJ10" s="108"/>
      <c r="CYK10" s="108"/>
      <c r="CYL10" s="108"/>
      <c r="CYM10" s="108"/>
      <c r="CYN10" s="108"/>
      <c r="CYO10" s="108"/>
      <c r="CYP10" s="108"/>
      <c r="CYQ10" s="108"/>
      <c r="CYR10" s="108"/>
      <c r="CYS10" s="108"/>
      <c r="CYT10" s="108"/>
      <c r="CYU10" s="108"/>
      <c r="CYV10" s="108"/>
      <c r="CYW10" s="108"/>
      <c r="CYX10" s="108"/>
      <c r="CYY10" s="108"/>
      <c r="CYZ10" s="108"/>
      <c r="CZA10" s="108"/>
      <c r="CZB10" s="108"/>
      <c r="CZC10" s="108"/>
      <c r="CZD10" s="108"/>
      <c r="CZE10" s="108"/>
      <c r="CZF10" s="108"/>
      <c r="CZG10" s="108"/>
      <c r="CZH10" s="108"/>
      <c r="CZI10" s="108"/>
      <c r="CZJ10" s="108"/>
      <c r="CZK10" s="108"/>
      <c r="CZL10" s="108"/>
      <c r="CZM10" s="108"/>
      <c r="CZN10" s="108"/>
      <c r="CZO10" s="108"/>
      <c r="CZP10" s="108"/>
      <c r="CZQ10" s="108"/>
      <c r="CZR10" s="108"/>
      <c r="CZS10" s="108"/>
      <c r="CZT10" s="108"/>
      <c r="CZU10" s="108"/>
      <c r="CZV10" s="108"/>
      <c r="CZW10" s="108"/>
      <c r="CZX10" s="108"/>
      <c r="CZY10" s="108"/>
      <c r="CZZ10" s="108"/>
      <c r="DAA10" s="108"/>
      <c r="DAB10" s="108"/>
      <c r="DAC10" s="108"/>
      <c r="DAD10" s="108"/>
      <c r="DAE10" s="108"/>
      <c r="DAF10" s="108"/>
      <c r="DAG10" s="108"/>
      <c r="DAH10" s="108"/>
      <c r="DAI10" s="108"/>
      <c r="DAJ10" s="108"/>
      <c r="DAK10" s="108"/>
      <c r="DAL10" s="108"/>
      <c r="DAM10" s="108"/>
      <c r="DAN10" s="108"/>
      <c r="DAO10" s="108"/>
      <c r="DAP10" s="108"/>
      <c r="DAQ10" s="108"/>
      <c r="DAR10" s="108"/>
      <c r="DAS10" s="108"/>
      <c r="DAT10" s="108"/>
      <c r="DAU10" s="108"/>
      <c r="DAV10" s="108"/>
      <c r="DAW10" s="108"/>
      <c r="DAX10" s="108"/>
      <c r="DAY10" s="108"/>
      <c r="DAZ10" s="108"/>
      <c r="DBA10" s="108"/>
      <c r="DBB10" s="108"/>
      <c r="DBC10" s="108"/>
      <c r="DBD10" s="108"/>
      <c r="DBE10" s="108"/>
      <c r="DBF10" s="108"/>
      <c r="DBG10" s="108"/>
      <c r="DBH10" s="108"/>
      <c r="DBI10" s="108"/>
      <c r="DBJ10" s="108"/>
      <c r="DBK10" s="108"/>
      <c r="DBL10" s="108"/>
      <c r="DBM10" s="108"/>
      <c r="DBN10" s="108"/>
      <c r="DBO10" s="108"/>
      <c r="DBP10" s="108"/>
      <c r="DBQ10" s="108"/>
      <c r="DBR10" s="108"/>
      <c r="DBS10" s="108"/>
      <c r="DBT10" s="108"/>
      <c r="DBU10" s="108"/>
      <c r="DBV10" s="108"/>
      <c r="DBW10" s="108"/>
      <c r="DBX10" s="108"/>
      <c r="DBY10" s="108"/>
      <c r="DBZ10" s="108"/>
      <c r="DCA10" s="108"/>
      <c r="DCB10" s="108"/>
      <c r="DCC10" s="108"/>
      <c r="DCD10" s="108"/>
      <c r="DCE10" s="108"/>
      <c r="DCF10" s="108"/>
      <c r="DCG10" s="108"/>
      <c r="DCH10" s="108"/>
      <c r="DCI10" s="108"/>
      <c r="DCJ10" s="108"/>
      <c r="DCK10" s="108"/>
      <c r="DCL10" s="108"/>
      <c r="DCM10" s="108"/>
      <c r="DCN10" s="108"/>
      <c r="DCO10" s="108"/>
      <c r="DCP10" s="108"/>
      <c r="DCQ10" s="108"/>
      <c r="DCR10" s="108"/>
      <c r="DCS10" s="108"/>
      <c r="DCT10" s="108"/>
      <c r="DCU10" s="108"/>
      <c r="DCV10" s="108"/>
      <c r="DCW10" s="108"/>
      <c r="DCX10" s="108"/>
      <c r="DCY10" s="108"/>
      <c r="DCZ10" s="108"/>
      <c r="DDA10" s="108"/>
      <c r="DDB10" s="108"/>
      <c r="DDC10" s="108"/>
      <c r="DDD10" s="108"/>
      <c r="DDE10" s="108"/>
      <c r="DDF10" s="108"/>
      <c r="DDG10" s="108"/>
      <c r="DDH10" s="108"/>
      <c r="DDI10" s="108"/>
      <c r="DDJ10" s="108"/>
      <c r="DDK10" s="108"/>
      <c r="DDL10" s="108"/>
      <c r="DDM10" s="108"/>
      <c r="DDN10" s="108"/>
      <c r="DDO10" s="108"/>
      <c r="DDP10" s="108"/>
      <c r="DDQ10" s="108"/>
      <c r="DDR10" s="108"/>
      <c r="DDS10" s="108"/>
      <c r="DDT10" s="108"/>
      <c r="DDU10" s="108"/>
      <c r="DDV10" s="108"/>
      <c r="DDW10" s="108"/>
      <c r="DDX10" s="108"/>
      <c r="DDY10" s="108"/>
      <c r="DDZ10" s="108"/>
      <c r="DEA10" s="108"/>
      <c r="DEB10" s="108"/>
      <c r="DEC10" s="108"/>
      <c r="DED10" s="108"/>
      <c r="DEE10" s="108"/>
      <c r="DEF10" s="108"/>
      <c r="DEG10" s="108"/>
      <c r="DEH10" s="108"/>
      <c r="DEI10" s="108"/>
      <c r="DEJ10" s="108"/>
      <c r="DEK10" s="108"/>
      <c r="DEL10" s="108"/>
      <c r="DEM10" s="108"/>
      <c r="DEN10" s="108"/>
      <c r="DEO10" s="108"/>
      <c r="DEP10" s="108"/>
      <c r="DEQ10" s="108"/>
      <c r="DER10" s="108"/>
      <c r="DES10" s="108"/>
      <c r="DET10" s="108"/>
      <c r="DEU10" s="108"/>
      <c r="DEV10" s="108"/>
      <c r="DEW10" s="108"/>
      <c r="DEX10" s="108"/>
      <c r="DEY10" s="108"/>
      <c r="DEZ10" s="108"/>
      <c r="DFA10" s="108"/>
      <c r="DFB10" s="108"/>
      <c r="DFC10" s="108"/>
      <c r="DFD10" s="108"/>
      <c r="DFE10" s="108"/>
      <c r="DFF10" s="108"/>
      <c r="DFG10" s="108"/>
      <c r="DFH10" s="108"/>
      <c r="DFI10" s="108"/>
      <c r="DFJ10" s="108"/>
      <c r="DFK10" s="108"/>
      <c r="DFL10" s="108"/>
      <c r="DFM10" s="108"/>
      <c r="DFN10" s="108"/>
      <c r="DFO10" s="108"/>
      <c r="DFP10" s="108"/>
      <c r="DFQ10" s="108"/>
      <c r="DFR10" s="108"/>
      <c r="DFS10" s="108"/>
      <c r="DFT10" s="108"/>
      <c r="DFU10" s="108"/>
      <c r="DFV10" s="108"/>
      <c r="DFW10" s="108"/>
      <c r="DFX10" s="108"/>
      <c r="DFY10" s="108"/>
      <c r="DFZ10" s="108"/>
      <c r="DGA10" s="108"/>
      <c r="DGB10" s="108"/>
      <c r="DGC10" s="108"/>
      <c r="DGD10" s="108"/>
      <c r="DGE10" s="108"/>
      <c r="DGF10" s="108"/>
      <c r="DGG10" s="108"/>
      <c r="DGH10" s="108"/>
      <c r="DGI10" s="108"/>
      <c r="DGJ10" s="108"/>
      <c r="DGK10" s="108"/>
      <c r="DGL10" s="108"/>
      <c r="DGM10" s="108"/>
      <c r="DGN10" s="108"/>
      <c r="DGO10" s="108"/>
      <c r="DGP10" s="108"/>
      <c r="DGQ10" s="108"/>
      <c r="DGR10" s="108"/>
      <c r="DGS10" s="108"/>
      <c r="DGT10" s="108"/>
      <c r="DGU10" s="108"/>
      <c r="DGV10" s="108"/>
      <c r="DGW10" s="108"/>
      <c r="DGX10" s="108"/>
      <c r="DGY10" s="108"/>
      <c r="DGZ10" s="108"/>
      <c r="DHA10" s="108"/>
      <c r="DHB10" s="108"/>
      <c r="DHC10" s="108"/>
      <c r="DHD10" s="108"/>
      <c r="DHE10" s="108"/>
      <c r="DHF10" s="108"/>
      <c r="DHG10" s="108"/>
      <c r="DHH10" s="108"/>
      <c r="DHI10" s="108"/>
      <c r="DHJ10" s="108"/>
      <c r="DHK10" s="108"/>
      <c r="DHL10" s="108"/>
      <c r="DHM10" s="108"/>
      <c r="DHN10" s="108"/>
      <c r="DHO10" s="108"/>
      <c r="DHP10" s="108"/>
      <c r="DHQ10" s="108"/>
      <c r="DHR10" s="108"/>
      <c r="DHS10" s="108"/>
      <c r="DHT10" s="108"/>
      <c r="DHU10" s="108"/>
      <c r="DHV10" s="108"/>
      <c r="DHW10" s="108"/>
      <c r="DHX10" s="108"/>
      <c r="DHY10" s="108"/>
      <c r="DHZ10" s="108"/>
      <c r="DIA10" s="108"/>
      <c r="DIB10" s="108"/>
      <c r="DIC10" s="108"/>
      <c r="DID10" s="108"/>
      <c r="DIE10" s="108"/>
      <c r="DIF10" s="108"/>
      <c r="DIG10" s="108"/>
      <c r="DIH10" s="108"/>
      <c r="DII10" s="108"/>
      <c r="DIJ10" s="108"/>
      <c r="DIK10" s="108"/>
      <c r="DIL10" s="108"/>
      <c r="DIM10" s="108"/>
      <c r="DIN10" s="108"/>
      <c r="DIO10" s="108"/>
      <c r="DIP10" s="108"/>
      <c r="DIQ10" s="108"/>
      <c r="DIR10" s="108"/>
      <c r="DIS10" s="108"/>
      <c r="DIT10" s="108"/>
      <c r="DIU10" s="108"/>
      <c r="DIV10" s="108"/>
      <c r="DIW10" s="108"/>
      <c r="DIX10" s="108"/>
      <c r="DIY10" s="108"/>
      <c r="DIZ10" s="108"/>
      <c r="DJA10" s="108"/>
      <c r="DJB10" s="108"/>
      <c r="DJC10" s="108"/>
      <c r="DJD10" s="108"/>
      <c r="DJE10" s="108"/>
      <c r="DJF10" s="108"/>
      <c r="DJG10" s="108"/>
      <c r="DJH10" s="108"/>
      <c r="DJI10" s="108"/>
      <c r="DJJ10" s="108"/>
      <c r="DJK10" s="108"/>
      <c r="DJL10" s="108"/>
      <c r="DJM10" s="108"/>
      <c r="DJN10" s="108"/>
      <c r="DJO10" s="108"/>
      <c r="DJP10" s="108"/>
      <c r="DJQ10" s="108"/>
      <c r="DJR10" s="108"/>
      <c r="DJS10" s="108"/>
      <c r="DJT10" s="108"/>
      <c r="DJU10" s="108"/>
      <c r="DJV10" s="108"/>
      <c r="DJW10" s="108"/>
      <c r="DJX10" s="108"/>
      <c r="DJY10" s="108"/>
      <c r="DJZ10" s="108"/>
      <c r="DKA10" s="108"/>
      <c r="DKB10" s="108"/>
      <c r="DKC10" s="108"/>
      <c r="DKD10" s="108"/>
      <c r="DKE10" s="108"/>
      <c r="DKF10" s="108"/>
      <c r="DKG10" s="108"/>
      <c r="DKH10" s="108"/>
      <c r="DKI10" s="108"/>
      <c r="DKJ10" s="108"/>
      <c r="DKK10" s="108"/>
      <c r="DKL10" s="108"/>
      <c r="DKM10" s="108"/>
      <c r="DKN10" s="108"/>
      <c r="DKO10" s="108"/>
      <c r="DKP10" s="108"/>
      <c r="DKQ10" s="108"/>
      <c r="DKR10" s="108"/>
      <c r="DKS10" s="108"/>
      <c r="DKT10" s="108"/>
      <c r="DKU10" s="108"/>
      <c r="DKV10" s="108"/>
      <c r="DKW10" s="108"/>
      <c r="DKX10" s="108"/>
      <c r="DKY10" s="108"/>
      <c r="DKZ10" s="108"/>
      <c r="DLA10" s="108"/>
      <c r="DLB10" s="108"/>
      <c r="DLC10" s="108"/>
      <c r="DLD10" s="108"/>
      <c r="DLE10" s="108"/>
      <c r="DLF10" s="108"/>
      <c r="DLG10" s="108"/>
      <c r="DLH10" s="108"/>
      <c r="DLI10" s="108"/>
      <c r="DLJ10" s="108"/>
      <c r="DLK10" s="108"/>
      <c r="DLL10" s="108"/>
      <c r="DLM10" s="108"/>
      <c r="DLN10" s="108"/>
      <c r="DLO10" s="108"/>
      <c r="DLP10" s="108"/>
      <c r="DLQ10" s="108"/>
      <c r="DLR10" s="108"/>
      <c r="DLS10" s="108"/>
      <c r="DLT10" s="108"/>
      <c r="DLU10" s="108"/>
      <c r="DLV10" s="108"/>
      <c r="DLW10" s="108"/>
      <c r="DLX10" s="108"/>
      <c r="DLY10" s="108"/>
      <c r="DLZ10" s="108"/>
      <c r="DMA10" s="108"/>
      <c r="DMB10" s="108"/>
      <c r="DMC10" s="108"/>
      <c r="DMD10" s="108"/>
      <c r="DME10" s="108"/>
      <c r="DMF10" s="108"/>
      <c r="DMG10" s="108"/>
      <c r="DMH10" s="108"/>
      <c r="DMI10" s="108"/>
      <c r="DMJ10" s="108"/>
      <c r="DMK10" s="108"/>
      <c r="DML10" s="108"/>
      <c r="DMM10" s="108"/>
      <c r="DMN10" s="108"/>
      <c r="DMO10" s="108"/>
      <c r="DMP10" s="108"/>
      <c r="DMQ10" s="108"/>
      <c r="DMR10" s="108"/>
      <c r="DMS10" s="108"/>
      <c r="DMT10" s="108"/>
      <c r="DMU10" s="108"/>
      <c r="DMV10" s="108"/>
      <c r="DMW10" s="108"/>
      <c r="DMX10" s="108"/>
      <c r="DMY10" s="108"/>
      <c r="DMZ10" s="108"/>
      <c r="DNA10" s="108"/>
      <c r="DNB10" s="108"/>
      <c r="DNC10" s="108"/>
      <c r="DND10" s="108"/>
      <c r="DNE10" s="108"/>
      <c r="DNF10" s="108"/>
      <c r="DNG10" s="108"/>
      <c r="DNH10" s="108"/>
      <c r="DNI10" s="108"/>
      <c r="DNJ10" s="108"/>
      <c r="DNK10" s="108"/>
      <c r="DNL10" s="108"/>
      <c r="DNM10" s="108"/>
      <c r="DNN10" s="108"/>
      <c r="DNO10" s="108"/>
      <c r="DNP10" s="108"/>
      <c r="DNQ10" s="108"/>
      <c r="DNR10" s="108"/>
      <c r="DNS10" s="108"/>
      <c r="DNT10" s="108"/>
      <c r="DNU10" s="108"/>
      <c r="DNV10" s="108"/>
      <c r="DNW10" s="108"/>
      <c r="DNX10" s="108"/>
      <c r="DNY10" s="108"/>
      <c r="DNZ10" s="108"/>
      <c r="DOA10" s="108"/>
      <c r="DOB10" s="108"/>
      <c r="DOC10" s="108"/>
      <c r="DOD10" s="108"/>
      <c r="DOE10" s="108"/>
      <c r="DOF10" s="108"/>
      <c r="DOG10" s="108"/>
      <c r="DOH10" s="108"/>
      <c r="DOI10" s="108"/>
      <c r="DOJ10" s="108"/>
      <c r="DOK10" s="108"/>
      <c r="DOL10" s="108"/>
      <c r="DOM10" s="108"/>
      <c r="DON10" s="108"/>
      <c r="DOO10" s="108"/>
      <c r="DOP10" s="108"/>
      <c r="DOQ10" s="108"/>
      <c r="DOR10" s="108"/>
      <c r="DOS10" s="108"/>
      <c r="DOT10" s="108"/>
      <c r="DOU10" s="108"/>
      <c r="DOV10" s="108"/>
      <c r="DOW10" s="108"/>
      <c r="DOX10" s="108"/>
      <c r="DOY10" s="108"/>
      <c r="DOZ10" s="108"/>
      <c r="DPA10" s="108"/>
      <c r="DPB10" s="108"/>
      <c r="DPC10" s="108"/>
      <c r="DPD10" s="108"/>
      <c r="DPE10" s="108"/>
      <c r="DPF10" s="108"/>
      <c r="DPG10" s="108"/>
      <c r="DPH10" s="108"/>
      <c r="DPI10" s="108"/>
      <c r="DPJ10" s="108"/>
      <c r="DPK10" s="108"/>
      <c r="DPL10" s="108"/>
      <c r="DPM10" s="108"/>
      <c r="DPN10" s="108"/>
      <c r="DPO10" s="108"/>
      <c r="DPP10" s="108"/>
      <c r="DPQ10" s="108"/>
      <c r="DPR10" s="108"/>
      <c r="DPS10" s="108"/>
      <c r="DPT10" s="108"/>
      <c r="DPU10" s="108"/>
      <c r="DPV10" s="108"/>
      <c r="DPW10" s="108"/>
      <c r="DPX10" s="108"/>
      <c r="DPY10" s="108"/>
      <c r="DPZ10" s="108"/>
      <c r="DQA10" s="108"/>
      <c r="DQB10" s="108"/>
      <c r="DQC10" s="108"/>
      <c r="DQD10" s="108"/>
      <c r="DQE10" s="108"/>
      <c r="DQF10" s="108"/>
      <c r="DQG10" s="108"/>
      <c r="DQH10" s="108"/>
      <c r="DQI10" s="108"/>
      <c r="DQJ10" s="108"/>
      <c r="DQK10" s="108"/>
      <c r="DQL10" s="108"/>
      <c r="DQM10" s="108"/>
      <c r="DQN10" s="108"/>
      <c r="DQO10" s="108"/>
      <c r="DQP10" s="108"/>
      <c r="DQQ10" s="108"/>
      <c r="DQR10" s="108"/>
      <c r="DQS10" s="108"/>
      <c r="DQT10" s="108"/>
      <c r="DQU10" s="108"/>
      <c r="DQV10" s="108"/>
      <c r="DQW10" s="108"/>
      <c r="DQX10" s="108"/>
      <c r="DQY10" s="108"/>
      <c r="DQZ10" s="108"/>
      <c r="DRA10" s="108"/>
      <c r="DRB10" s="108"/>
      <c r="DRC10" s="108"/>
      <c r="DRD10" s="108"/>
      <c r="DRE10" s="108"/>
      <c r="DRF10" s="108"/>
      <c r="DRG10" s="108"/>
      <c r="DRH10" s="108"/>
      <c r="DRI10" s="108"/>
      <c r="DRJ10" s="108"/>
      <c r="DRK10" s="108"/>
      <c r="DRL10" s="108"/>
      <c r="DRM10" s="108"/>
      <c r="DRN10" s="108"/>
      <c r="DRO10" s="108"/>
      <c r="DRP10" s="108"/>
      <c r="DRQ10" s="108"/>
      <c r="DRR10" s="108"/>
      <c r="DRS10" s="108"/>
      <c r="DRT10" s="108"/>
      <c r="DRU10" s="108"/>
      <c r="DRV10" s="108"/>
      <c r="DRW10" s="108"/>
      <c r="DRX10" s="108"/>
      <c r="DRY10" s="108"/>
      <c r="DRZ10" s="108"/>
      <c r="DSA10" s="108"/>
      <c r="DSB10" s="108"/>
      <c r="DSC10" s="108"/>
      <c r="DSD10" s="108"/>
      <c r="DSE10" s="108"/>
      <c r="DSF10" s="108"/>
      <c r="DSG10" s="108"/>
      <c r="DSH10" s="108"/>
      <c r="DSI10" s="108"/>
      <c r="DSJ10" s="108"/>
      <c r="DSK10" s="108"/>
      <c r="DSL10" s="108"/>
      <c r="DSM10" s="108"/>
      <c r="DSN10" s="108"/>
      <c r="DSO10" s="108"/>
      <c r="DSP10" s="108"/>
      <c r="DSQ10" s="108"/>
      <c r="DSR10" s="108"/>
      <c r="DSS10" s="108"/>
      <c r="DST10" s="108"/>
      <c r="DSU10" s="108"/>
      <c r="DSV10" s="108"/>
      <c r="DSW10" s="108"/>
      <c r="DSX10" s="108"/>
      <c r="DSY10" s="108"/>
      <c r="DSZ10" s="108"/>
      <c r="DTA10" s="108"/>
      <c r="DTB10" s="108"/>
      <c r="DTC10" s="108"/>
      <c r="DTD10" s="108"/>
      <c r="DTE10" s="108"/>
      <c r="DTF10" s="108"/>
      <c r="DTG10" s="108"/>
      <c r="DTH10" s="108"/>
      <c r="DTI10" s="108"/>
      <c r="DTJ10" s="108"/>
      <c r="DTK10" s="108"/>
      <c r="DTL10" s="108"/>
      <c r="DTM10" s="108"/>
      <c r="DTN10" s="108"/>
      <c r="DTO10" s="108"/>
      <c r="DTP10" s="108"/>
      <c r="DTQ10" s="108"/>
      <c r="DTR10" s="108"/>
      <c r="DTS10" s="108"/>
      <c r="DTT10" s="108"/>
      <c r="DTU10" s="108"/>
      <c r="DTV10" s="108"/>
      <c r="DTW10" s="108"/>
      <c r="DTX10" s="108"/>
      <c r="DTY10" s="108"/>
      <c r="DTZ10" s="108"/>
      <c r="DUA10" s="108"/>
      <c r="DUB10" s="108"/>
      <c r="DUC10" s="108"/>
      <c r="DUD10" s="108"/>
      <c r="DUE10" s="108"/>
      <c r="DUF10" s="108"/>
      <c r="DUG10" s="108"/>
      <c r="DUH10" s="108"/>
      <c r="DUI10" s="108"/>
      <c r="DUJ10" s="108"/>
      <c r="DUK10" s="108"/>
      <c r="DUL10" s="108"/>
      <c r="DUM10" s="108"/>
      <c r="DUN10" s="108"/>
      <c r="DUO10" s="108"/>
      <c r="DUP10" s="108"/>
      <c r="DUQ10" s="108"/>
      <c r="DUR10" s="108"/>
      <c r="DUS10" s="108"/>
      <c r="DUT10" s="108"/>
      <c r="DUU10" s="108"/>
      <c r="DUV10" s="108"/>
      <c r="DUW10" s="108"/>
      <c r="DUX10" s="108"/>
      <c r="DUY10" s="108"/>
      <c r="DUZ10" s="108"/>
      <c r="DVA10" s="108"/>
      <c r="DVB10" s="108"/>
      <c r="DVC10" s="108"/>
      <c r="DVD10" s="108"/>
      <c r="DVE10" s="108"/>
      <c r="DVF10" s="108"/>
      <c r="DVG10" s="108"/>
      <c r="DVH10" s="108"/>
      <c r="DVI10" s="108"/>
      <c r="DVJ10" s="108"/>
      <c r="DVK10" s="108"/>
      <c r="DVL10" s="108"/>
      <c r="DVM10" s="108"/>
      <c r="DVN10" s="108"/>
      <c r="DVO10" s="108"/>
      <c r="DVP10" s="108"/>
      <c r="DVQ10" s="108"/>
      <c r="DVR10" s="108"/>
      <c r="DVS10" s="108"/>
      <c r="DVT10" s="108"/>
      <c r="DVU10" s="108"/>
      <c r="DVV10" s="108"/>
      <c r="DVW10" s="108"/>
      <c r="DVX10" s="108"/>
      <c r="DVY10" s="108"/>
      <c r="DVZ10" s="108"/>
      <c r="DWA10" s="108"/>
      <c r="DWB10" s="108"/>
      <c r="DWC10" s="108"/>
      <c r="DWD10" s="108"/>
      <c r="DWE10" s="108"/>
      <c r="DWF10" s="108"/>
      <c r="DWG10" s="108"/>
      <c r="DWH10" s="108"/>
      <c r="DWI10" s="108"/>
      <c r="DWJ10" s="108"/>
      <c r="DWK10" s="108"/>
      <c r="DWL10" s="108"/>
      <c r="DWM10" s="108"/>
      <c r="DWN10" s="108"/>
      <c r="DWO10" s="108"/>
      <c r="DWP10" s="108"/>
      <c r="DWQ10" s="108"/>
      <c r="DWR10" s="108"/>
      <c r="DWS10" s="108"/>
      <c r="DWT10" s="108"/>
      <c r="DWU10" s="108"/>
      <c r="DWV10" s="108"/>
      <c r="DWW10" s="108"/>
      <c r="DWX10" s="108"/>
      <c r="DWY10" s="108"/>
      <c r="DWZ10" s="108"/>
      <c r="DXA10" s="108"/>
      <c r="DXB10" s="108"/>
      <c r="DXC10" s="108"/>
      <c r="DXD10" s="108"/>
      <c r="DXE10" s="108"/>
      <c r="DXF10" s="108"/>
      <c r="DXG10" s="108"/>
      <c r="DXH10" s="108"/>
      <c r="DXI10" s="108"/>
      <c r="DXJ10" s="108"/>
      <c r="DXK10" s="108"/>
      <c r="DXL10" s="108"/>
      <c r="DXM10" s="108"/>
      <c r="DXN10" s="108"/>
      <c r="DXO10" s="108"/>
      <c r="DXP10" s="108"/>
      <c r="DXQ10" s="108"/>
      <c r="DXR10" s="108"/>
      <c r="DXS10" s="108"/>
      <c r="DXT10" s="108"/>
      <c r="DXU10" s="108"/>
      <c r="DXV10" s="108"/>
      <c r="DXW10" s="108"/>
      <c r="DXX10" s="108"/>
      <c r="DXY10" s="108"/>
      <c r="DXZ10" s="108"/>
      <c r="DYA10" s="108"/>
      <c r="DYB10" s="108"/>
      <c r="DYC10" s="108"/>
      <c r="DYD10" s="108"/>
      <c r="DYE10" s="108"/>
      <c r="DYF10" s="108"/>
      <c r="DYG10" s="108"/>
      <c r="DYH10" s="108"/>
      <c r="DYI10" s="108"/>
      <c r="DYJ10" s="108"/>
      <c r="DYK10" s="108"/>
      <c r="DYL10" s="108"/>
      <c r="DYM10" s="108"/>
      <c r="DYN10" s="108"/>
      <c r="DYO10" s="108"/>
      <c r="DYP10" s="108"/>
      <c r="DYQ10" s="108"/>
      <c r="DYR10" s="108"/>
      <c r="DYS10" s="108"/>
      <c r="DYT10" s="108"/>
      <c r="DYU10" s="108"/>
      <c r="DYV10" s="108"/>
      <c r="DYW10" s="108"/>
      <c r="DYX10" s="108"/>
      <c r="DYY10" s="108"/>
      <c r="DYZ10" s="108"/>
      <c r="DZA10" s="108"/>
      <c r="DZB10" s="108"/>
      <c r="DZC10" s="108"/>
      <c r="DZD10" s="108"/>
      <c r="DZE10" s="108"/>
      <c r="DZF10" s="108"/>
      <c r="DZG10" s="108"/>
      <c r="DZH10" s="108"/>
      <c r="DZI10" s="108"/>
      <c r="DZJ10" s="108"/>
      <c r="DZK10" s="108"/>
      <c r="DZL10" s="108"/>
      <c r="DZM10" s="108"/>
      <c r="DZN10" s="108"/>
      <c r="DZO10" s="108"/>
      <c r="DZP10" s="108"/>
      <c r="DZQ10" s="108"/>
      <c r="DZR10" s="108"/>
      <c r="DZS10" s="108"/>
      <c r="DZT10" s="108"/>
      <c r="DZU10" s="108"/>
      <c r="DZV10" s="108"/>
      <c r="DZW10" s="108"/>
      <c r="DZX10" s="108"/>
      <c r="DZY10" s="108"/>
      <c r="DZZ10" s="108"/>
      <c r="EAA10" s="108"/>
      <c r="EAB10" s="108"/>
      <c r="EAC10" s="108"/>
      <c r="EAD10" s="108"/>
      <c r="EAE10" s="108"/>
      <c r="EAF10" s="108"/>
      <c r="EAG10" s="108"/>
      <c r="EAH10" s="108"/>
      <c r="EAI10" s="108"/>
      <c r="EAJ10" s="108"/>
      <c r="EAK10" s="108"/>
      <c r="EAL10" s="108"/>
      <c r="EAM10" s="108"/>
      <c r="EAN10" s="108"/>
      <c r="EAO10" s="108"/>
      <c r="EAP10" s="108"/>
      <c r="EAQ10" s="108"/>
      <c r="EAR10" s="108"/>
      <c r="EAS10" s="108"/>
      <c r="EAT10" s="108"/>
      <c r="EAU10" s="108"/>
      <c r="EAV10" s="108"/>
      <c r="EAW10" s="108"/>
      <c r="EAX10" s="108"/>
      <c r="EAY10" s="108"/>
      <c r="EAZ10" s="108"/>
      <c r="EBA10" s="108"/>
      <c r="EBB10" s="108"/>
      <c r="EBC10" s="108"/>
      <c r="EBD10" s="108"/>
      <c r="EBE10" s="108"/>
      <c r="EBF10" s="108"/>
      <c r="EBG10" s="108"/>
      <c r="EBH10" s="108"/>
      <c r="EBI10" s="108"/>
      <c r="EBJ10" s="108"/>
      <c r="EBK10" s="108"/>
      <c r="EBL10" s="108"/>
      <c r="EBM10" s="108"/>
      <c r="EBN10" s="108"/>
      <c r="EBO10" s="108"/>
      <c r="EBP10" s="108"/>
      <c r="EBQ10" s="108"/>
      <c r="EBR10" s="108"/>
      <c r="EBS10" s="108"/>
      <c r="EBT10" s="108"/>
      <c r="EBU10" s="108"/>
      <c r="EBV10" s="108"/>
      <c r="EBW10" s="108"/>
      <c r="EBX10" s="108"/>
      <c r="EBY10" s="108"/>
      <c r="EBZ10" s="108"/>
      <c r="ECA10" s="108"/>
      <c r="ECB10" s="108"/>
      <c r="ECC10" s="108"/>
      <c r="ECD10" s="108"/>
      <c r="ECE10" s="108"/>
      <c r="ECF10" s="108"/>
      <c r="ECG10" s="108"/>
      <c r="ECH10" s="108"/>
      <c r="ECI10" s="108"/>
      <c r="ECJ10" s="108"/>
      <c r="ECK10" s="108"/>
      <c r="ECL10" s="108"/>
      <c r="ECM10" s="108"/>
      <c r="ECN10" s="108"/>
      <c r="ECO10" s="108"/>
      <c r="ECP10" s="108"/>
      <c r="ECQ10" s="108"/>
      <c r="ECR10" s="108"/>
      <c r="ECS10" s="108"/>
      <c r="ECT10" s="108"/>
      <c r="ECU10" s="108"/>
      <c r="ECV10" s="108"/>
      <c r="ECW10" s="108"/>
      <c r="ECX10" s="108"/>
      <c r="ECY10" s="108"/>
      <c r="ECZ10" s="108"/>
      <c r="EDA10" s="108"/>
      <c r="EDB10" s="108"/>
      <c r="EDC10" s="108"/>
      <c r="EDD10" s="108"/>
      <c r="EDE10" s="108"/>
      <c r="EDF10" s="108"/>
      <c r="EDG10" s="108"/>
      <c r="EDH10" s="108"/>
      <c r="EDI10" s="108"/>
      <c r="EDJ10" s="108"/>
      <c r="EDK10" s="108"/>
      <c r="EDL10" s="108"/>
      <c r="EDM10" s="108"/>
      <c r="EDN10" s="108"/>
      <c r="EDO10" s="108"/>
      <c r="EDP10" s="108"/>
      <c r="EDQ10" s="108"/>
      <c r="EDR10" s="108"/>
      <c r="EDS10" s="108"/>
      <c r="EDT10" s="108"/>
      <c r="EDU10" s="108"/>
      <c r="EDV10" s="108"/>
      <c r="EDW10" s="108"/>
      <c r="EDX10" s="108"/>
      <c r="EDY10" s="108"/>
      <c r="EDZ10" s="108"/>
      <c r="EEA10" s="108"/>
      <c r="EEB10" s="108"/>
      <c r="EEC10" s="108"/>
      <c r="EED10" s="108"/>
      <c r="EEE10" s="108"/>
      <c r="EEF10" s="108"/>
      <c r="EEG10" s="108"/>
      <c r="EEH10" s="108"/>
      <c r="EEI10" s="108"/>
      <c r="EEJ10" s="108"/>
      <c r="EEK10" s="108"/>
      <c r="EEL10" s="108"/>
      <c r="EEM10" s="108"/>
      <c r="EEN10" s="108"/>
      <c r="EEO10" s="108"/>
      <c r="EEP10" s="108"/>
      <c r="EEQ10" s="108"/>
      <c r="EER10" s="108"/>
      <c r="EES10" s="108"/>
      <c r="EET10" s="108"/>
      <c r="EEU10" s="108"/>
      <c r="EEV10" s="108"/>
      <c r="EEW10" s="108"/>
      <c r="EEX10" s="108"/>
      <c r="EEY10" s="108"/>
      <c r="EEZ10" s="108"/>
      <c r="EFA10" s="108"/>
      <c r="EFB10" s="108"/>
      <c r="EFC10" s="108"/>
      <c r="EFD10" s="108"/>
      <c r="EFE10" s="108"/>
      <c r="EFF10" s="108"/>
      <c r="EFG10" s="108"/>
      <c r="EFH10" s="108"/>
      <c r="EFI10" s="108"/>
      <c r="EFJ10" s="108"/>
      <c r="EFK10" s="108"/>
      <c r="EFL10" s="108"/>
      <c r="EFM10" s="108"/>
      <c r="EFN10" s="108"/>
      <c r="EFO10" s="108"/>
      <c r="EFP10" s="108"/>
      <c r="EFQ10" s="108"/>
      <c r="EFR10" s="108"/>
      <c r="EFS10" s="108"/>
      <c r="EFT10" s="108"/>
      <c r="EFU10" s="108"/>
      <c r="EFV10" s="108"/>
      <c r="EFW10" s="108"/>
      <c r="EFX10" s="108"/>
      <c r="EFY10" s="108"/>
      <c r="EFZ10" s="108"/>
      <c r="EGA10" s="108"/>
      <c r="EGB10" s="108"/>
      <c r="EGC10" s="108"/>
      <c r="EGD10" s="108"/>
      <c r="EGE10" s="108"/>
      <c r="EGF10" s="108"/>
      <c r="EGG10" s="108"/>
      <c r="EGH10" s="108"/>
      <c r="EGI10" s="108"/>
      <c r="EGJ10" s="108"/>
      <c r="EGK10" s="108"/>
      <c r="EGL10" s="108"/>
      <c r="EGM10" s="108"/>
      <c r="EGN10" s="108"/>
      <c r="EGO10" s="108"/>
      <c r="EGP10" s="108"/>
      <c r="EGQ10" s="108"/>
      <c r="EGR10" s="108"/>
      <c r="EGS10" s="108"/>
      <c r="EGT10" s="108"/>
      <c r="EGU10" s="108"/>
      <c r="EGV10" s="108"/>
      <c r="EGW10" s="108"/>
      <c r="EGX10" s="108"/>
      <c r="EGY10" s="108"/>
      <c r="EGZ10" s="108"/>
      <c r="EHA10" s="108"/>
      <c r="EHB10" s="108"/>
      <c r="EHC10" s="108"/>
      <c r="EHD10" s="108"/>
      <c r="EHE10" s="108"/>
      <c r="EHF10" s="108"/>
      <c r="EHG10" s="108"/>
      <c r="EHH10" s="108"/>
      <c r="EHI10" s="108"/>
      <c r="EHJ10" s="108"/>
      <c r="EHK10" s="108"/>
      <c r="EHL10" s="108"/>
      <c r="EHM10" s="108"/>
      <c r="EHN10" s="108"/>
      <c r="EHO10" s="108"/>
      <c r="EHP10" s="108"/>
      <c r="EHQ10" s="108"/>
      <c r="EHR10" s="108"/>
      <c r="EHS10" s="108"/>
      <c r="EHT10" s="108"/>
      <c r="EHU10" s="108"/>
      <c r="EHV10" s="108"/>
      <c r="EHW10" s="108"/>
      <c r="EHX10" s="108"/>
      <c r="EHY10" s="108"/>
      <c r="EHZ10" s="108"/>
      <c r="EIA10" s="108"/>
      <c r="EIB10" s="108"/>
      <c r="EIC10" s="108"/>
      <c r="EID10" s="108"/>
      <c r="EIE10" s="108"/>
      <c r="EIF10" s="108"/>
      <c r="EIG10" s="108"/>
      <c r="EIH10" s="108"/>
      <c r="EII10" s="108"/>
      <c r="EIJ10" s="108"/>
      <c r="EIK10" s="108"/>
      <c r="EIL10" s="108"/>
      <c r="EIM10" s="108"/>
      <c r="EIN10" s="108"/>
      <c r="EIO10" s="108"/>
      <c r="EIP10" s="108"/>
      <c r="EIQ10" s="108"/>
      <c r="EIR10" s="108"/>
      <c r="EIS10" s="108"/>
      <c r="EIT10" s="108"/>
      <c r="EIU10" s="108"/>
      <c r="EIV10" s="108"/>
      <c r="EIW10" s="108"/>
      <c r="EIX10" s="108"/>
      <c r="EIY10" s="108"/>
      <c r="EIZ10" s="108"/>
      <c r="EJA10" s="108"/>
      <c r="EJB10" s="108"/>
      <c r="EJC10" s="108"/>
      <c r="EJD10" s="108"/>
      <c r="EJE10" s="108"/>
      <c r="EJF10" s="108"/>
      <c r="EJG10" s="108"/>
      <c r="EJH10" s="108"/>
      <c r="EJI10" s="108"/>
      <c r="EJJ10" s="108"/>
      <c r="EJK10" s="108"/>
      <c r="EJL10" s="108"/>
      <c r="EJM10" s="108"/>
      <c r="EJN10" s="108"/>
      <c r="EJO10" s="108"/>
      <c r="EJP10" s="108"/>
      <c r="EJQ10" s="108"/>
      <c r="EJR10" s="108"/>
      <c r="EJS10" s="108"/>
      <c r="EJT10" s="108"/>
      <c r="EJU10" s="108"/>
      <c r="EJV10" s="108"/>
      <c r="EJW10" s="108"/>
      <c r="EJX10" s="108"/>
      <c r="EJY10" s="108"/>
      <c r="EJZ10" s="108"/>
      <c r="EKA10" s="108"/>
      <c r="EKB10" s="108"/>
      <c r="EKC10" s="108"/>
      <c r="EKD10" s="108"/>
      <c r="EKE10" s="108"/>
      <c r="EKF10" s="108"/>
      <c r="EKG10" s="108"/>
      <c r="EKH10" s="108"/>
      <c r="EKI10" s="108"/>
      <c r="EKJ10" s="108"/>
      <c r="EKK10" s="108"/>
      <c r="EKL10" s="108"/>
      <c r="EKM10" s="108"/>
      <c r="EKN10" s="108"/>
      <c r="EKO10" s="108"/>
      <c r="EKP10" s="108"/>
      <c r="EKQ10" s="108"/>
      <c r="EKR10" s="108"/>
      <c r="EKS10" s="108"/>
      <c r="EKT10" s="108"/>
      <c r="EKU10" s="108"/>
      <c r="EKV10" s="108"/>
      <c r="EKW10" s="108"/>
      <c r="EKX10" s="108"/>
      <c r="EKY10" s="108"/>
      <c r="EKZ10" s="108"/>
      <c r="ELA10" s="108"/>
      <c r="ELB10" s="108"/>
      <c r="ELC10" s="108"/>
      <c r="ELD10" s="108"/>
      <c r="ELE10" s="108"/>
      <c r="ELF10" s="108"/>
      <c r="ELG10" s="108"/>
      <c r="ELH10" s="108"/>
      <c r="ELI10" s="108"/>
      <c r="ELJ10" s="108"/>
      <c r="ELK10" s="108"/>
      <c r="ELL10" s="108"/>
      <c r="ELM10" s="108"/>
      <c r="ELN10" s="108"/>
      <c r="ELO10" s="108"/>
      <c r="ELP10" s="108"/>
      <c r="ELQ10" s="108"/>
      <c r="ELR10" s="108"/>
      <c r="ELS10" s="108"/>
      <c r="ELT10" s="108"/>
      <c r="ELU10" s="108"/>
      <c r="ELV10" s="108"/>
      <c r="ELW10" s="108"/>
      <c r="ELX10" s="108"/>
      <c r="ELY10" s="108"/>
      <c r="ELZ10" s="108"/>
      <c r="EMA10" s="108"/>
      <c r="EMB10" s="108"/>
      <c r="EMC10" s="108"/>
      <c r="EMD10" s="108"/>
      <c r="EME10" s="108"/>
      <c r="EMF10" s="108"/>
      <c r="EMG10" s="108"/>
      <c r="EMH10" s="108"/>
      <c r="EMI10" s="108"/>
      <c r="EMJ10" s="108"/>
      <c r="EMK10" s="108"/>
      <c r="EML10" s="108"/>
      <c r="EMM10" s="108"/>
      <c r="EMN10" s="108"/>
      <c r="EMO10" s="108"/>
      <c r="EMP10" s="108"/>
      <c r="EMQ10" s="108"/>
      <c r="EMR10" s="108"/>
      <c r="EMS10" s="108"/>
      <c r="EMT10" s="108"/>
      <c r="EMU10" s="108"/>
      <c r="EMV10" s="108"/>
      <c r="EMW10" s="108"/>
      <c r="EMX10" s="108"/>
      <c r="EMY10" s="108"/>
      <c r="EMZ10" s="108"/>
      <c r="ENA10" s="108"/>
      <c r="ENB10" s="108"/>
      <c r="ENC10" s="108"/>
      <c r="END10" s="108"/>
      <c r="ENE10" s="108"/>
      <c r="ENF10" s="108"/>
      <c r="ENG10" s="108"/>
      <c r="ENH10" s="108"/>
      <c r="ENI10" s="108"/>
      <c r="ENJ10" s="108"/>
      <c r="ENK10" s="108"/>
      <c r="ENL10" s="108"/>
      <c r="ENM10" s="108"/>
      <c r="ENN10" s="108"/>
      <c r="ENO10" s="108"/>
      <c r="ENP10" s="108"/>
      <c r="ENQ10" s="108"/>
      <c r="ENR10" s="108"/>
      <c r="ENS10" s="108"/>
      <c r="ENT10" s="108"/>
      <c r="ENU10" s="108"/>
      <c r="ENV10" s="108"/>
      <c r="ENW10" s="108"/>
      <c r="ENX10" s="108"/>
      <c r="ENY10" s="108"/>
      <c r="ENZ10" s="108"/>
      <c r="EOA10" s="108"/>
      <c r="EOB10" s="108"/>
      <c r="EOC10" s="108"/>
      <c r="EOD10" s="108"/>
      <c r="EOE10" s="108"/>
      <c r="EOF10" s="108"/>
      <c r="EOG10" s="108"/>
      <c r="EOH10" s="108"/>
      <c r="EOI10" s="108"/>
      <c r="EOJ10" s="108"/>
      <c r="EOK10" s="108"/>
      <c r="EOL10" s="108"/>
      <c r="EOM10" s="108"/>
      <c r="EON10" s="108"/>
      <c r="EOO10" s="108"/>
      <c r="EOP10" s="108"/>
      <c r="EOQ10" s="108"/>
      <c r="EOR10" s="108"/>
      <c r="EOS10" s="108"/>
      <c r="EOT10" s="108"/>
      <c r="EOU10" s="108"/>
      <c r="EOV10" s="108"/>
      <c r="EOW10" s="108"/>
      <c r="EOX10" s="108"/>
      <c r="EOY10" s="108"/>
      <c r="EOZ10" s="108"/>
      <c r="EPA10" s="108"/>
      <c r="EPB10" s="108"/>
      <c r="EPC10" s="108"/>
      <c r="EPD10" s="108"/>
      <c r="EPE10" s="108"/>
      <c r="EPF10" s="108"/>
      <c r="EPG10" s="108"/>
      <c r="EPH10" s="108"/>
      <c r="EPI10" s="108"/>
      <c r="EPJ10" s="108"/>
      <c r="EPK10" s="108"/>
      <c r="EPL10" s="108"/>
      <c r="EPM10" s="108"/>
      <c r="EPN10" s="108"/>
      <c r="EPO10" s="108"/>
      <c r="EPP10" s="108"/>
      <c r="EPQ10" s="108"/>
      <c r="EPR10" s="108"/>
      <c r="EPS10" s="108"/>
      <c r="EPT10" s="108"/>
      <c r="EPU10" s="108"/>
      <c r="EPV10" s="108"/>
      <c r="EPW10" s="108"/>
      <c r="EPX10" s="108"/>
      <c r="EPY10" s="108"/>
      <c r="EPZ10" s="108"/>
      <c r="EQA10" s="108"/>
      <c r="EQB10" s="108"/>
      <c r="EQC10" s="108"/>
      <c r="EQD10" s="108"/>
      <c r="EQE10" s="108"/>
      <c r="EQF10" s="108"/>
      <c r="EQG10" s="108"/>
      <c r="EQH10" s="108"/>
      <c r="EQI10" s="108"/>
      <c r="EQJ10" s="108"/>
      <c r="EQK10" s="108"/>
      <c r="EQL10" s="108"/>
      <c r="EQM10" s="108"/>
      <c r="EQN10" s="108"/>
      <c r="EQO10" s="108"/>
      <c r="EQP10" s="108"/>
      <c r="EQQ10" s="108"/>
      <c r="EQR10" s="108"/>
      <c r="EQS10" s="108"/>
      <c r="EQT10" s="108"/>
      <c r="EQU10" s="108"/>
      <c r="EQV10" s="108"/>
      <c r="EQW10" s="108"/>
      <c r="EQX10" s="108"/>
      <c r="EQY10" s="108"/>
      <c r="EQZ10" s="108"/>
      <c r="ERA10" s="108"/>
      <c r="ERB10" s="108"/>
      <c r="ERC10" s="108"/>
      <c r="ERD10" s="108"/>
      <c r="ERE10" s="108"/>
      <c r="ERF10" s="108"/>
      <c r="ERG10" s="108"/>
      <c r="ERH10" s="108"/>
      <c r="ERI10" s="108"/>
      <c r="ERJ10" s="108"/>
      <c r="ERK10" s="108"/>
      <c r="ERL10" s="108"/>
      <c r="ERM10" s="108"/>
      <c r="ERN10" s="108"/>
      <c r="ERO10" s="108"/>
      <c r="ERP10" s="108"/>
      <c r="ERQ10" s="108"/>
      <c r="ERR10" s="108"/>
      <c r="ERS10" s="108"/>
      <c r="ERT10" s="108"/>
      <c r="ERU10" s="108"/>
      <c r="ERV10" s="108"/>
      <c r="ERW10" s="108"/>
      <c r="ERX10" s="108"/>
      <c r="ERY10" s="108"/>
      <c r="ERZ10" s="108"/>
      <c r="ESA10" s="108"/>
      <c r="ESB10" s="108"/>
      <c r="ESC10" s="108"/>
      <c r="ESD10" s="108"/>
      <c r="ESE10" s="108"/>
      <c r="ESF10" s="108"/>
      <c r="ESG10" s="108"/>
      <c r="ESH10" s="108"/>
      <c r="ESI10" s="108"/>
      <c r="ESJ10" s="108"/>
      <c r="ESK10" s="108"/>
      <c r="ESL10" s="108"/>
      <c r="ESM10" s="108"/>
      <c r="ESN10" s="108"/>
      <c r="ESO10" s="108"/>
      <c r="ESP10" s="108"/>
      <c r="ESQ10" s="108"/>
      <c r="ESR10" s="108"/>
      <c r="ESS10" s="108"/>
      <c r="EST10" s="108"/>
      <c r="ESU10" s="108"/>
      <c r="ESV10" s="108"/>
      <c r="ESW10" s="108"/>
      <c r="ESX10" s="108"/>
      <c r="ESY10" s="108"/>
      <c r="ESZ10" s="108"/>
      <c r="ETA10" s="108"/>
      <c r="ETB10" s="108"/>
      <c r="ETC10" s="108"/>
      <c r="ETD10" s="108"/>
      <c r="ETE10" s="108"/>
      <c r="ETF10" s="108"/>
      <c r="ETG10" s="108"/>
      <c r="ETH10" s="108"/>
      <c r="ETI10" s="108"/>
      <c r="ETJ10" s="108"/>
      <c r="ETK10" s="108"/>
      <c r="ETL10" s="108"/>
      <c r="ETM10" s="108"/>
      <c r="ETN10" s="108"/>
      <c r="ETO10" s="108"/>
      <c r="ETP10" s="108"/>
      <c r="ETQ10" s="108"/>
      <c r="ETR10" s="108"/>
      <c r="ETS10" s="108"/>
      <c r="ETT10" s="108"/>
      <c r="ETU10" s="108"/>
      <c r="ETV10" s="108"/>
      <c r="ETW10" s="108"/>
      <c r="ETX10" s="108"/>
      <c r="ETY10" s="108"/>
      <c r="ETZ10" s="108"/>
      <c r="EUA10" s="108"/>
      <c r="EUB10" s="108"/>
      <c r="EUC10" s="108"/>
      <c r="EUD10" s="108"/>
      <c r="EUE10" s="108"/>
      <c r="EUF10" s="108"/>
      <c r="EUG10" s="108"/>
      <c r="EUH10" s="108"/>
      <c r="EUI10" s="108"/>
      <c r="EUJ10" s="108"/>
      <c r="EUK10" s="108"/>
      <c r="EUL10" s="108"/>
      <c r="EUM10" s="108"/>
      <c r="EUN10" s="108"/>
      <c r="EUO10" s="108"/>
      <c r="EUP10" s="108"/>
      <c r="EUQ10" s="108"/>
      <c r="EUR10" s="108"/>
      <c r="EUS10" s="108"/>
      <c r="EUT10" s="108"/>
      <c r="EUU10" s="108"/>
      <c r="EUV10" s="108"/>
      <c r="EUW10" s="108"/>
      <c r="EUX10" s="108"/>
      <c r="EUY10" s="108"/>
      <c r="EUZ10" s="108"/>
      <c r="EVA10" s="108"/>
      <c r="EVB10" s="108"/>
      <c r="EVC10" s="108"/>
      <c r="EVD10" s="108"/>
      <c r="EVE10" s="108"/>
      <c r="EVF10" s="108"/>
      <c r="EVG10" s="108"/>
      <c r="EVH10" s="108"/>
      <c r="EVI10" s="108"/>
      <c r="EVJ10" s="108"/>
      <c r="EVK10" s="108"/>
      <c r="EVL10" s="108"/>
      <c r="EVM10" s="108"/>
      <c r="EVN10" s="108"/>
      <c r="EVO10" s="108"/>
      <c r="EVP10" s="108"/>
      <c r="EVQ10" s="108"/>
      <c r="EVR10" s="108"/>
      <c r="EVS10" s="108"/>
      <c r="EVT10" s="108"/>
      <c r="EVU10" s="108"/>
      <c r="EVV10" s="108"/>
      <c r="EVW10" s="108"/>
      <c r="EVX10" s="108"/>
      <c r="EVY10" s="108"/>
      <c r="EVZ10" s="108"/>
      <c r="EWA10" s="108"/>
      <c r="EWB10" s="108"/>
      <c r="EWC10" s="108"/>
      <c r="EWD10" s="108"/>
      <c r="EWE10" s="108"/>
      <c r="EWF10" s="108"/>
      <c r="EWG10" s="108"/>
      <c r="EWH10" s="108"/>
      <c r="EWI10" s="108"/>
      <c r="EWJ10" s="108"/>
      <c r="EWK10" s="108"/>
      <c r="EWL10" s="108"/>
      <c r="EWM10" s="108"/>
      <c r="EWN10" s="108"/>
      <c r="EWO10" s="108"/>
      <c r="EWP10" s="108"/>
      <c r="EWQ10" s="108"/>
      <c r="EWR10" s="108"/>
      <c r="EWS10" s="108"/>
      <c r="EWT10" s="108"/>
      <c r="EWU10" s="108"/>
      <c r="EWV10" s="108"/>
      <c r="EWW10" s="108"/>
      <c r="EWX10" s="108"/>
      <c r="EWY10" s="108"/>
      <c r="EWZ10" s="108"/>
      <c r="EXA10" s="108"/>
      <c r="EXB10" s="108"/>
      <c r="EXC10" s="108"/>
      <c r="EXD10" s="108"/>
      <c r="EXE10" s="108"/>
      <c r="EXF10" s="108"/>
      <c r="EXG10" s="108"/>
      <c r="EXH10" s="108"/>
      <c r="EXI10" s="108"/>
      <c r="EXJ10" s="108"/>
      <c r="EXK10" s="108"/>
      <c r="EXL10" s="108"/>
      <c r="EXM10" s="108"/>
      <c r="EXN10" s="108"/>
      <c r="EXO10" s="108"/>
      <c r="EXP10" s="108"/>
      <c r="EXQ10" s="108"/>
      <c r="EXR10" s="108"/>
      <c r="EXS10" s="108"/>
      <c r="EXT10" s="108"/>
      <c r="EXU10" s="108"/>
      <c r="EXV10" s="108"/>
      <c r="EXW10" s="108"/>
      <c r="EXX10" s="108"/>
      <c r="EXY10" s="108"/>
      <c r="EXZ10" s="108"/>
      <c r="EYA10" s="108"/>
      <c r="EYB10" s="108"/>
      <c r="EYC10" s="108"/>
      <c r="EYD10" s="108"/>
      <c r="EYE10" s="108"/>
      <c r="EYF10" s="108"/>
      <c r="EYG10" s="108"/>
      <c r="EYH10" s="108"/>
      <c r="EYI10" s="108"/>
      <c r="EYJ10" s="108"/>
      <c r="EYK10" s="108"/>
      <c r="EYL10" s="108"/>
      <c r="EYM10" s="108"/>
      <c r="EYN10" s="108"/>
      <c r="EYO10" s="108"/>
      <c r="EYP10" s="108"/>
      <c r="EYQ10" s="108"/>
      <c r="EYR10" s="108"/>
      <c r="EYS10" s="108"/>
      <c r="EYT10" s="108"/>
      <c r="EYU10" s="108"/>
      <c r="EYV10" s="108"/>
      <c r="EYW10" s="108"/>
      <c r="EYX10" s="108"/>
      <c r="EYY10" s="108"/>
      <c r="EYZ10" s="108"/>
      <c r="EZA10" s="108"/>
      <c r="EZB10" s="108"/>
      <c r="EZC10" s="108"/>
      <c r="EZD10" s="108"/>
      <c r="EZE10" s="108"/>
      <c r="EZF10" s="108"/>
      <c r="EZG10" s="108"/>
      <c r="EZH10" s="108"/>
      <c r="EZI10" s="108"/>
      <c r="EZJ10" s="108"/>
      <c r="EZK10" s="108"/>
      <c r="EZL10" s="108"/>
      <c r="EZM10" s="108"/>
      <c r="EZN10" s="108"/>
      <c r="EZO10" s="108"/>
      <c r="EZP10" s="108"/>
      <c r="EZQ10" s="108"/>
      <c r="EZR10" s="108"/>
      <c r="EZS10" s="108"/>
      <c r="EZT10" s="108"/>
      <c r="EZU10" s="108"/>
      <c r="EZV10" s="108"/>
      <c r="EZW10" s="108"/>
      <c r="EZX10" s="108"/>
      <c r="EZY10" s="108"/>
      <c r="EZZ10" s="108"/>
      <c r="FAA10" s="108"/>
      <c r="FAB10" s="108"/>
      <c r="FAC10" s="108"/>
      <c r="FAD10" s="108"/>
      <c r="FAE10" s="108"/>
      <c r="FAF10" s="108"/>
      <c r="FAG10" s="108"/>
      <c r="FAH10" s="108"/>
      <c r="FAI10" s="108"/>
      <c r="FAJ10" s="108"/>
      <c r="FAK10" s="108"/>
      <c r="FAL10" s="108"/>
      <c r="FAM10" s="108"/>
      <c r="FAN10" s="108"/>
      <c r="FAO10" s="108"/>
      <c r="FAP10" s="108"/>
      <c r="FAQ10" s="108"/>
      <c r="FAR10" s="108"/>
      <c r="FAS10" s="108"/>
      <c r="FAT10" s="108"/>
      <c r="FAU10" s="108"/>
      <c r="FAV10" s="108"/>
      <c r="FAW10" s="108"/>
      <c r="FAX10" s="108"/>
      <c r="FAY10" s="108"/>
      <c r="FAZ10" s="108"/>
      <c r="FBA10" s="108"/>
      <c r="FBB10" s="108"/>
      <c r="FBC10" s="108"/>
      <c r="FBD10" s="108"/>
      <c r="FBE10" s="108"/>
      <c r="FBF10" s="108"/>
      <c r="FBG10" s="108"/>
      <c r="FBH10" s="108"/>
      <c r="FBI10" s="108"/>
      <c r="FBJ10" s="108"/>
      <c r="FBK10" s="108"/>
      <c r="FBL10" s="108"/>
      <c r="FBM10" s="108"/>
      <c r="FBN10" s="108"/>
      <c r="FBO10" s="108"/>
      <c r="FBP10" s="108"/>
      <c r="FBQ10" s="108"/>
      <c r="FBR10" s="108"/>
      <c r="FBS10" s="108"/>
      <c r="FBT10" s="108"/>
      <c r="FBU10" s="108"/>
      <c r="FBV10" s="108"/>
      <c r="FBW10" s="108"/>
      <c r="FBX10" s="108"/>
      <c r="FBY10" s="108"/>
      <c r="FBZ10" s="108"/>
      <c r="FCA10" s="108"/>
      <c r="FCB10" s="108"/>
      <c r="FCC10" s="108"/>
      <c r="FCD10" s="108"/>
      <c r="FCE10" s="108"/>
      <c r="FCF10" s="108"/>
      <c r="FCG10" s="108"/>
      <c r="FCH10" s="108"/>
      <c r="FCI10" s="108"/>
      <c r="FCJ10" s="108"/>
      <c r="FCK10" s="108"/>
      <c r="FCL10" s="108"/>
      <c r="FCM10" s="108"/>
      <c r="FCN10" s="108"/>
      <c r="FCO10" s="108"/>
      <c r="FCP10" s="108"/>
      <c r="FCQ10" s="108"/>
      <c r="FCR10" s="108"/>
      <c r="FCS10" s="108"/>
      <c r="FCT10" s="108"/>
      <c r="FCU10" s="108"/>
      <c r="FCV10" s="108"/>
      <c r="FCW10" s="108"/>
      <c r="FCX10" s="108"/>
      <c r="FCY10" s="108"/>
      <c r="FCZ10" s="108"/>
      <c r="FDA10" s="108"/>
      <c r="FDB10" s="108"/>
      <c r="FDC10" s="108"/>
      <c r="FDD10" s="108"/>
      <c r="FDE10" s="108"/>
      <c r="FDF10" s="108"/>
      <c r="FDG10" s="108"/>
      <c r="FDH10" s="108"/>
      <c r="FDI10" s="108"/>
      <c r="FDJ10" s="108"/>
      <c r="FDK10" s="108"/>
      <c r="FDL10" s="108"/>
      <c r="FDM10" s="108"/>
      <c r="FDN10" s="108"/>
      <c r="FDO10" s="108"/>
      <c r="FDP10" s="108"/>
      <c r="FDQ10" s="108"/>
      <c r="FDR10" s="108"/>
      <c r="FDS10" s="108"/>
      <c r="FDT10" s="108"/>
      <c r="FDU10" s="108"/>
      <c r="FDV10" s="108"/>
      <c r="FDW10" s="108"/>
      <c r="FDX10" s="108"/>
      <c r="FDY10" s="108"/>
      <c r="FDZ10" s="108"/>
      <c r="FEA10" s="108"/>
      <c r="FEB10" s="108"/>
      <c r="FEC10" s="108"/>
      <c r="FED10" s="108"/>
      <c r="FEE10" s="108"/>
      <c r="FEF10" s="108"/>
      <c r="FEG10" s="108"/>
      <c r="FEH10" s="108"/>
      <c r="FEI10" s="108"/>
      <c r="FEJ10" s="108"/>
      <c r="FEK10" s="108"/>
      <c r="FEL10" s="108"/>
      <c r="FEM10" s="108"/>
      <c r="FEN10" s="108"/>
      <c r="FEO10" s="108"/>
      <c r="FEP10" s="108"/>
      <c r="FEQ10" s="108"/>
      <c r="FER10" s="108"/>
      <c r="FES10" s="108"/>
      <c r="FET10" s="108"/>
      <c r="FEU10" s="108"/>
      <c r="FEV10" s="108"/>
      <c r="FEW10" s="108"/>
      <c r="FEX10" s="108"/>
      <c r="FEY10" s="108"/>
      <c r="FEZ10" s="108"/>
      <c r="FFA10" s="108"/>
      <c r="FFB10" s="108"/>
      <c r="FFC10" s="108"/>
      <c r="FFD10" s="108"/>
      <c r="FFE10" s="108"/>
      <c r="FFF10" s="108"/>
      <c r="FFG10" s="108"/>
      <c r="FFH10" s="108"/>
      <c r="FFI10" s="108"/>
      <c r="FFJ10" s="108"/>
      <c r="FFK10" s="108"/>
      <c r="FFL10" s="108"/>
      <c r="FFM10" s="108"/>
      <c r="FFN10" s="108"/>
      <c r="FFO10" s="108"/>
      <c r="FFP10" s="108"/>
      <c r="FFQ10" s="108"/>
      <c r="FFR10" s="108"/>
      <c r="FFS10" s="108"/>
      <c r="FFT10" s="108"/>
      <c r="FFU10" s="108"/>
      <c r="FFV10" s="108"/>
      <c r="FFW10" s="108"/>
      <c r="FFX10" s="108"/>
      <c r="FFY10" s="108"/>
      <c r="FFZ10" s="108"/>
      <c r="FGA10" s="108"/>
      <c r="FGB10" s="108"/>
      <c r="FGC10" s="108"/>
      <c r="FGD10" s="108"/>
      <c r="FGE10" s="108"/>
      <c r="FGF10" s="108"/>
      <c r="FGG10" s="108"/>
      <c r="FGH10" s="108"/>
      <c r="FGI10" s="108"/>
      <c r="FGJ10" s="108"/>
      <c r="FGK10" s="108"/>
      <c r="FGL10" s="108"/>
      <c r="FGM10" s="108"/>
      <c r="FGN10" s="108"/>
      <c r="FGO10" s="108"/>
      <c r="FGP10" s="108"/>
      <c r="FGQ10" s="108"/>
      <c r="FGR10" s="108"/>
      <c r="FGS10" s="108"/>
      <c r="FGT10" s="108"/>
      <c r="FGU10" s="108"/>
      <c r="FGV10" s="108"/>
      <c r="FGW10" s="108"/>
      <c r="FGX10" s="108"/>
      <c r="FGY10" s="108"/>
      <c r="FGZ10" s="108"/>
      <c r="FHA10" s="108"/>
      <c r="FHB10" s="108"/>
      <c r="FHC10" s="108"/>
      <c r="FHD10" s="108"/>
      <c r="FHE10" s="108"/>
      <c r="FHF10" s="108"/>
      <c r="FHG10" s="108"/>
      <c r="FHH10" s="108"/>
      <c r="FHI10" s="108"/>
      <c r="FHJ10" s="108"/>
      <c r="FHK10" s="108"/>
      <c r="FHL10" s="108"/>
      <c r="FHM10" s="108"/>
      <c r="FHN10" s="108"/>
      <c r="FHO10" s="108"/>
      <c r="FHP10" s="108"/>
      <c r="FHQ10" s="108"/>
      <c r="FHR10" s="108"/>
      <c r="FHS10" s="108"/>
      <c r="FHT10" s="108"/>
      <c r="FHU10" s="108"/>
      <c r="FHV10" s="108"/>
      <c r="FHW10" s="108"/>
      <c r="FHX10" s="108"/>
      <c r="FHY10" s="108"/>
      <c r="FHZ10" s="108"/>
      <c r="FIA10" s="108"/>
      <c r="FIB10" s="108"/>
      <c r="FIC10" s="108"/>
      <c r="FID10" s="108"/>
      <c r="FIE10" s="108"/>
      <c r="FIF10" s="108"/>
      <c r="FIG10" s="108"/>
      <c r="FIH10" s="108"/>
      <c r="FII10" s="108"/>
      <c r="FIJ10" s="108"/>
      <c r="FIK10" s="108"/>
      <c r="FIL10" s="108"/>
      <c r="FIM10" s="108"/>
      <c r="FIN10" s="108"/>
      <c r="FIO10" s="108"/>
      <c r="FIP10" s="108"/>
      <c r="FIQ10" s="108"/>
      <c r="FIR10" s="108"/>
      <c r="FIS10" s="108"/>
      <c r="FIT10" s="108"/>
      <c r="FIU10" s="108"/>
      <c r="FIV10" s="108"/>
      <c r="FIW10" s="108"/>
      <c r="FIX10" s="108"/>
      <c r="FIY10" s="108"/>
      <c r="FIZ10" s="108"/>
      <c r="FJA10" s="108"/>
      <c r="FJB10" s="108"/>
      <c r="FJC10" s="108"/>
      <c r="FJD10" s="108"/>
      <c r="FJE10" s="108"/>
      <c r="FJF10" s="108"/>
      <c r="FJG10" s="108"/>
      <c r="FJH10" s="108"/>
      <c r="FJI10" s="108"/>
      <c r="FJJ10" s="108"/>
      <c r="FJK10" s="108"/>
      <c r="FJL10" s="108"/>
      <c r="FJM10" s="108"/>
      <c r="FJN10" s="108"/>
      <c r="FJO10" s="108"/>
      <c r="FJP10" s="108"/>
      <c r="FJQ10" s="108"/>
      <c r="FJR10" s="108"/>
      <c r="FJS10" s="108"/>
      <c r="FJT10" s="108"/>
      <c r="FJU10" s="108"/>
      <c r="FJV10" s="108"/>
      <c r="FJW10" s="108"/>
      <c r="FJX10" s="108"/>
      <c r="FJY10" s="108"/>
      <c r="FJZ10" s="108"/>
      <c r="FKA10" s="108"/>
      <c r="FKB10" s="108"/>
      <c r="FKC10" s="108"/>
      <c r="FKD10" s="108"/>
      <c r="FKE10" s="108"/>
      <c r="FKF10" s="108"/>
      <c r="FKG10" s="108"/>
      <c r="FKH10" s="108"/>
      <c r="FKI10" s="108"/>
      <c r="FKJ10" s="108"/>
      <c r="FKK10" s="108"/>
      <c r="FKL10" s="108"/>
      <c r="FKM10" s="108"/>
      <c r="FKN10" s="108"/>
      <c r="FKO10" s="108"/>
      <c r="FKP10" s="108"/>
      <c r="FKQ10" s="108"/>
      <c r="FKR10" s="108"/>
      <c r="FKS10" s="108"/>
      <c r="FKT10" s="108"/>
      <c r="FKU10" s="108"/>
      <c r="FKV10" s="108"/>
      <c r="FKW10" s="108"/>
      <c r="FKX10" s="108"/>
      <c r="FKY10" s="108"/>
      <c r="FKZ10" s="108"/>
      <c r="FLA10" s="108"/>
      <c r="FLB10" s="108"/>
      <c r="FLC10" s="108"/>
      <c r="FLD10" s="108"/>
      <c r="FLE10" s="108"/>
      <c r="FLF10" s="108"/>
      <c r="FLG10" s="108"/>
      <c r="FLH10" s="108"/>
      <c r="FLI10" s="108"/>
      <c r="FLJ10" s="108"/>
      <c r="FLK10" s="108"/>
      <c r="FLL10" s="108"/>
      <c r="FLM10" s="108"/>
      <c r="FLN10" s="108"/>
      <c r="FLO10" s="108"/>
      <c r="FLP10" s="108"/>
      <c r="FLQ10" s="108"/>
      <c r="FLR10" s="108"/>
      <c r="FLS10" s="108"/>
      <c r="FLT10" s="108"/>
      <c r="FLU10" s="108"/>
      <c r="FLV10" s="108"/>
      <c r="FLW10" s="108"/>
      <c r="FLX10" s="108"/>
      <c r="FLY10" s="108"/>
      <c r="FLZ10" s="108"/>
      <c r="FMA10" s="108"/>
      <c r="FMB10" s="108"/>
      <c r="FMC10" s="108"/>
      <c r="FMD10" s="108"/>
      <c r="FME10" s="108"/>
      <c r="FMF10" s="108"/>
      <c r="FMG10" s="108"/>
      <c r="FMH10" s="108"/>
      <c r="FMI10" s="108"/>
      <c r="FMJ10" s="108"/>
      <c r="FMK10" s="108"/>
      <c r="FML10" s="108"/>
      <c r="FMM10" s="108"/>
      <c r="FMN10" s="108"/>
      <c r="FMO10" s="108"/>
      <c r="FMP10" s="108"/>
      <c r="FMQ10" s="108"/>
      <c r="FMR10" s="108"/>
      <c r="FMS10" s="108"/>
      <c r="FMT10" s="108"/>
      <c r="FMU10" s="108"/>
      <c r="FMV10" s="108"/>
      <c r="FMW10" s="108"/>
      <c r="FMX10" s="108"/>
      <c r="FMY10" s="108"/>
      <c r="FMZ10" s="108"/>
      <c r="FNA10" s="108"/>
      <c r="FNB10" s="108"/>
      <c r="FNC10" s="108"/>
      <c r="FND10" s="108"/>
      <c r="FNE10" s="108"/>
      <c r="FNF10" s="108"/>
      <c r="FNG10" s="108"/>
      <c r="FNH10" s="108"/>
      <c r="FNI10" s="108"/>
      <c r="FNJ10" s="108"/>
      <c r="FNK10" s="108"/>
      <c r="FNL10" s="108"/>
      <c r="FNM10" s="108"/>
      <c r="FNN10" s="108"/>
      <c r="FNO10" s="108"/>
      <c r="FNP10" s="108"/>
      <c r="FNQ10" s="108"/>
      <c r="FNR10" s="108"/>
      <c r="FNS10" s="108"/>
      <c r="FNT10" s="108"/>
      <c r="FNU10" s="108"/>
      <c r="FNV10" s="108"/>
      <c r="FNW10" s="108"/>
      <c r="FNX10" s="108"/>
      <c r="FNY10" s="108"/>
      <c r="FNZ10" s="108"/>
      <c r="FOA10" s="108"/>
      <c r="FOB10" s="108"/>
      <c r="FOC10" s="108"/>
      <c r="FOD10" s="108"/>
      <c r="FOE10" s="108"/>
      <c r="FOF10" s="108"/>
      <c r="FOG10" s="108"/>
      <c r="FOH10" s="108"/>
      <c r="FOI10" s="108"/>
      <c r="FOJ10" s="108"/>
      <c r="FOK10" s="108"/>
      <c r="FOL10" s="108"/>
      <c r="FOM10" s="108"/>
      <c r="FON10" s="108"/>
      <c r="FOO10" s="108"/>
      <c r="FOP10" s="108"/>
      <c r="FOQ10" s="108"/>
      <c r="FOR10" s="108"/>
      <c r="FOS10" s="108"/>
      <c r="FOT10" s="108"/>
      <c r="FOU10" s="108"/>
      <c r="FOV10" s="108"/>
      <c r="FOW10" s="108"/>
      <c r="FOX10" s="108"/>
      <c r="FOY10" s="108"/>
      <c r="FOZ10" s="108"/>
      <c r="FPA10" s="108"/>
      <c r="FPB10" s="108"/>
      <c r="FPC10" s="108"/>
      <c r="FPD10" s="108"/>
      <c r="FPE10" s="108"/>
      <c r="FPF10" s="108"/>
      <c r="FPG10" s="108"/>
      <c r="FPH10" s="108"/>
      <c r="FPI10" s="108"/>
      <c r="FPJ10" s="108"/>
      <c r="FPK10" s="108"/>
      <c r="FPL10" s="108"/>
      <c r="FPM10" s="108"/>
      <c r="FPN10" s="108"/>
      <c r="FPO10" s="108"/>
      <c r="FPP10" s="108"/>
      <c r="FPQ10" s="108"/>
      <c r="FPR10" s="108"/>
      <c r="FPS10" s="108"/>
      <c r="FPT10" s="108"/>
      <c r="FPU10" s="108"/>
      <c r="FPV10" s="108"/>
      <c r="FPW10" s="108"/>
      <c r="FPX10" s="108"/>
      <c r="FPY10" s="108"/>
      <c r="FPZ10" s="108"/>
      <c r="FQA10" s="108"/>
      <c r="FQB10" s="108"/>
      <c r="FQC10" s="108"/>
      <c r="FQD10" s="108"/>
      <c r="FQE10" s="108"/>
      <c r="FQF10" s="108"/>
      <c r="FQG10" s="108"/>
      <c r="FQH10" s="108"/>
      <c r="FQI10" s="108"/>
      <c r="FQJ10" s="108"/>
      <c r="FQK10" s="108"/>
      <c r="FQL10" s="108"/>
      <c r="FQM10" s="108"/>
      <c r="FQN10" s="108"/>
      <c r="FQO10" s="108"/>
      <c r="FQP10" s="108"/>
      <c r="FQQ10" s="108"/>
      <c r="FQR10" s="108"/>
      <c r="FQS10" s="108"/>
      <c r="FQT10" s="108"/>
      <c r="FQU10" s="108"/>
      <c r="FQV10" s="108"/>
      <c r="FQW10" s="108"/>
      <c r="FQX10" s="108"/>
      <c r="FQY10" s="108"/>
      <c r="FQZ10" s="108"/>
      <c r="FRA10" s="108"/>
      <c r="FRB10" s="108"/>
      <c r="FRC10" s="108"/>
      <c r="FRD10" s="108"/>
      <c r="FRE10" s="108"/>
      <c r="FRF10" s="108"/>
      <c r="FRG10" s="108"/>
      <c r="FRH10" s="108"/>
      <c r="FRI10" s="108"/>
      <c r="FRJ10" s="108"/>
      <c r="FRK10" s="108"/>
      <c r="FRL10" s="108"/>
      <c r="FRM10" s="108"/>
      <c r="FRN10" s="108"/>
      <c r="FRO10" s="108"/>
      <c r="FRP10" s="108"/>
      <c r="FRQ10" s="108"/>
      <c r="FRR10" s="108"/>
      <c r="FRS10" s="108"/>
      <c r="FRT10" s="108"/>
      <c r="FRU10" s="108"/>
      <c r="FRV10" s="108"/>
      <c r="FRW10" s="108"/>
      <c r="FRX10" s="108"/>
      <c r="FRY10" s="108"/>
      <c r="FRZ10" s="108"/>
      <c r="FSA10" s="108"/>
      <c r="FSB10" s="108"/>
      <c r="FSC10" s="108"/>
      <c r="FSD10" s="108"/>
      <c r="FSE10" s="108"/>
      <c r="FSF10" s="108"/>
      <c r="FSG10" s="108"/>
      <c r="FSH10" s="108"/>
      <c r="FSI10" s="108"/>
      <c r="FSJ10" s="108"/>
      <c r="FSK10" s="108"/>
      <c r="FSL10" s="108"/>
      <c r="FSM10" s="108"/>
      <c r="FSN10" s="108"/>
      <c r="FSO10" s="108"/>
      <c r="FSP10" s="108"/>
      <c r="FSQ10" s="108"/>
      <c r="FSR10" s="108"/>
      <c r="FSS10" s="108"/>
      <c r="FST10" s="108"/>
      <c r="FSU10" s="108"/>
      <c r="FSV10" s="108"/>
      <c r="FSW10" s="108"/>
      <c r="FSX10" s="108"/>
      <c r="FSY10" s="108"/>
      <c r="FSZ10" s="108"/>
      <c r="FTA10" s="108"/>
      <c r="FTB10" s="108"/>
      <c r="FTC10" s="108"/>
      <c r="FTD10" s="108"/>
      <c r="FTE10" s="108"/>
      <c r="FTF10" s="108"/>
      <c r="FTG10" s="108"/>
      <c r="FTH10" s="108"/>
      <c r="FTI10" s="108"/>
      <c r="FTJ10" s="108"/>
      <c r="FTK10" s="108"/>
      <c r="FTL10" s="108"/>
      <c r="FTM10" s="108"/>
      <c r="FTN10" s="108"/>
      <c r="FTO10" s="108"/>
      <c r="FTP10" s="108"/>
      <c r="FTQ10" s="108"/>
      <c r="FTR10" s="108"/>
      <c r="FTS10" s="108"/>
      <c r="FTT10" s="108"/>
      <c r="FTU10" s="108"/>
      <c r="FTV10" s="108"/>
      <c r="FTW10" s="108"/>
      <c r="FTX10" s="108"/>
      <c r="FTY10" s="108"/>
      <c r="FTZ10" s="108"/>
      <c r="FUA10" s="108"/>
      <c r="FUB10" s="108"/>
      <c r="FUC10" s="108"/>
      <c r="FUD10" s="108"/>
      <c r="FUE10" s="108"/>
      <c r="FUF10" s="108"/>
      <c r="FUG10" s="108"/>
      <c r="FUH10" s="108"/>
      <c r="FUI10" s="108"/>
      <c r="FUJ10" s="108"/>
      <c r="FUK10" s="108"/>
      <c r="FUL10" s="108"/>
      <c r="FUM10" s="108"/>
      <c r="FUN10" s="108"/>
      <c r="FUO10" s="108"/>
      <c r="FUP10" s="108"/>
      <c r="FUQ10" s="108"/>
      <c r="FUR10" s="108"/>
      <c r="FUS10" s="108"/>
      <c r="FUT10" s="108"/>
      <c r="FUU10" s="108"/>
      <c r="FUV10" s="108"/>
      <c r="FUW10" s="108"/>
      <c r="FUX10" s="108"/>
      <c r="FUY10" s="108"/>
      <c r="FUZ10" s="108"/>
      <c r="FVA10" s="108"/>
      <c r="FVB10" s="108"/>
      <c r="FVC10" s="108"/>
      <c r="FVD10" s="108"/>
      <c r="FVE10" s="108"/>
      <c r="FVF10" s="108"/>
      <c r="FVG10" s="108"/>
      <c r="FVH10" s="108"/>
      <c r="FVI10" s="108"/>
      <c r="FVJ10" s="108"/>
      <c r="FVK10" s="108"/>
      <c r="FVL10" s="108"/>
      <c r="FVM10" s="108"/>
      <c r="FVN10" s="108"/>
      <c r="FVO10" s="108"/>
      <c r="FVP10" s="108"/>
      <c r="FVQ10" s="108"/>
      <c r="FVR10" s="108"/>
      <c r="FVS10" s="108"/>
      <c r="FVT10" s="108"/>
      <c r="FVU10" s="108"/>
      <c r="FVV10" s="108"/>
      <c r="FVW10" s="108"/>
      <c r="FVX10" s="108"/>
      <c r="FVY10" s="108"/>
      <c r="FVZ10" s="108"/>
      <c r="FWA10" s="108"/>
      <c r="FWB10" s="108"/>
      <c r="FWC10" s="108"/>
      <c r="FWD10" s="108"/>
      <c r="FWE10" s="108"/>
      <c r="FWF10" s="108"/>
      <c r="FWG10" s="108"/>
      <c r="FWH10" s="108"/>
      <c r="FWI10" s="108"/>
      <c r="FWJ10" s="108"/>
      <c r="FWK10" s="108"/>
      <c r="FWL10" s="108"/>
      <c r="FWM10" s="108"/>
      <c r="FWN10" s="108"/>
      <c r="FWO10" s="108"/>
      <c r="FWP10" s="108"/>
      <c r="FWQ10" s="108"/>
      <c r="FWR10" s="108"/>
      <c r="FWS10" s="108"/>
      <c r="FWT10" s="108"/>
      <c r="FWU10" s="108"/>
      <c r="FWV10" s="108"/>
      <c r="FWW10" s="108"/>
      <c r="FWX10" s="108"/>
      <c r="FWY10" s="108"/>
      <c r="FWZ10" s="108"/>
      <c r="FXA10" s="108"/>
      <c r="FXB10" s="108"/>
      <c r="FXC10" s="108"/>
      <c r="FXD10" s="108"/>
      <c r="FXE10" s="108"/>
      <c r="FXF10" s="108"/>
      <c r="FXG10" s="108"/>
      <c r="FXH10" s="108"/>
      <c r="FXI10" s="108"/>
      <c r="FXJ10" s="108"/>
      <c r="FXK10" s="108"/>
      <c r="FXL10" s="108"/>
      <c r="FXM10" s="108"/>
      <c r="FXN10" s="108"/>
      <c r="FXO10" s="108"/>
      <c r="FXP10" s="108"/>
      <c r="FXQ10" s="108"/>
      <c r="FXR10" s="108"/>
      <c r="FXS10" s="108"/>
      <c r="FXT10" s="108"/>
      <c r="FXU10" s="108"/>
      <c r="FXV10" s="108"/>
      <c r="FXW10" s="108"/>
      <c r="FXX10" s="108"/>
      <c r="FXY10" s="108"/>
      <c r="FXZ10" s="108"/>
      <c r="FYA10" s="108"/>
      <c r="FYB10" s="108"/>
      <c r="FYC10" s="108"/>
      <c r="FYD10" s="108"/>
      <c r="FYE10" s="108"/>
      <c r="FYF10" s="108"/>
      <c r="FYG10" s="108"/>
      <c r="FYH10" s="108"/>
      <c r="FYI10" s="108"/>
      <c r="FYJ10" s="108"/>
      <c r="FYK10" s="108"/>
      <c r="FYL10" s="108"/>
      <c r="FYM10" s="108"/>
      <c r="FYN10" s="108"/>
      <c r="FYO10" s="108"/>
      <c r="FYP10" s="108"/>
      <c r="FYQ10" s="108"/>
      <c r="FYR10" s="108"/>
      <c r="FYS10" s="108"/>
      <c r="FYT10" s="108"/>
      <c r="FYU10" s="108"/>
      <c r="FYV10" s="108"/>
      <c r="FYW10" s="108"/>
      <c r="FYX10" s="108"/>
      <c r="FYY10" s="108"/>
      <c r="FYZ10" s="108"/>
      <c r="FZA10" s="108"/>
      <c r="FZB10" s="108"/>
      <c r="FZC10" s="108"/>
      <c r="FZD10" s="108"/>
      <c r="FZE10" s="108"/>
      <c r="FZF10" s="108"/>
      <c r="FZG10" s="108"/>
      <c r="FZH10" s="108"/>
      <c r="FZI10" s="108"/>
      <c r="FZJ10" s="108"/>
      <c r="FZK10" s="108"/>
      <c r="FZL10" s="108"/>
      <c r="FZM10" s="108"/>
      <c r="FZN10" s="108"/>
      <c r="FZO10" s="108"/>
      <c r="FZP10" s="108"/>
      <c r="FZQ10" s="108"/>
      <c r="FZR10" s="108"/>
      <c r="FZS10" s="108"/>
      <c r="FZT10" s="108"/>
      <c r="FZU10" s="108"/>
      <c r="FZV10" s="108"/>
      <c r="FZW10" s="108"/>
      <c r="FZX10" s="108"/>
      <c r="FZY10" s="108"/>
      <c r="FZZ10" s="108"/>
      <c r="GAA10" s="108"/>
      <c r="GAB10" s="108"/>
      <c r="GAC10" s="108"/>
      <c r="GAD10" s="108"/>
      <c r="GAE10" s="108"/>
      <c r="GAF10" s="108"/>
      <c r="GAG10" s="108"/>
      <c r="GAH10" s="108"/>
      <c r="GAI10" s="108"/>
      <c r="GAJ10" s="108"/>
      <c r="GAK10" s="108"/>
      <c r="GAL10" s="108"/>
      <c r="GAM10" s="108"/>
      <c r="GAN10" s="108"/>
      <c r="GAO10" s="108"/>
      <c r="GAP10" s="108"/>
      <c r="GAQ10" s="108"/>
      <c r="GAR10" s="108"/>
      <c r="GAS10" s="108"/>
      <c r="GAT10" s="108"/>
      <c r="GAU10" s="108"/>
      <c r="GAV10" s="108"/>
      <c r="GAW10" s="108"/>
      <c r="GAX10" s="108"/>
      <c r="GAY10" s="108"/>
      <c r="GAZ10" s="108"/>
      <c r="GBA10" s="108"/>
      <c r="GBB10" s="108"/>
      <c r="GBC10" s="108"/>
      <c r="GBD10" s="108"/>
      <c r="GBE10" s="108"/>
      <c r="GBF10" s="108"/>
      <c r="GBG10" s="108"/>
      <c r="GBH10" s="108"/>
      <c r="GBI10" s="108"/>
      <c r="GBJ10" s="108"/>
      <c r="GBK10" s="108"/>
      <c r="GBL10" s="108"/>
      <c r="GBM10" s="108"/>
      <c r="GBN10" s="108"/>
      <c r="GBO10" s="108"/>
      <c r="GBP10" s="108"/>
      <c r="GBQ10" s="108"/>
      <c r="GBR10" s="108"/>
      <c r="GBS10" s="108"/>
      <c r="GBT10" s="108"/>
      <c r="GBU10" s="108"/>
      <c r="GBV10" s="108"/>
      <c r="GBW10" s="108"/>
      <c r="GBX10" s="108"/>
      <c r="GBY10" s="108"/>
      <c r="GBZ10" s="108"/>
      <c r="GCA10" s="108"/>
      <c r="GCB10" s="108"/>
      <c r="GCC10" s="108"/>
      <c r="GCD10" s="108"/>
      <c r="GCE10" s="108"/>
      <c r="GCF10" s="108"/>
      <c r="GCG10" s="108"/>
      <c r="GCH10" s="108"/>
      <c r="GCI10" s="108"/>
      <c r="GCJ10" s="108"/>
      <c r="GCK10" s="108"/>
      <c r="GCL10" s="108"/>
      <c r="GCM10" s="108"/>
      <c r="GCN10" s="108"/>
      <c r="GCO10" s="108"/>
      <c r="GCP10" s="108"/>
      <c r="GCQ10" s="108"/>
      <c r="GCR10" s="108"/>
      <c r="GCS10" s="108"/>
      <c r="GCT10" s="108"/>
      <c r="GCU10" s="108"/>
      <c r="GCV10" s="108"/>
      <c r="GCW10" s="108"/>
      <c r="GCX10" s="108"/>
      <c r="GCY10" s="108"/>
      <c r="GCZ10" s="108"/>
      <c r="GDA10" s="108"/>
      <c r="GDB10" s="108"/>
      <c r="GDC10" s="108"/>
      <c r="GDD10" s="108"/>
      <c r="GDE10" s="108"/>
      <c r="GDF10" s="108"/>
      <c r="GDG10" s="108"/>
      <c r="GDH10" s="108"/>
      <c r="GDI10" s="108"/>
      <c r="GDJ10" s="108"/>
      <c r="GDK10" s="108"/>
      <c r="GDL10" s="108"/>
      <c r="GDM10" s="108"/>
      <c r="GDN10" s="108"/>
      <c r="GDO10" s="108"/>
      <c r="GDP10" s="108"/>
      <c r="GDQ10" s="108"/>
      <c r="GDR10" s="108"/>
      <c r="GDS10" s="108"/>
      <c r="GDT10" s="108"/>
      <c r="GDU10" s="108"/>
      <c r="GDV10" s="108"/>
      <c r="GDW10" s="108"/>
      <c r="GDX10" s="108"/>
      <c r="GDY10" s="108"/>
      <c r="GDZ10" s="108"/>
      <c r="GEA10" s="108"/>
      <c r="GEB10" s="108"/>
      <c r="GEC10" s="108"/>
      <c r="GED10" s="108"/>
      <c r="GEE10" s="108"/>
      <c r="GEF10" s="108"/>
      <c r="GEG10" s="108"/>
      <c r="GEH10" s="108"/>
      <c r="GEI10" s="108"/>
      <c r="GEJ10" s="108"/>
      <c r="GEK10" s="108"/>
      <c r="GEL10" s="108"/>
      <c r="GEM10" s="108"/>
      <c r="GEN10" s="108"/>
      <c r="GEO10" s="108"/>
      <c r="GEP10" s="108"/>
      <c r="GEQ10" s="108"/>
      <c r="GER10" s="108"/>
      <c r="GES10" s="108"/>
      <c r="GET10" s="108"/>
      <c r="GEU10" s="108"/>
      <c r="GEV10" s="108"/>
      <c r="GEW10" s="108"/>
      <c r="GEX10" s="108"/>
      <c r="GEY10" s="108"/>
      <c r="GEZ10" s="108"/>
      <c r="GFA10" s="108"/>
      <c r="GFB10" s="108"/>
      <c r="GFC10" s="108"/>
      <c r="GFD10" s="108"/>
      <c r="GFE10" s="108"/>
      <c r="GFF10" s="108"/>
      <c r="GFG10" s="108"/>
      <c r="GFH10" s="108"/>
      <c r="GFI10" s="108"/>
      <c r="GFJ10" s="108"/>
      <c r="GFK10" s="108"/>
      <c r="GFL10" s="108"/>
      <c r="GFM10" s="108"/>
      <c r="GFN10" s="108"/>
      <c r="GFO10" s="108"/>
      <c r="GFP10" s="108"/>
      <c r="GFQ10" s="108"/>
      <c r="GFR10" s="108"/>
      <c r="GFS10" s="108"/>
      <c r="GFT10" s="108"/>
      <c r="GFU10" s="108"/>
      <c r="GFV10" s="108"/>
      <c r="GFW10" s="108"/>
      <c r="GFX10" s="108"/>
      <c r="GFY10" s="108"/>
      <c r="GFZ10" s="108"/>
      <c r="GGA10" s="108"/>
      <c r="GGB10" s="108"/>
      <c r="GGC10" s="108"/>
      <c r="GGD10" s="108"/>
      <c r="GGE10" s="108"/>
      <c r="GGF10" s="108"/>
      <c r="GGG10" s="108"/>
      <c r="GGH10" s="108"/>
      <c r="GGI10" s="108"/>
      <c r="GGJ10" s="108"/>
      <c r="GGK10" s="108"/>
      <c r="GGL10" s="108"/>
      <c r="GGM10" s="108"/>
      <c r="GGN10" s="108"/>
      <c r="GGO10" s="108"/>
      <c r="GGP10" s="108"/>
      <c r="GGQ10" s="108"/>
      <c r="GGR10" s="108"/>
      <c r="GGS10" s="108"/>
      <c r="GGT10" s="108"/>
      <c r="GGU10" s="108"/>
      <c r="GGV10" s="108"/>
      <c r="GGW10" s="108"/>
      <c r="GGX10" s="108"/>
      <c r="GGY10" s="108"/>
      <c r="GGZ10" s="108"/>
      <c r="GHA10" s="108"/>
      <c r="GHB10" s="108"/>
      <c r="GHC10" s="108"/>
      <c r="GHD10" s="108"/>
      <c r="GHE10" s="108"/>
      <c r="GHF10" s="108"/>
      <c r="GHG10" s="108"/>
      <c r="GHH10" s="108"/>
      <c r="GHI10" s="108"/>
      <c r="GHJ10" s="108"/>
      <c r="GHK10" s="108"/>
      <c r="GHL10" s="108"/>
      <c r="GHM10" s="108"/>
      <c r="GHN10" s="108"/>
      <c r="GHO10" s="108"/>
      <c r="GHP10" s="108"/>
      <c r="GHQ10" s="108"/>
      <c r="GHR10" s="108"/>
      <c r="GHS10" s="108"/>
      <c r="GHT10" s="108"/>
      <c r="GHU10" s="108"/>
      <c r="GHV10" s="108"/>
      <c r="GHW10" s="108"/>
      <c r="GHX10" s="108"/>
      <c r="GHY10" s="108"/>
      <c r="GHZ10" s="108"/>
      <c r="GIA10" s="108"/>
      <c r="GIB10" s="108"/>
      <c r="GIC10" s="108"/>
      <c r="GID10" s="108"/>
      <c r="GIE10" s="108"/>
      <c r="GIF10" s="108"/>
      <c r="GIG10" s="108"/>
      <c r="GIH10" s="108"/>
      <c r="GII10" s="108"/>
      <c r="GIJ10" s="108"/>
      <c r="GIK10" s="108"/>
      <c r="GIL10" s="108"/>
      <c r="GIM10" s="108"/>
      <c r="GIN10" s="108"/>
      <c r="GIO10" s="108"/>
      <c r="GIP10" s="108"/>
      <c r="GIQ10" s="108"/>
      <c r="GIR10" s="108"/>
      <c r="GIS10" s="108"/>
      <c r="GIT10" s="108"/>
      <c r="GIU10" s="108"/>
      <c r="GIV10" s="108"/>
      <c r="GIW10" s="108"/>
      <c r="GIX10" s="108"/>
      <c r="GIY10" s="108"/>
      <c r="GIZ10" s="108"/>
      <c r="GJA10" s="108"/>
      <c r="GJB10" s="108"/>
      <c r="GJC10" s="108"/>
      <c r="GJD10" s="108"/>
      <c r="GJE10" s="108"/>
      <c r="GJF10" s="108"/>
      <c r="GJG10" s="108"/>
      <c r="GJH10" s="108"/>
      <c r="GJI10" s="108"/>
      <c r="GJJ10" s="108"/>
      <c r="GJK10" s="108"/>
      <c r="GJL10" s="108"/>
      <c r="GJM10" s="108"/>
      <c r="GJN10" s="108"/>
      <c r="GJO10" s="108"/>
      <c r="GJP10" s="108"/>
      <c r="GJQ10" s="108"/>
      <c r="GJR10" s="108"/>
      <c r="GJS10" s="108"/>
      <c r="GJT10" s="108"/>
      <c r="GJU10" s="108"/>
      <c r="GJV10" s="108"/>
      <c r="GJW10" s="108"/>
      <c r="GJX10" s="108"/>
      <c r="GJY10" s="108"/>
      <c r="GJZ10" s="108"/>
      <c r="GKA10" s="108"/>
      <c r="GKB10" s="108"/>
      <c r="GKC10" s="108"/>
      <c r="GKD10" s="108"/>
      <c r="GKE10" s="108"/>
      <c r="GKF10" s="108"/>
      <c r="GKG10" s="108"/>
      <c r="GKH10" s="108"/>
      <c r="GKI10" s="108"/>
      <c r="GKJ10" s="108"/>
      <c r="GKK10" s="108"/>
      <c r="GKL10" s="108"/>
      <c r="GKM10" s="108"/>
      <c r="GKN10" s="108"/>
      <c r="GKO10" s="108"/>
      <c r="GKP10" s="108"/>
      <c r="GKQ10" s="108"/>
      <c r="GKR10" s="108"/>
      <c r="GKS10" s="108"/>
      <c r="GKT10" s="108"/>
      <c r="GKU10" s="108"/>
      <c r="GKV10" s="108"/>
      <c r="GKW10" s="108"/>
      <c r="GKX10" s="108"/>
      <c r="GKY10" s="108"/>
      <c r="GKZ10" s="108"/>
      <c r="GLA10" s="108"/>
      <c r="GLB10" s="108"/>
      <c r="GLC10" s="108"/>
      <c r="GLD10" s="108"/>
      <c r="GLE10" s="108"/>
      <c r="GLF10" s="108"/>
      <c r="GLG10" s="108"/>
      <c r="GLH10" s="108"/>
      <c r="GLI10" s="108"/>
      <c r="GLJ10" s="108"/>
      <c r="GLK10" s="108"/>
      <c r="GLL10" s="108"/>
      <c r="GLM10" s="108"/>
      <c r="GLN10" s="108"/>
      <c r="GLO10" s="108"/>
      <c r="GLP10" s="108"/>
      <c r="GLQ10" s="108"/>
      <c r="GLR10" s="108"/>
      <c r="GLS10" s="108"/>
      <c r="GLT10" s="108"/>
      <c r="GLU10" s="108"/>
      <c r="GLV10" s="108"/>
      <c r="GLW10" s="108"/>
      <c r="GLX10" s="108"/>
      <c r="GLY10" s="108"/>
      <c r="GLZ10" s="108"/>
      <c r="GMA10" s="108"/>
      <c r="GMB10" s="108"/>
      <c r="GMC10" s="108"/>
      <c r="GMD10" s="108"/>
      <c r="GME10" s="108"/>
      <c r="GMF10" s="108"/>
      <c r="GMG10" s="108"/>
      <c r="GMH10" s="108"/>
      <c r="GMI10" s="108"/>
      <c r="GMJ10" s="108"/>
      <c r="GMK10" s="108"/>
      <c r="GML10" s="108"/>
      <c r="GMM10" s="108"/>
      <c r="GMN10" s="108"/>
      <c r="GMO10" s="108"/>
      <c r="GMP10" s="108"/>
      <c r="GMQ10" s="108"/>
      <c r="GMR10" s="108"/>
      <c r="GMS10" s="108"/>
      <c r="GMT10" s="108"/>
      <c r="GMU10" s="108"/>
      <c r="GMV10" s="108"/>
      <c r="GMW10" s="108"/>
      <c r="GMX10" s="108"/>
      <c r="GMY10" s="108"/>
      <c r="GMZ10" s="108"/>
      <c r="GNA10" s="108"/>
      <c r="GNB10" s="108"/>
      <c r="GNC10" s="108"/>
      <c r="GND10" s="108"/>
      <c r="GNE10" s="108"/>
      <c r="GNF10" s="108"/>
      <c r="GNG10" s="108"/>
      <c r="GNH10" s="108"/>
      <c r="GNI10" s="108"/>
      <c r="GNJ10" s="108"/>
      <c r="GNK10" s="108"/>
      <c r="GNL10" s="108"/>
      <c r="GNM10" s="108"/>
      <c r="GNN10" s="108"/>
      <c r="GNO10" s="108"/>
      <c r="GNP10" s="108"/>
      <c r="GNQ10" s="108"/>
      <c r="GNR10" s="108"/>
      <c r="GNS10" s="108"/>
      <c r="GNT10" s="108"/>
      <c r="GNU10" s="108"/>
      <c r="GNV10" s="108"/>
      <c r="GNW10" s="108"/>
      <c r="GNX10" s="108"/>
      <c r="GNY10" s="108"/>
      <c r="GNZ10" s="108"/>
      <c r="GOA10" s="108"/>
      <c r="GOB10" s="108"/>
      <c r="GOC10" s="108"/>
      <c r="GOD10" s="108"/>
      <c r="GOE10" s="108"/>
      <c r="GOF10" s="108"/>
      <c r="GOG10" s="108"/>
      <c r="GOH10" s="108"/>
      <c r="GOI10" s="108"/>
      <c r="GOJ10" s="108"/>
      <c r="GOK10" s="108"/>
      <c r="GOL10" s="108"/>
      <c r="GOM10" s="108"/>
      <c r="GON10" s="108"/>
      <c r="GOO10" s="108"/>
      <c r="GOP10" s="108"/>
      <c r="GOQ10" s="108"/>
      <c r="GOR10" s="108"/>
      <c r="GOS10" s="108"/>
      <c r="GOT10" s="108"/>
      <c r="GOU10" s="108"/>
      <c r="GOV10" s="108"/>
      <c r="GOW10" s="108"/>
      <c r="GOX10" s="108"/>
      <c r="GOY10" s="108"/>
      <c r="GOZ10" s="108"/>
      <c r="GPA10" s="108"/>
      <c r="GPB10" s="108"/>
      <c r="GPC10" s="108"/>
      <c r="GPD10" s="108"/>
      <c r="GPE10" s="108"/>
      <c r="GPF10" s="108"/>
      <c r="GPG10" s="108"/>
      <c r="GPH10" s="108"/>
      <c r="GPI10" s="108"/>
      <c r="GPJ10" s="108"/>
      <c r="GPK10" s="108"/>
      <c r="GPL10" s="108"/>
      <c r="GPM10" s="108"/>
      <c r="GPN10" s="108"/>
      <c r="GPO10" s="108"/>
      <c r="GPP10" s="108"/>
      <c r="GPQ10" s="108"/>
      <c r="GPR10" s="108"/>
      <c r="GPS10" s="108"/>
      <c r="GPT10" s="108"/>
      <c r="GPU10" s="108"/>
      <c r="GPV10" s="108"/>
      <c r="GPW10" s="108"/>
      <c r="GPX10" s="108"/>
      <c r="GPY10" s="108"/>
      <c r="GPZ10" s="108"/>
      <c r="GQA10" s="108"/>
      <c r="GQB10" s="108"/>
      <c r="GQC10" s="108"/>
      <c r="GQD10" s="108"/>
      <c r="GQE10" s="108"/>
      <c r="GQF10" s="108"/>
      <c r="GQG10" s="108"/>
      <c r="GQH10" s="108"/>
      <c r="GQI10" s="108"/>
      <c r="GQJ10" s="108"/>
      <c r="GQK10" s="108"/>
      <c r="GQL10" s="108"/>
      <c r="GQM10" s="108"/>
      <c r="GQN10" s="108"/>
      <c r="GQO10" s="108"/>
      <c r="GQP10" s="108"/>
      <c r="GQQ10" s="108"/>
      <c r="GQR10" s="108"/>
      <c r="GQS10" s="108"/>
      <c r="GQT10" s="108"/>
      <c r="GQU10" s="108"/>
      <c r="GQV10" s="108"/>
      <c r="GQW10" s="108"/>
      <c r="GQX10" s="108"/>
      <c r="GQY10" s="108"/>
      <c r="GQZ10" s="108"/>
      <c r="GRA10" s="108"/>
      <c r="GRB10" s="108"/>
      <c r="GRC10" s="108"/>
      <c r="GRD10" s="108"/>
      <c r="GRE10" s="108"/>
      <c r="GRF10" s="108"/>
      <c r="GRG10" s="108"/>
      <c r="GRH10" s="108"/>
      <c r="GRI10" s="108"/>
      <c r="GRJ10" s="108"/>
      <c r="GRK10" s="108"/>
      <c r="GRL10" s="108"/>
      <c r="GRM10" s="108"/>
      <c r="GRN10" s="108"/>
      <c r="GRO10" s="108"/>
      <c r="GRP10" s="108"/>
      <c r="GRQ10" s="108"/>
      <c r="GRR10" s="108"/>
      <c r="GRS10" s="108"/>
      <c r="GRT10" s="108"/>
      <c r="GRU10" s="108"/>
      <c r="GRV10" s="108"/>
      <c r="GRW10" s="108"/>
      <c r="GRX10" s="108"/>
      <c r="GRY10" s="108"/>
      <c r="GRZ10" s="108"/>
      <c r="GSA10" s="108"/>
      <c r="GSB10" s="108"/>
      <c r="GSC10" s="108"/>
      <c r="GSD10" s="108"/>
      <c r="GSE10" s="108"/>
      <c r="GSF10" s="108"/>
      <c r="GSG10" s="108"/>
      <c r="GSH10" s="108"/>
      <c r="GSI10" s="108"/>
      <c r="GSJ10" s="108"/>
      <c r="GSK10" s="108"/>
      <c r="GSL10" s="108"/>
      <c r="GSM10" s="108"/>
      <c r="GSN10" s="108"/>
      <c r="GSO10" s="108"/>
      <c r="GSP10" s="108"/>
      <c r="GSQ10" s="108"/>
      <c r="GSR10" s="108"/>
      <c r="GSS10" s="108"/>
      <c r="GST10" s="108"/>
      <c r="GSU10" s="108"/>
      <c r="GSV10" s="108"/>
      <c r="GSW10" s="108"/>
      <c r="GSX10" s="108"/>
      <c r="GSY10" s="108"/>
      <c r="GSZ10" s="108"/>
      <c r="GTA10" s="108"/>
      <c r="GTB10" s="108"/>
      <c r="GTC10" s="108"/>
      <c r="GTD10" s="108"/>
      <c r="GTE10" s="108"/>
      <c r="GTF10" s="108"/>
      <c r="GTG10" s="108"/>
      <c r="GTH10" s="108"/>
      <c r="GTI10" s="108"/>
      <c r="GTJ10" s="108"/>
      <c r="GTK10" s="108"/>
      <c r="GTL10" s="108"/>
      <c r="GTM10" s="108"/>
      <c r="GTN10" s="108"/>
      <c r="GTO10" s="108"/>
      <c r="GTP10" s="108"/>
      <c r="GTQ10" s="108"/>
      <c r="GTR10" s="108"/>
      <c r="GTS10" s="108"/>
      <c r="GTT10" s="108"/>
      <c r="GTU10" s="108"/>
      <c r="GTV10" s="108"/>
      <c r="GTW10" s="108"/>
      <c r="GTX10" s="108"/>
      <c r="GTY10" s="108"/>
      <c r="GTZ10" s="108"/>
      <c r="GUA10" s="108"/>
      <c r="GUB10" s="108"/>
      <c r="GUC10" s="108"/>
      <c r="GUD10" s="108"/>
      <c r="GUE10" s="108"/>
      <c r="GUF10" s="108"/>
      <c r="GUG10" s="108"/>
      <c r="GUH10" s="108"/>
      <c r="GUI10" s="108"/>
      <c r="GUJ10" s="108"/>
      <c r="GUK10" s="108"/>
      <c r="GUL10" s="108"/>
      <c r="GUM10" s="108"/>
      <c r="GUN10" s="108"/>
      <c r="GUO10" s="108"/>
      <c r="GUP10" s="108"/>
      <c r="GUQ10" s="108"/>
      <c r="GUR10" s="108"/>
      <c r="GUS10" s="108"/>
      <c r="GUT10" s="108"/>
      <c r="GUU10" s="108"/>
      <c r="GUV10" s="108"/>
      <c r="GUW10" s="108"/>
      <c r="GUX10" s="108"/>
      <c r="GUY10" s="108"/>
      <c r="GUZ10" s="108"/>
      <c r="GVA10" s="108"/>
      <c r="GVB10" s="108"/>
      <c r="GVC10" s="108"/>
      <c r="GVD10" s="108"/>
      <c r="GVE10" s="108"/>
      <c r="GVF10" s="108"/>
      <c r="GVG10" s="108"/>
      <c r="GVH10" s="108"/>
      <c r="GVI10" s="108"/>
      <c r="GVJ10" s="108"/>
      <c r="GVK10" s="108"/>
      <c r="GVL10" s="108"/>
      <c r="GVM10" s="108"/>
      <c r="GVN10" s="108"/>
      <c r="GVO10" s="108"/>
      <c r="GVP10" s="108"/>
      <c r="GVQ10" s="108"/>
      <c r="GVR10" s="108"/>
      <c r="GVS10" s="108"/>
      <c r="GVT10" s="108"/>
      <c r="GVU10" s="108"/>
      <c r="GVV10" s="108"/>
      <c r="GVW10" s="108"/>
      <c r="GVX10" s="108"/>
      <c r="GVY10" s="108"/>
      <c r="GVZ10" s="108"/>
      <c r="GWA10" s="108"/>
      <c r="GWB10" s="108"/>
      <c r="GWC10" s="108"/>
      <c r="GWD10" s="108"/>
      <c r="GWE10" s="108"/>
      <c r="GWF10" s="108"/>
      <c r="GWG10" s="108"/>
      <c r="GWH10" s="108"/>
      <c r="GWI10" s="108"/>
      <c r="GWJ10" s="108"/>
      <c r="GWK10" s="108"/>
      <c r="GWL10" s="108"/>
      <c r="GWM10" s="108"/>
      <c r="GWN10" s="108"/>
      <c r="GWO10" s="108"/>
      <c r="GWP10" s="108"/>
      <c r="GWQ10" s="108"/>
      <c r="GWR10" s="108"/>
      <c r="GWS10" s="108"/>
      <c r="GWT10" s="108"/>
      <c r="GWU10" s="108"/>
      <c r="GWV10" s="108"/>
      <c r="GWW10" s="108"/>
      <c r="GWX10" s="108"/>
      <c r="GWY10" s="108"/>
      <c r="GWZ10" s="108"/>
      <c r="GXA10" s="108"/>
      <c r="GXB10" s="108"/>
      <c r="GXC10" s="108"/>
      <c r="GXD10" s="108"/>
      <c r="GXE10" s="108"/>
      <c r="GXF10" s="108"/>
      <c r="GXG10" s="108"/>
      <c r="GXH10" s="108"/>
      <c r="GXI10" s="108"/>
      <c r="GXJ10" s="108"/>
      <c r="GXK10" s="108"/>
      <c r="GXL10" s="108"/>
      <c r="GXM10" s="108"/>
      <c r="GXN10" s="108"/>
      <c r="GXO10" s="108"/>
      <c r="GXP10" s="108"/>
      <c r="GXQ10" s="108"/>
      <c r="GXR10" s="108"/>
      <c r="GXS10" s="108"/>
      <c r="GXT10" s="108"/>
      <c r="GXU10" s="108"/>
      <c r="GXV10" s="108"/>
      <c r="GXW10" s="108"/>
      <c r="GXX10" s="108"/>
      <c r="GXY10" s="108"/>
      <c r="GXZ10" s="108"/>
      <c r="GYA10" s="108"/>
      <c r="GYB10" s="108"/>
      <c r="GYC10" s="108"/>
      <c r="GYD10" s="108"/>
      <c r="GYE10" s="108"/>
      <c r="GYF10" s="108"/>
      <c r="GYG10" s="108"/>
      <c r="GYH10" s="108"/>
      <c r="GYI10" s="108"/>
      <c r="GYJ10" s="108"/>
      <c r="GYK10" s="108"/>
      <c r="GYL10" s="108"/>
      <c r="GYM10" s="108"/>
      <c r="GYN10" s="108"/>
      <c r="GYO10" s="108"/>
      <c r="GYP10" s="108"/>
      <c r="GYQ10" s="108"/>
      <c r="GYR10" s="108"/>
      <c r="GYS10" s="108"/>
      <c r="GYT10" s="108"/>
      <c r="GYU10" s="108"/>
      <c r="GYV10" s="108"/>
      <c r="GYW10" s="108"/>
      <c r="GYX10" s="108"/>
      <c r="GYY10" s="108"/>
      <c r="GYZ10" s="108"/>
      <c r="GZA10" s="108"/>
      <c r="GZB10" s="108"/>
      <c r="GZC10" s="108"/>
      <c r="GZD10" s="108"/>
      <c r="GZE10" s="108"/>
      <c r="GZF10" s="108"/>
      <c r="GZG10" s="108"/>
      <c r="GZH10" s="108"/>
      <c r="GZI10" s="108"/>
      <c r="GZJ10" s="108"/>
      <c r="GZK10" s="108"/>
      <c r="GZL10" s="108"/>
      <c r="GZM10" s="108"/>
      <c r="GZN10" s="108"/>
      <c r="GZO10" s="108"/>
      <c r="GZP10" s="108"/>
      <c r="GZQ10" s="108"/>
      <c r="GZR10" s="108"/>
      <c r="GZS10" s="108"/>
      <c r="GZT10" s="108"/>
      <c r="GZU10" s="108"/>
      <c r="GZV10" s="108"/>
      <c r="GZW10" s="108"/>
      <c r="GZX10" s="108"/>
      <c r="GZY10" s="108"/>
      <c r="GZZ10" s="108"/>
      <c r="HAA10" s="108"/>
      <c r="HAB10" s="108"/>
      <c r="HAC10" s="108"/>
      <c r="HAD10" s="108"/>
      <c r="HAE10" s="108"/>
      <c r="HAF10" s="108"/>
      <c r="HAG10" s="108"/>
      <c r="HAH10" s="108"/>
      <c r="HAI10" s="108"/>
      <c r="HAJ10" s="108"/>
      <c r="HAK10" s="108"/>
      <c r="HAL10" s="108"/>
      <c r="HAM10" s="108"/>
      <c r="HAN10" s="108"/>
      <c r="HAO10" s="108"/>
      <c r="HAP10" s="108"/>
      <c r="HAQ10" s="108"/>
      <c r="HAR10" s="108"/>
      <c r="HAS10" s="108"/>
      <c r="HAT10" s="108"/>
      <c r="HAU10" s="108"/>
      <c r="HAV10" s="108"/>
      <c r="HAW10" s="108"/>
      <c r="HAX10" s="108"/>
      <c r="HAY10" s="108"/>
      <c r="HAZ10" s="108"/>
      <c r="HBA10" s="108"/>
      <c r="HBB10" s="108"/>
      <c r="HBC10" s="108"/>
      <c r="HBD10" s="108"/>
      <c r="HBE10" s="108"/>
      <c r="HBF10" s="108"/>
      <c r="HBG10" s="108"/>
      <c r="HBH10" s="108"/>
      <c r="HBI10" s="108"/>
      <c r="HBJ10" s="108"/>
      <c r="HBK10" s="108"/>
      <c r="HBL10" s="108"/>
      <c r="HBM10" s="108"/>
      <c r="HBN10" s="108"/>
      <c r="HBO10" s="108"/>
      <c r="HBP10" s="108"/>
      <c r="HBQ10" s="108"/>
      <c r="HBR10" s="108"/>
      <c r="HBS10" s="108"/>
      <c r="HBT10" s="108"/>
      <c r="HBU10" s="108"/>
      <c r="HBV10" s="108"/>
      <c r="HBW10" s="108"/>
      <c r="HBX10" s="108"/>
      <c r="HBY10" s="108"/>
      <c r="HBZ10" s="108"/>
      <c r="HCA10" s="108"/>
      <c r="HCB10" s="108"/>
      <c r="HCC10" s="108"/>
      <c r="HCD10" s="108"/>
      <c r="HCE10" s="108"/>
      <c r="HCF10" s="108"/>
      <c r="HCG10" s="108"/>
      <c r="HCH10" s="108"/>
      <c r="HCI10" s="108"/>
      <c r="HCJ10" s="108"/>
      <c r="HCK10" s="108"/>
      <c r="HCL10" s="108"/>
      <c r="HCM10" s="108"/>
      <c r="HCN10" s="108"/>
      <c r="HCO10" s="108"/>
      <c r="HCP10" s="108"/>
      <c r="HCQ10" s="108"/>
      <c r="HCR10" s="108"/>
      <c r="HCS10" s="108"/>
      <c r="HCT10" s="108"/>
      <c r="HCU10" s="108"/>
      <c r="HCV10" s="108"/>
      <c r="HCW10" s="108"/>
      <c r="HCX10" s="108"/>
      <c r="HCY10" s="108"/>
      <c r="HCZ10" s="108"/>
      <c r="HDA10" s="108"/>
      <c r="HDB10" s="108"/>
      <c r="HDC10" s="108"/>
      <c r="HDD10" s="108"/>
      <c r="HDE10" s="108"/>
      <c r="HDF10" s="108"/>
      <c r="HDG10" s="108"/>
      <c r="HDH10" s="108"/>
      <c r="HDI10" s="108"/>
      <c r="HDJ10" s="108"/>
      <c r="HDK10" s="108"/>
      <c r="HDL10" s="108"/>
      <c r="HDM10" s="108"/>
      <c r="HDN10" s="108"/>
      <c r="HDO10" s="108"/>
      <c r="HDP10" s="108"/>
      <c r="HDQ10" s="108"/>
      <c r="HDR10" s="108"/>
      <c r="HDS10" s="108"/>
      <c r="HDT10" s="108"/>
      <c r="HDU10" s="108"/>
      <c r="HDV10" s="108"/>
      <c r="HDW10" s="108"/>
      <c r="HDX10" s="108"/>
      <c r="HDY10" s="108"/>
      <c r="HDZ10" s="108"/>
      <c r="HEA10" s="108"/>
      <c r="HEB10" s="108"/>
      <c r="HEC10" s="108"/>
      <c r="HED10" s="108"/>
      <c r="HEE10" s="108"/>
      <c r="HEF10" s="108"/>
      <c r="HEG10" s="108"/>
      <c r="HEH10" s="108"/>
      <c r="HEI10" s="108"/>
      <c r="HEJ10" s="108"/>
      <c r="HEK10" s="108"/>
      <c r="HEL10" s="108"/>
      <c r="HEM10" s="108"/>
      <c r="HEN10" s="108"/>
      <c r="HEO10" s="108"/>
      <c r="HEP10" s="108"/>
      <c r="HEQ10" s="108"/>
      <c r="HER10" s="108"/>
      <c r="HES10" s="108"/>
      <c r="HET10" s="108"/>
      <c r="HEU10" s="108"/>
      <c r="HEV10" s="108"/>
      <c r="HEW10" s="108"/>
      <c r="HEX10" s="108"/>
      <c r="HEY10" s="108"/>
      <c r="HEZ10" s="108"/>
      <c r="HFA10" s="108"/>
      <c r="HFB10" s="108"/>
      <c r="HFC10" s="108"/>
      <c r="HFD10" s="108"/>
      <c r="HFE10" s="108"/>
      <c r="HFF10" s="108"/>
      <c r="HFG10" s="108"/>
      <c r="HFH10" s="108"/>
      <c r="HFI10" s="108"/>
      <c r="HFJ10" s="108"/>
      <c r="HFK10" s="108"/>
      <c r="HFL10" s="108"/>
      <c r="HFM10" s="108"/>
      <c r="HFN10" s="108"/>
      <c r="HFO10" s="108"/>
      <c r="HFP10" s="108"/>
      <c r="HFQ10" s="108"/>
      <c r="HFR10" s="108"/>
      <c r="HFS10" s="108"/>
      <c r="HFT10" s="108"/>
      <c r="HFU10" s="108"/>
      <c r="HFV10" s="108"/>
      <c r="HFW10" s="108"/>
      <c r="HFX10" s="108"/>
      <c r="HFY10" s="108"/>
      <c r="HFZ10" s="108"/>
      <c r="HGA10" s="108"/>
      <c r="HGB10" s="108"/>
      <c r="HGC10" s="108"/>
      <c r="HGD10" s="108"/>
      <c r="HGE10" s="108"/>
      <c r="HGF10" s="108"/>
      <c r="HGG10" s="108"/>
      <c r="HGH10" s="108"/>
      <c r="HGI10" s="108"/>
      <c r="HGJ10" s="108"/>
      <c r="HGK10" s="108"/>
      <c r="HGL10" s="108"/>
      <c r="HGM10" s="108"/>
      <c r="HGN10" s="108"/>
      <c r="HGO10" s="108"/>
      <c r="HGP10" s="108"/>
      <c r="HGQ10" s="108"/>
      <c r="HGR10" s="108"/>
      <c r="HGS10" s="108"/>
      <c r="HGT10" s="108"/>
      <c r="HGU10" s="108"/>
      <c r="HGV10" s="108"/>
      <c r="HGW10" s="108"/>
      <c r="HGX10" s="108"/>
      <c r="HGY10" s="108"/>
      <c r="HGZ10" s="108"/>
      <c r="HHA10" s="108"/>
      <c r="HHB10" s="108"/>
      <c r="HHC10" s="108"/>
      <c r="HHD10" s="108"/>
      <c r="HHE10" s="108"/>
      <c r="HHF10" s="108"/>
      <c r="HHG10" s="108"/>
      <c r="HHH10" s="108"/>
      <c r="HHI10" s="108"/>
      <c r="HHJ10" s="108"/>
      <c r="HHK10" s="108"/>
      <c r="HHL10" s="108"/>
      <c r="HHM10" s="108"/>
      <c r="HHN10" s="108"/>
      <c r="HHO10" s="108"/>
      <c r="HHP10" s="108"/>
      <c r="HHQ10" s="108"/>
      <c r="HHR10" s="108"/>
      <c r="HHS10" s="108"/>
      <c r="HHT10" s="108"/>
      <c r="HHU10" s="108"/>
      <c r="HHV10" s="108"/>
      <c r="HHW10" s="108"/>
      <c r="HHX10" s="108"/>
      <c r="HHY10" s="108"/>
      <c r="HHZ10" s="108"/>
      <c r="HIA10" s="108"/>
      <c r="HIB10" s="108"/>
      <c r="HIC10" s="108"/>
      <c r="HID10" s="108"/>
      <c r="HIE10" s="108"/>
      <c r="HIF10" s="108"/>
      <c r="HIG10" s="108"/>
      <c r="HIH10" s="108"/>
      <c r="HII10" s="108"/>
      <c r="HIJ10" s="108"/>
      <c r="HIK10" s="108"/>
      <c r="HIL10" s="108"/>
      <c r="HIM10" s="108"/>
      <c r="HIN10" s="108"/>
      <c r="HIO10" s="108"/>
      <c r="HIP10" s="108"/>
      <c r="HIQ10" s="108"/>
      <c r="HIR10" s="108"/>
      <c r="HIS10" s="108"/>
      <c r="HIT10" s="108"/>
      <c r="HIU10" s="108"/>
      <c r="HIV10" s="108"/>
      <c r="HIW10" s="108"/>
      <c r="HIX10" s="108"/>
      <c r="HIY10" s="108"/>
      <c r="HIZ10" s="108"/>
      <c r="HJA10" s="108"/>
      <c r="HJB10" s="108"/>
      <c r="HJC10" s="108"/>
      <c r="HJD10" s="108"/>
      <c r="HJE10" s="108"/>
      <c r="HJF10" s="108"/>
      <c r="HJG10" s="108"/>
      <c r="HJH10" s="108"/>
      <c r="HJI10" s="108"/>
      <c r="HJJ10" s="108"/>
      <c r="HJK10" s="108"/>
      <c r="HJL10" s="108"/>
      <c r="HJM10" s="108"/>
      <c r="HJN10" s="108"/>
      <c r="HJO10" s="108"/>
      <c r="HJP10" s="108"/>
      <c r="HJQ10" s="108"/>
      <c r="HJR10" s="108"/>
      <c r="HJS10" s="108"/>
      <c r="HJT10" s="108"/>
      <c r="HJU10" s="108"/>
      <c r="HJV10" s="108"/>
      <c r="HJW10" s="108"/>
      <c r="HJX10" s="108"/>
      <c r="HJY10" s="108"/>
      <c r="HJZ10" s="108"/>
      <c r="HKA10" s="108"/>
      <c r="HKB10" s="108"/>
      <c r="HKC10" s="108"/>
      <c r="HKD10" s="108"/>
      <c r="HKE10" s="108"/>
      <c r="HKF10" s="108"/>
      <c r="HKG10" s="108"/>
      <c r="HKH10" s="108"/>
      <c r="HKI10" s="108"/>
      <c r="HKJ10" s="108"/>
      <c r="HKK10" s="108"/>
      <c r="HKL10" s="108"/>
      <c r="HKM10" s="108"/>
      <c r="HKN10" s="108"/>
      <c r="HKO10" s="108"/>
      <c r="HKP10" s="108"/>
      <c r="HKQ10" s="108"/>
      <c r="HKR10" s="108"/>
      <c r="HKS10" s="108"/>
      <c r="HKT10" s="108"/>
      <c r="HKU10" s="108"/>
      <c r="HKV10" s="108"/>
      <c r="HKW10" s="108"/>
      <c r="HKX10" s="108"/>
      <c r="HKY10" s="108"/>
      <c r="HKZ10" s="108"/>
      <c r="HLA10" s="108"/>
      <c r="HLB10" s="108"/>
      <c r="HLC10" s="108"/>
      <c r="HLD10" s="108"/>
      <c r="HLE10" s="108"/>
      <c r="HLF10" s="108"/>
      <c r="HLG10" s="108"/>
      <c r="HLH10" s="108"/>
      <c r="HLI10" s="108"/>
      <c r="HLJ10" s="108"/>
      <c r="HLK10" s="108"/>
      <c r="HLL10" s="108"/>
      <c r="HLM10" s="108"/>
      <c r="HLN10" s="108"/>
      <c r="HLO10" s="108"/>
      <c r="HLP10" s="108"/>
      <c r="HLQ10" s="108"/>
      <c r="HLR10" s="108"/>
      <c r="HLS10" s="108"/>
      <c r="HLT10" s="108"/>
      <c r="HLU10" s="108"/>
      <c r="HLV10" s="108"/>
      <c r="HLW10" s="108"/>
      <c r="HLX10" s="108"/>
      <c r="HLY10" s="108"/>
      <c r="HLZ10" s="108"/>
      <c r="HMA10" s="108"/>
      <c r="HMB10" s="108"/>
      <c r="HMC10" s="108"/>
      <c r="HMD10" s="108"/>
      <c r="HME10" s="108"/>
      <c r="HMF10" s="108"/>
      <c r="HMG10" s="108"/>
      <c r="HMH10" s="108"/>
      <c r="HMI10" s="108"/>
      <c r="HMJ10" s="108"/>
      <c r="HMK10" s="108"/>
      <c r="HML10" s="108"/>
      <c r="HMM10" s="108"/>
      <c r="HMN10" s="108"/>
      <c r="HMO10" s="108"/>
      <c r="HMP10" s="108"/>
      <c r="HMQ10" s="108"/>
      <c r="HMR10" s="108"/>
      <c r="HMS10" s="108"/>
      <c r="HMT10" s="108"/>
      <c r="HMU10" s="108"/>
      <c r="HMV10" s="108"/>
      <c r="HMW10" s="108"/>
      <c r="HMX10" s="108"/>
      <c r="HMY10" s="108"/>
      <c r="HMZ10" s="108"/>
      <c r="HNA10" s="108"/>
      <c r="HNB10" s="108"/>
      <c r="HNC10" s="108"/>
      <c r="HND10" s="108"/>
      <c r="HNE10" s="108"/>
      <c r="HNF10" s="108"/>
      <c r="HNG10" s="108"/>
      <c r="HNH10" s="108"/>
      <c r="HNI10" s="108"/>
      <c r="HNJ10" s="108"/>
      <c r="HNK10" s="108"/>
      <c r="HNL10" s="108"/>
      <c r="HNM10" s="108"/>
      <c r="HNN10" s="108"/>
      <c r="HNO10" s="108"/>
      <c r="HNP10" s="108"/>
      <c r="HNQ10" s="108"/>
      <c r="HNR10" s="108"/>
      <c r="HNS10" s="108"/>
      <c r="HNT10" s="108"/>
      <c r="HNU10" s="108"/>
      <c r="HNV10" s="108"/>
      <c r="HNW10" s="108"/>
      <c r="HNX10" s="108"/>
      <c r="HNY10" s="108"/>
      <c r="HNZ10" s="108"/>
      <c r="HOA10" s="108"/>
      <c r="HOB10" s="108"/>
      <c r="HOC10" s="108"/>
      <c r="HOD10" s="108"/>
      <c r="HOE10" s="108"/>
      <c r="HOF10" s="108"/>
      <c r="HOG10" s="108"/>
      <c r="HOH10" s="108"/>
      <c r="HOI10" s="108"/>
      <c r="HOJ10" s="108"/>
      <c r="HOK10" s="108"/>
      <c r="HOL10" s="108"/>
      <c r="HOM10" s="108"/>
      <c r="HON10" s="108"/>
      <c r="HOO10" s="108"/>
      <c r="HOP10" s="108"/>
      <c r="HOQ10" s="108"/>
      <c r="HOR10" s="108"/>
      <c r="HOS10" s="108"/>
      <c r="HOT10" s="108"/>
      <c r="HOU10" s="108"/>
      <c r="HOV10" s="108"/>
      <c r="HOW10" s="108"/>
      <c r="HOX10" s="108"/>
      <c r="HOY10" s="108"/>
      <c r="HOZ10" s="108"/>
      <c r="HPA10" s="108"/>
      <c r="HPB10" s="108"/>
      <c r="HPC10" s="108"/>
      <c r="HPD10" s="108"/>
      <c r="HPE10" s="108"/>
      <c r="HPF10" s="108"/>
      <c r="HPG10" s="108"/>
      <c r="HPH10" s="108"/>
      <c r="HPI10" s="108"/>
      <c r="HPJ10" s="108"/>
      <c r="HPK10" s="108"/>
      <c r="HPL10" s="108"/>
      <c r="HPM10" s="108"/>
      <c r="HPN10" s="108"/>
      <c r="HPO10" s="108"/>
      <c r="HPP10" s="108"/>
      <c r="HPQ10" s="108"/>
      <c r="HPR10" s="108"/>
      <c r="HPS10" s="108"/>
      <c r="HPT10" s="108"/>
      <c r="HPU10" s="108"/>
      <c r="HPV10" s="108"/>
      <c r="HPW10" s="108"/>
      <c r="HPX10" s="108"/>
      <c r="HPY10" s="108"/>
      <c r="HPZ10" s="108"/>
      <c r="HQA10" s="108"/>
      <c r="HQB10" s="108"/>
      <c r="HQC10" s="108"/>
      <c r="HQD10" s="108"/>
      <c r="HQE10" s="108"/>
      <c r="HQF10" s="108"/>
      <c r="HQG10" s="108"/>
      <c r="HQH10" s="108"/>
      <c r="HQI10" s="108"/>
      <c r="HQJ10" s="108"/>
      <c r="HQK10" s="108"/>
      <c r="HQL10" s="108"/>
      <c r="HQM10" s="108"/>
      <c r="HQN10" s="108"/>
      <c r="HQO10" s="108"/>
      <c r="HQP10" s="108"/>
      <c r="HQQ10" s="108"/>
      <c r="HQR10" s="108"/>
      <c r="HQS10" s="108"/>
      <c r="HQT10" s="108"/>
      <c r="HQU10" s="108"/>
      <c r="HQV10" s="108"/>
      <c r="HQW10" s="108"/>
      <c r="HQX10" s="108"/>
      <c r="HQY10" s="108"/>
      <c r="HQZ10" s="108"/>
      <c r="HRA10" s="108"/>
      <c r="HRB10" s="108"/>
      <c r="HRC10" s="108"/>
      <c r="HRD10" s="108"/>
      <c r="HRE10" s="108"/>
      <c r="HRF10" s="108"/>
      <c r="HRG10" s="108"/>
      <c r="HRH10" s="108"/>
      <c r="HRI10" s="108"/>
      <c r="HRJ10" s="108"/>
      <c r="HRK10" s="108"/>
      <c r="HRL10" s="108"/>
      <c r="HRM10" s="108"/>
      <c r="HRN10" s="108"/>
      <c r="HRO10" s="108"/>
      <c r="HRP10" s="108"/>
      <c r="HRQ10" s="108"/>
      <c r="HRR10" s="108"/>
      <c r="HRS10" s="108"/>
      <c r="HRT10" s="108"/>
      <c r="HRU10" s="108"/>
      <c r="HRV10" s="108"/>
      <c r="HRW10" s="108"/>
      <c r="HRX10" s="108"/>
      <c r="HRY10" s="108"/>
      <c r="HRZ10" s="108"/>
      <c r="HSA10" s="108"/>
      <c r="HSB10" s="108"/>
      <c r="HSC10" s="108"/>
      <c r="HSD10" s="108"/>
      <c r="HSE10" s="108"/>
      <c r="HSF10" s="108"/>
      <c r="HSG10" s="108"/>
      <c r="HSH10" s="108"/>
      <c r="HSI10" s="108"/>
      <c r="HSJ10" s="108"/>
      <c r="HSK10" s="108"/>
      <c r="HSL10" s="108"/>
      <c r="HSM10" s="108"/>
      <c r="HSN10" s="108"/>
      <c r="HSO10" s="108"/>
      <c r="HSP10" s="108"/>
      <c r="HSQ10" s="108"/>
      <c r="HSR10" s="108"/>
      <c r="HSS10" s="108"/>
      <c r="HST10" s="108"/>
      <c r="HSU10" s="108"/>
      <c r="HSV10" s="108"/>
      <c r="HSW10" s="108"/>
      <c r="HSX10" s="108"/>
      <c r="HSY10" s="108"/>
      <c r="HSZ10" s="108"/>
      <c r="HTA10" s="108"/>
      <c r="HTB10" s="108"/>
      <c r="HTC10" s="108"/>
      <c r="HTD10" s="108"/>
      <c r="HTE10" s="108"/>
      <c r="HTF10" s="108"/>
      <c r="HTG10" s="108"/>
      <c r="HTH10" s="108"/>
      <c r="HTI10" s="108"/>
      <c r="HTJ10" s="108"/>
      <c r="HTK10" s="108"/>
      <c r="HTL10" s="108"/>
      <c r="HTM10" s="108"/>
      <c r="HTN10" s="108"/>
      <c r="HTO10" s="108"/>
      <c r="HTP10" s="108"/>
      <c r="HTQ10" s="108"/>
      <c r="HTR10" s="108"/>
      <c r="HTS10" s="108"/>
      <c r="HTT10" s="108"/>
      <c r="HTU10" s="108"/>
      <c r="HTV10" s="108"/>
      <c r="HTW10" s="108"/>
      <c r="HTX10" s="108"/>
      <c r="HTY10" s="108"/>
      <c r="HTZ10" s="108"/>
      <c r="HUA10" s="108"/>
      <c r="HUB10" s="108"/>
      <c r="HUC10" s="108"/>
      <c r="HUD10" s="108"/>
      <c r="HUE10" s="108"/>
      <c r="HUF10" s="108"/>
      <c r="HUG10" s="108"/>
      <c r="HUH10" s="108"/>
      <c r="HUI10" s="108"/>
      <c r="HUJ10" s="108"/>
      <c r="HUK10" s="108"/>
      <c r="HUL10" s="108"/>
      <c r="HUM10" s="108"/>
      <c r="HUN10" s="108"/>
      <c r="HUO10" s="108"/>
      <c r="HUP10" s="108"/>
      <c r="HUQ10" s="108"/>
      <c r="HUR10" s="108"/>
      <c r="HUS10" s="108"/>
      <c r="HUT10" s="108"/>
      <c r="HUU10" s="108"/>
      <c r="HUV10" s="108"/>
      <c r="HUW10" s="108"/>
      <c r="HUX10" s="108"/>
      <c r="HUY10" s="108"/>
      <c r="HUZ10" s="108"/>
      <c r="HVA10" s="108"/>
      <c r="HVB10" s="108"/>
      <c r="HVC10" s="108"/>
      <c r="HVD10" s="108"/>
      <c r="HVE10" s="108"/>
      <c r="HVF10" s="108"/>
      <c r="HVG10" s="108"/>
      <c r="HVH10" s="108"/>
      <c r="HVI10" s="108"/>
      <c r="HVJ10" s="108"/>
      <c r="HVK10" s="108"/>
      <c r="HVL10" s="108"/>
      <c r="HVM10" s="108"/>
      <c r="HVN10" s="108"/>
      <c r="HVO10" s="108"/>
      <c r="HVP10" s="108"/>
      <c r="HVQ10" s="108"/>
      <c r="HVR10" s="108"/>
      <c r="HVS10" s="108"/>
      <c r="HVT10" s="108"/>
      <c r="HVU10" s="108"/>
      <c r="HVV10" s="108"/>
      <c r="HVW10" s="108"/>
      <c r="HVX10" s="108"/>
      <c r="HVY10" s="108"/>
      <c r="HVZ10" s="108"/>
      <c r="HWA10" s="108"/>
      <c r="HWB10" s="108"/>
      <c r="HWC10" s="108"/>
      <c r="HWD10" s="108"/>
      <c r="HWE10" s="108"/>
      <c r="HWF10" s="108"/>
      <c r="HWG10" s="108"/>
      <c r="HWH10" s="108"/>
      <c r="HWI10" s="108"/>
      <c r="HWJ10" s="108"/>
      <c r="HWK10" s="108"/>
      <c r="HWL10" s="108"/>
      <c r="HWM10" s="108"/>
      <c r="HWN10" s="108"/>
      <c r="HWO10" s="108"/>
      <c r="HWP10" s="108"/>
      <c r="HWQ10" s="108"/>
      <c r="HWR10" s="108"/>
      <c r="HWS10" s="108"/>
      <c r="HWT10" s="108"/>
      <c r="HWU10" s="108"/>
      <c r="HWV10" s="108"/>
      <c r="HWW10" s="108"/>
      <c r="HWX10" s="108"/>
      <c r="HWY10" s="108"/>
      <c r="HWZ10" s="108"/>
      <c r="HXA10" s="108"/>
      <c r="HXB10" s="108"/>
      <c r="HXC10" s="108"/>
      <c r="HXD10" s="108"/>
      <c r="HXE10" s="108"/>
      <c r="HXF10" s="108"/>
      <c r="HXG10" s="108"/>
      <c r="HXH10" s="108"/>
      <c r="HXI10" s="108"/>
      <c r="HXJ10" s="108"/>
      <c r="HXK10" s="108"/>
      <c r="HXL10" s="108"/>
      <c r="HXM10" s="108"/>
      <c r="HXN10" s="108"/>
      <c r="HXO10" s="108"/>
      <c r="HXP10" s="108"/>
      <c r="HXQ10" s="108"/>
      <c r="HXR10" s="108"/>
      <c r="HXS10" s="108"/>
      <c r="HXT10" s="108"/>
      <c r="HXU10" s="108"/>
      <c r="HXV10" s="108"/>
      <c r="HXW10" s="108"/>
      <c r="HXX10" s="108"/>
      <c r="HXY10" s="108"/>
      <c r="HXZ10" s="108"/>
      <c r="HYA10" s="108"/>
      <c r="HYB10" s="108"/>
      <c r="HYC10" s="108"/>
      <c r="HYD10" s="108"/>
      <c r="HYE10" s="108"/>
      <c r="HYF10" s="108"/>
      <c r="HYG10" s="108"/>
      <c r="HYH10" s="108"/>
      <c r="HYI10" s="108"/>
      <c r="HYJ10" s="108"/>
      <c r="HYK10" s="108"/>
      <c r="HYL10" s="108"/>
      <c r="HYM10" s="108"/>
      <c r="HYN10" s="108"/>
      <c r="HYO10" s="108"/>
      <c r="HYP10" s="108"/>
      <c r="HYQ10" s="108"/>
      <c r="HYR10" s="108"/>
      <c r="HYS10" s="108"/>
      <c r="HYT10" s="108"/>
      <c r="HYU10" s="108"/>
      <c r="HYV10" s="108"/>
      <c r="HYW10" s="108"/>
      <c r="HYX10" s="108"/>
      <c r="HYY10" s="108"/>
      <c r="HYZ10" s="108"/>
      <c r="HZA10" s="108"/>
      <c r="HZB10" s="108"/>
      <c r="HZC10" s="108"/>
      <c r="HZD10" s="108"/>
      <c r="HZE10" s="108"/>
      <c r="HZF10" s="108"/>
      <c r="HZG10" s="108"/>
      <c r="HZH10" s="108"/>
      <c r="HZI10" s="108"/>
      <c r="HZJ10" s="108"/>
      <c r="HZK10" s="108"/>
      <c r="HZL10" s="108"/>
      <c r="HZM10" s="108"/>
      <c r="HZN10" s="108"/>
      <c r="HZO10" s="108"/>
      <c r="HZP10" s="108"/>
      <c r="HZQ10" s="108"/>
      <c r="HZR10" s="108"/>
      <c r="HZS10" s="108"/>
      <c r="HZT10" s="108"/>
      <c r="HZU10" s="108"/>
      <c r="HZV10" s="108"/>
      <c r="HZW10" s="108"/>
      <c r="HZX10" s="108"/>
      <c r="HZY10" s="108"/>
      <c r="HZZ10" s="108"/>
      <c r="IAA10" s="108"/>
      <c r="IAB10" s="108"/>
      <c r="IAC10" s="108"/>
      <c r="IAD10" s="108"/>
      <c r="IAE10" s="108"/>
      <c r="IAF10" s="108"/>
      <c r="IAG10" s="108"/>
      <c r="IAH10" s="108"/>
      <c r="IAI10" s="108"/>
      <c r="IAJ10" s="108"/>
      <c r="IAK10" s="108"/>
      <c r="IAL10" s="108"/>
      <c r="IAM10" s="108"/>
      <c r="IAN10" s="108"/>
      <c r="IAO10" s="108"/>
      <c r="IAP10" s="108"/>
      <c r="IAQ10" s="108"/>
      <c r="IAR10" s="108"/>
      <c r="IAS10" s="108"/>
      <c r="IAT10" s="108"/>
      <c r="IAU10" s="108"/>
      <c r="IAV10" s="108"/>
      <c r="IAW10" s="108"/>
      <c r="IAX10" s="108"/>
      <c r="IAY10" s="108"/>
      <c r="IAZ10" s="108"/>
      <c r="IBA10" s="108"/>
      <c r="IBB10" s="108"/>
      <c r="IBC10" s="108"/>
      <c r="IBD10" s="108"/>
      <c r="IBE10" s="108"/>
      <c r="IBF10" s="108"/>
      <c r="IBG10" s="108"/>
      <c r="IBH10" s="108"/>
      <c r="IBI10" s="108"/>
      <c r="IBJ10" s="108"/>
      <c r="IBK10" s="108"/>
      <c r="IBL10" s="108"/>
      <c r="IBM10" s="108"/>
      <c r="IBN10" s="108"/>
      <c r="IBO10" s="108"/>
      <c r="IBP10" s="108"/>
      <c r="IBQ10" s="108"/>
      <c r="IBR10" s="108"/>
      <c r="IBS10" s="108"/>
      <c r="IBT10" s="108"/>
      <c r="IBU10" s="108"/>
      <c r="IBV10" s="108"/>
      <c r="IBW10" s="108"/>
      <c r="IBX10" s="108"/>
      <c r="IBY10" s="108"/>
      <c r="IBZ10" s="108"/>
      <c r="ICA10" s="108"/>
      <c r="ICB10" s="108"/>
      <c r="ICC10" s="108"/>
      <c r="ICD10" s="108"/>
      <c r="ICE10" s="108"/>
      <c r="ICF10" s="108"/>
      <c r="ICG10" s="108"/>
      <c r="ICH10" s="108"/>
      <c r="ICI10" s="108"/>
      <c r="ICJ10" s="108"/>
      <c r="ICK10" s="108"/>
      <c r="ICL10" s="108"/>
      <c r="ICM10" s="108"/>
      <c r="ICN10" s="108"/>
      <c r="ICO10" s="108"/>
      <c r="ICP10" s="108"/>
      <c r="ICQ10" s="108"/>
      <c r="ICR10" s="108"/>
      <c r="ICS10" s="108"/>
      <c r="ICT10" s="108"/>
      <c r="ICU10" s="108"/>
      <c r="ICV10" s="108"/>
      <c r="ICW10" s="108"/>
      <c r="ICX10" s="108"/>
      <c r="ICY10" s="108"/>
      <c r="ICZ10" s="108"/>
      <c r="IDA10" s="108"/>
      <c r="IDB10" s="108"/>
      <c r="IDC10" s="108"/>
      <c r="IDD10" s="108"/>
      <c r="IDE10" s="108"/>
      <c r="IDF10" s="108"/>
      <c r="IDG10" s="108"/>
      <c r="IDH10" s="108"/>
      <c r="IDI10" s="108"/>
      <c r="IDJ10" s="108"/>
      <c r="IDK10" s="108"/>
      <c r="IDL10" s="108"/>
      <c r="IDM10" s="108"/>
      <c r="IDN10" s="108"/>
      <c r="IDO10" s="108"/>
      <c r="IDP10" s="108"/>
      <c r="IDQ10" s="108"/>
      <c r="IDR10" s="108"/>
      <c r="IDS10" s="108"/>
      <c r="IDT10" s="108"/>
      <c r="IDU10" s="108"/>
      <c r="IDV10" s="108"/>
      <c r="IDW10" s="108"/>
      <c r="IDX10" s="108"/>
      <c r="IDY10" s="108"/>
      <c r="IDZ10" s="108"/>
      <c r="IEA10" s="108"/>
      <c r="IEB10" s="108"/>
      <c r="IEC10" s="108"/>
      <c r="IED10" s="108"/>
      <c r="IEE10" s="108"/>
      <c r="IEF10" s="108"/>
      <c r="IEG10" s="108"/>
      <c r="IEH10" s="108"/>
      <c r="IEI10" s="108"/>
      <c r="IEJ10" s="108"/>
      <c r="IEK10" s="108"/>
      <c r="IEL10" s="108"/>
      <c r="IEM10" s="108"/>
      <c r="IEN10" s="108"/>
      <c r="IEO10" s="108"/>
      <c r="IEP10" s="108"/>
      <c r="IEQ10" s="108"/>
      <c r="IER10" s="108"/>
      <c r="IES10" s="108"/>
      <c r="IET10" s="108"/>
      <c r="IEU10" s="108"/>
      <c r="IEV10" s="108"/>
      <c r="IEW10" s="108"/>
      <c r="IEX10" s="108"/>
      <c r="IEY10" s="108"/>
      <c r="IEZ10" s="108"/>
      <c r="IFA10" s="108"/>
      <c r="IFB10" s="108"/>
      <c r="IFC10" s="108"/>
      <c r="IFD10" s="108"/>
      <c r="IFE10" s="108"/>
      <c r="IFF10" s="108"/>
      <c r="IFG10" s="108"/>
      <c r="IFH10" s="108"/>
      <c r="IFI10" s="108"/>
      <c r="IFJ10" s="108"/>
      <c r="IFK10" s="108"/>
      <c r="IFL10" s="108"/>
      <c r="IFM10" s="108"/>
      <c r="IFN10" s="108"/>
      <c r="IFO10" s="108"/>
      <c r="IFP10" s="108"/>
      <c r="IFQ10" s="108"/>
      <c r="IFR10" s="108"/>
      <c r="IFS10" s="108"/>
      <c r="IFT10" s="108"/>
      <c r="IFU10" s="108"/>
      <c r="IFV10" s="108"/>
      <c r="IFW10" s="108"/>
      <c r="IFX10" s="108"/>
      <c r="IFY10" s="108"/>
      <c r="IFZ10" s="108"/>
      <c r="IGA10" s="108"/>
      <c r="IGB10" s="108"/>
      <c r="IGC10" s="108"/>
      <c r="IGD10" s="108"/>
      <c r="IGE10" s="108"/>
      <c r="IGF10" s="108"/>
      <c r="IGG10" s="108"/>
      <c r="IGH10" s="108"/>
      <c r="IGI10" s="108"/>
      <c r="IGJ10" s="108"/>
      <c r="IGK10" s="108"/>
      <c r="IGL10" s="108"/>
      <c r="IGM10" s="108"/>
      <c r="IGN10" s="108"/>
      <c r="IGO10" s="108"/>
      <c r="IGP10" s="108"/>
      <c r="IGQ10" s="108"/>
      <c r="IGR10" s="108"/>
      <c r="IGS10" s="108"/>
      <c r="IGT10" s="108"/>
      <c r="IGU10" s="108"/>
      <c r="IGV10" s="108"/>
      <c r="IGW10" s="108"/>
      <c r="IGX10" s="108"/>
      <c r="IGY10" s="108"/>
      <c r="IGZ10" s="108"/>
      <c r="IHA10" s="108"/>
      <c r="IHB10" s="108"/>
      <c r="IHC10" s="108"/>
      <c r="IHD10" s="108"/>
      <c r="IHE10" s="108"/>
      <c r="IHF10" s="108"/>
      <c r="IHG10" s="108"/>
      <c r="IHH10" s="108"/>
      <c r="IHI10" s="108"/>
      <c r="IHJ10" s="108"/>
      <c r="IHK10" s="108"/>
      <c r="IHL10" s="108"/>
      <c r="IHM10" s="108"/>
      <c r="IHN10" s="108"/>
      <c r="IHO10" s="108"/>
      <c r="IHP10" s="108"/>
      <c r="IHQ10" s="108"/>
      <c r="IHR10" s="108"/>
      <c r="IHS10" s="108"/>
      <c r="IHT10" s="108"/>
      <c r="IHU10" s="108"/>
      <c r="IHV10" s="108"/>
      <c r="IHW10" s="108"/>
      <c r="IHX10" s="108"/>
      <c r="IHY10" s="108"/>
      <c r="IHZ10" s="108"/>
      <c r="IIA10" s="108"/>
      <c r="IIB10" s="108"/>
      <c r="IIC10" s="108"/>
      <c r="IID10" s="108"/>
      <c r="IIE10" s="108"/>
      <c r="IIF10" s="108"/>
      <c r="IIG10" s="108"/>
      <c r="IIH10" s="108"/>
      <c r="III10" s="108"/>
      <c r="IIJ10" s="108"/>
      <c r="IIK10" s="108"/>
      <c r="IIL10" s="108"/>
      <c r="IIM10" s="108"/>
      <c r="IIN10" s="108"/>
      <c r="IIO10" s="108"/>
      <c r="IIP10" s="108"/>
      <c r="IIQ10" s="108"/>
      <c r="IIR10" s="108"/>
      <c r="IIS10" s="108"/>
      <c r="IIT10" s="108"/>
      <c r="IIU10" s="108"/>
      <c r="IIV10" s="108"/>
      <c r="IIW10" s="108"/>
      <c r="IIX10" s="108"/>
      <c r="IIY10" s="108"/>
      <c r="IIZ10" s="108"/>
      <c r="IJA10" s="108"/>
      <c r="IJB10" s="108"/>
      <c r="IJC10" s="108"/>
      <c r="IJD10" s="108"/>
      <c r="IJE10" s="108"/>
      <c r="IJF10" s="108"/>
      <c r="IJG10" s="108"/>
      <c r="IJH10" s="108"/>
      <c r="IJI10" s="108"/>
      <c r="IJJ10" s="108"/>
      <c r="IJK10" s="108"/>
      <c r="IJL10" s="108"/>
      <c r="IJM10" s="108"/>
      <c r="IJN10" s="108"/>
      <c r="IJO10" s="108"/>
      <c r="IJP10" s="108"/>
      <c r="IJQ10" s="108"/>
      <c r="IJR10" s="108"/>
      <c r="IJS10" s="108"/>
      <c r="IJT10" s="108"/>
      <c r="IJU10" s="108"/>
      <c r="IJV10" s="108"/>
      <c r="IJW10" s="108"/>
      <c r="IJX10" s="108"/>
      <c r="IJY10" s="108"/>
      <c r="IJZ10" s="108"/>
      <c r="IKA10" s="108"/>
      <c r="IKB10" s="108"/>
      <c r="IKC10" s="108"/>
      <c r="IKD10" s="108"/>
      <c r="IKE10" s="108"/>
      <c r="IKF10" s="108"/>
      <c r="IKG10" s="108"/>
      <c r="IKH10" s="108"/>
      <c r="IKI10" s="108"/>
      <c r="IKJ10" s="108"/>
      <c r="IKK10" s="108"/>
      <c r="IKL10" s="108"/>
      <c r="IKM10" s="108"/>
      <c r="IKN10" s="108"/>
      <c r="IKO10" s="108"/>
      <c r="IKP10" s="108"/>
      <c r="IKQ10" s="108"/>
      <c r="IKR10" s="108"/>
      <c r="IKS10" s="108"/>
      <c r="IKT10" s="108"/>
      <c r="IKU10" s="108"/>
      <c r="IKV10" s="108"/>
      <c r="IKW10" s="108"/>
      <c r="IKX10" s="108"/>
      <c r="IKY10" s="108"/>
      <c r="IKZ10" s="108"/>
      <c r="ILA10" s="108"/>
      <c r="ILB10" s="108"/>
      <c r="ILC10" s="108"/>
      <c r="ILD10" s="108"/>
      <c r="ILE10" s="108"/>
      <c r="ILF10" s="108"/>
      <c r="ILG10" s="108"/>
      <c r="ILH10" s="108"/>
      <c r="ILI10" s="108"/>
      <c r="ILJ10" s="108"/>
      <c r="ILK10" s="108"/>
      <c r="ILL10" s="108"/>
      <c r="ILM10" s="108"/>
      <c r="ILN10" s="108"/>
      <c r="ILO10" s="108"/>
      <c r="ILP10" s="108"/>
      <c r="ILQ10" s="108"/>
      <c r="ILR10" s="108"/>
      <c r="ILS10" s="108"/>
      <c r="ILT10" s="108"/>
      <c r="ILU10" s="108"/>
      <c r="ILV10" s="108"/>
      <c r="ILW10" s="108"/>
      <c r="ILX10" s="108"/>
      <c r="ILY10" s="108"/>
      <c r="ILZ10" s="108"/>
      <c r="IMA10" s="108"/>
      <c r="IMB10" s="108"/>
      <c r="IMC10" s="108"/>
      <c r="IMD10" s="108"/>
      <c r="IME10" s="108"/>
      <c r="IMF10" s="108"/>
      <c r="IMG10" s="108"/>
      <c r="IMH10" s="108"/>
      <c r="IMI10" s="108"/>
      <c r="IMJ10" s="108"/>
      <c r="IMK10" s="108"/>
      <c r="IML10" s="108"/>
      <c r="IMM10" s="108"/>
      <c r="IMN10" s="108"/>
      <c r="IMO10" s="108"/>
      <c r="IMP10" s="108"/>
      <c r="IMQ10" s="108"/>
      <c r="IMR10" s="108"/>
      <c r="IMS10" s="108"/>
      <c r="IMT10" s="108"/>
      <c r="IMU10" s="108"/>
      <c r="IMV10" s="108"/>
      <c r="IMW10" s="108"/>
      <c r="IMX10" s="108"/>
      <c r="IMY10" s="108"/>
      <c r="IMZ10" s="108"/>
      <c r="INA10" s="108"/>
      <c r="INB10" s="108"/>
      <c r="INC10" s="108"/>
      <c r="IND10" s="108"/>
      <c r="INE10" s="108"/>
      <c r="INF10" s="108"/>
      <c r="ING10" s="108"/>
      <c r="INH10" s="108"/>
      <c r="INI10" s="108"/>
      <c r="INJ10" s="108"/>
      <c r="INK10" s="108"/>
      <c r="INL10" s="108"/>
      <c r="INM10" s="108"/>
      <c r="INN10" s="108"/>
      <c r="INO10" s="108"/>
      <c r="INP10" s="108"/>
      <c r="INQ10" s="108"/>
      <c r="INR10" s="108"/>
      <c r="INS10" s="108"/>
      <c r="INT10" s="108"/>
      <c r="INU10" s="108"/>
      <c r="INV10" s="108"/>
      <c r="INW10" s="108"/>
      <c r="INX10" s="108"/>
      <c r="INY10" s="108"/>
      <c r="INZ10" s="108"/>
      <c r="IOA10" s="108"/>
      <c r="IOB10" s="108"/>
      <c r="IOC10" s="108"/>
      <c r="IOD10" s="108"/>
      <c r="IOE10" s="108"/>
      <c r="IOF10" s="108"/>
      <c r="IOG10" s="108"/>
      <c r="IOH10" s="108"/>
      <c r="IOI10" s="108"/>
      <c r="IOJ10" s="108"/>
      <c r="IOK10" s="108"/>
      <c r="IOL10" s="108"/>
      <c r="IOM10" s="108"/>
      <c r="ION10" s="108"/>
      <c r="IOO10" s="108"/>
      <c r="IOP10" s="108"/>
      <c r="IOQ10" s="108"/>
      <c r="IOR10" s="108"/>
      <c r="IOS10" s="108"/>
      <c r="IOT10" s="108"/>
      <c r="IOU10" s="108"/>
      <c r="IOV10" s="108"/>
      <c r="IOW10" s="108"/>
      <c r="IOX10" s="108"/>
      <c r="IOY10" s="108"/>
      <c r="IOZ10" s="108"/>
      <c r="IPA10" s="108"/>
      <c r="IPB10" s="108"/>
      <c r="IPC10" s="108"/>
      <c r="IPD10" s="108"/>
      <c r="IPE10" s="108"/>
      <c r="IPF10" s="108"/>
      <c r="IPG10" s="108"/>
      <c r="IPH10" s="108"/>
      <c r="IPI10" s="108"/>
      <c r="IPJ10" s="108"/>
      <c r="IPK10" s="108"/>
      <c r="IPL10" s="108"/>
      <c r="IPM10" s="108"/>
      <c r="IPN10" s="108"/>
      <c r="IPO10" s="108"/>
      <c r="IPP10" s="108"/>
      <c r="IPQ10" s="108"/>
      <c r="IPR10" s="108"/>
      <c r="IPS10" s="108"/>
      <c r="IPT10" s="108"/>
      <c r="IPU10" s="108"/>
      <c r="IPV10" s="108"/>
      <c r="IPW10" s="108"/>
      <c r="IPX10" s="108"/>
      <c r="IPY10" s="108"/>
      <c r="IPZ10" s="108"/>
      <c r="IQA10" s="108"/>
      <c r="IQB10" s="108"/>
      <c r="IQC10" s="108"/>
      <c r="IQD10" s="108"/>
      <c r="IQE10" s="108"/>
      <c r="IQF10" s="108"/>
      <c r="IQG10" s="108"/>
      <c r="IQH10" s="108"/>
      <c r="IQI10" s="108"/>
      <c r="IQJ10" s="108"/>
      <c r="IQK10" s="108"/>
      <c r="IQL10" s="108"/>
      <c r="IQM10" s="108"/>
      <c r="IQN10" s="108"/>
      <c r="IQO10" s="108"/>
      <c r="IQP10" s="108"/>
      <c r="IQQ10" s="108"/>
      <c r="IQR10" s="108"/>
      <c r="IQS10" s="108"/>
      <c r="IQT10" s="108"/>
      <c r="IQU10" s="108"/>
      <c r="IQV10" s="108"/>
      <c r="IQW10" s="108"/>
      <c r="IQX10" s="108"/>
      <c r="IQY10" s="108"/>
      <c r="IQZ10" s="108"/>
      <c r="IRA10" s="108"/>
      <c r="IRB10" s="108"/>
      <c r="IRC10" s="108"/>
      <c r="IRD10" s="108"/>
      <c r="IRE10" s="108"/>
      <c r="IRF10" s="108"/>
      <c r="IRG10" s="108"/>
      <c r="IRH10" s="108"/>
      <c r="IRI10" s="108"/>
      <c r="IRJ10" s="108"/>
      <c r="IRK10" s="108"/>
      <c r="IRL10" s="108"/>
      <c r="IRM10" s="108"/>
      <c r="IRN10" s="108"/>
      <c r="IRO10" s="108"/>
      <c r="IRP10" s="108"/>
      <c r="IRQ10" s="108"/>
      <c r="IRR10" s="108"/>
      <c r="IRS10" s="108"/>
      <c r="IRT10" s="108"/>
      <c r="IRU10" s="108"/>
      <c r="IRV10" s="108"/>
      <c r="IRW10" s="108"/>
      <c r="IRX10" s="108"/>
      <c r="IRY10" s="108"/>
      <c r="IRZ10" s="108"/>
      <c r="ISA10" s="108"/>
      <c r="ISB10" s="108"/>
      <c r="ISC10" s="108"/>
      <c r="ISD10" s="108"/>
      <c r="ISE10" s="108"/>
      <c r="ISF10" s="108"/>
      <c r="ISG10" s="108"/>
      <c r="ISH10" s="108"/>
      <c r="ISI10" s="108"/>
      <c r="ISJ10" s="108"/>
      <c r="ISK10" s="108"/>
      <c r="ISL10" s="108"/>
      <c r="ISM10" s="108"/>
      <c r="ISN10" s="108"/>
      <c r="ISO10" s="108"/>
      <c r="ISP10" s="108"/>
      <c r="ISQ10" s="108"/>
      <c r="ISR10" s="108"/>
      <c r="ISS10" s="108"/>
      <c r="IST10" s="108"/>
      <c r="ISU10" s="108"/>
      <c r="ISV10" s="108"/>
      <c r="ISW10" s="108"/>
      <c r="ISX10" s="108"/>
      <c r="ISY10" s="108"/>
      <c r="ISZ10" s="108"/>
      <c r="ITA10" s="108"/>
      <c r="ITB10" s="108"/>
      <c r="ITC10" s="108"/>
      <c r="ITD10" s="108"/>
      <c r="ITE10" s="108"/>
      <c r="ITF10" s="108"/>
      <c r="ITG10" s="108"/>
      <c r="ITH10" s="108"/>
      <c r="ITI10" s="108"/>
      <c r="ITJ10" s="108"/>
      <c r="ITK10" s="108"/>
      <c r="ITL10" s="108"/>
      <c r="ITM10" s="108"/>
      <c r="ITN10" s="108"/>
      <c r="ITO10" s="108"/>
      <c r="ITP10" s="108"/>
      <c r="ITQ10" s="108"/>
      <c r="ITR10" s="108"/>
      <c r="ITS10" s="108"/>
      <c r="ITT10" s="108"/>
      <c r="ITU10" s="108"/>
      <c r="ITV10" s="108"/>
      <c r="ITW10" s="108"/>
      <c r="ITX10" s="108"/>
      <c r="ITY10" s="108"/>
      <c r="ITZ10" s="108"/>
      <c r="IUA10" s="108"/>
      <c r="IUB10" s="108"/>
      <c r="IUC10" s="108"/>
      <c r="IUD10" s="108"/>
      <c r="IUE10" s="108"/>
      <c r="IUF10" s="108"/>
      <c r="IUG10" s="108"/>
      <c r="IUH10" s="108"/>
      <c r="IUI10" s="108"/>
      <c r="IUJ10" s="108"/>
      <c r="IUK10" s="108"/>
      <c r="IUL10" s="108"/>
      <c r="IUM10" s="108"/>
      <c r="IUN10" s="108"/>
      <c r="IUO10" s="108"/>
      <c r="IUP10" s="108"/>
      <c r="IUQ10" s="108"/>
      <c r="IUR10" s="108"/>
      <c r="IUS10" s="108"/>
      <c r="IUT10" s="108"/>
      <c r="IUU10" s="108"/>
      <c r="IUV10" s="108"/>
      <c r="IUW10" s="108"/>
      <c r="IUX10" s="108"/>
      <c r="IUY10" s="108"/>
      <c r="IUZ10" s="108"/>
      <c r="IVA10" s="108"/>
      <c r="IVB10" s="108"/>
      <c r="IVC10" s="108"/>
      <c r="IVD10" s="108"/>
      <c r="IVE10" s="108"/>
      <c r="IVF10" s="108"/>
      <c r="IVG10" s="108"/>
      <c r="IVH10" s="108"/>
      <c r="IVI10" s="108"/>
      <c r="IVJ10" s="108"/>
      <c r="IVK10" s="108"/>
      <c r="IVL10" s="108"/>
      <c r="IVM10" s="108"/>
      <c r="IVN10" s="108"/>
      <c r="IVO10" s="108"/>
      <c r="IVP10" s="108"/>
      <c r="IVQ10" s="108"/>
      <c r="IVR10" s="108"/>
      <c r="IVS10" s="108"/>
      <c r="IVT10" s="108"/>
      <c r="IVU10" s="108"/>
      <c r="IVV10" s="108"/>
      <c r="IVW10" s="108"/>
      <c r="IVX10" s="108"/>
      <c r="IVY10" s="108"/>
      <c r="IVZ10" s="108"/>
      <c r="IWA10" s="108"/>
      <c r="IWB10" s="108"/>
      <c r="IWC10" s="108"/>
      <c r="IWD10" s="108"/>
      <c r="IWE10" s="108"/>
      <c r="IWF10" s="108"/>
      <c r="IWG10" s="108"/>
      <c r="IWH10" s="108"/>
      <c r="IWI10" s="108"/>
      <c r="IWJ10" s="108"/>
      <c r="IWK10" s="108"/>
      <c r="IWL10" s="108"/>
      <c r="IWM10" s="108"/>
      <c r="IWN10" s="108"/>
      <c r="IWO10" s="108"/>
      <c r="IWP10" s="108"/>
      <c r="IWQ10" s="108"/>
      <c r="IWR10" s="108"/>
      <c r="IWS10" s="108"/>
      <c r="IWT10" s="108"/>
      <c r="IWU10" s="108"/>
      <c r="IWV10" s="108"/>
      <c r="IWW10" s="108"/>
      <c r="IWX10" s="108"/>
      <c r="IWY10" s="108"/>
      <c r="IWZ10" s="108"/>
      <c r="IXA10" s="108"/>
      <c r="IXB10" s="108"/>
      <c r="IXC10" s="108"/>
      <c r="IXD10" s="108"/>
      <c r="IXE10" s="108"/>
      <c r="IXF10" s="108"/>
      <c r="IXG10" s="108"/>
      <c r="IXH10" s="108"/>
      <c r="IXI10" s="108"/>
      <c r="IXJ10" s="108"/>
      <c r="IXK10" s="108"/>
      <c r="IXL10" s="108"/>
      <c r="IXM10" s="108"/>
      <c r="IXN10" s="108"/>
      <c r="IXO10" s="108"/>
      <c r="IXP10" s="108"/>
      <c r="IXQ10" s="108"/>
      <c r="IXR10" s="108"/>
      <c r="IXS10" s="108"/>
      <c r="IXT10" s="108"/>
      <c r="IXU10" s="108"/>
      <c r="IXV10" s="108"/>
      <c r="IXW10" s="108"/>
      <c r="IXX10" s="108"/>
      <c r="IXY10" s="108"/>
      <c r="IXZ10" s="108"/>
      <c r="IYA10" s="108"/>
      <c r="IYB10" s="108"/>
      <c r="IYC10" s="108"/>
      <c r="IYD10" s="108"/>
      <c r="IYE10" s="108"/>
      <c r="IYF10" s="108"/>
      <c r="IYG10" s="108"/>
      <c r="IYH10" s="108"/>
      <c r="IYI10" s="108"/>
      <c r="IYJ10" s="108"/>
      <c r="IYK10" s="108"/>
      <c r="IYL10" s="108"/>
      <c r="IYM10" s="108"/>
      <c r="IYN10" s="108"/>
      <c r="IYO10" s="108"/>
      <c r="IYP10" s="108"/>
      <c r="IYQ10" s="108"/>
      <c r="IYR10" s="108"/>
      <c r="IYS10" s="108"/>
      <c r="IYT10" s="108"/>
      <c r="IYU10" s="108"/>
      <c r="IYV10" s="108"/>
      <c r="IYW10" s="108"/>
      <c r="IYX10" s="108"/>
      <c r="IYY10" s="108"/>
      <c r="IYZ10" s="108"/>
      <c r="IZA10" s="108"/>
      <c r="IZB10" s="108"/>
      <c r="IZC10" s="108"/>
      <c r="IZD10" s="108"/>
      <c r="IZE10" s="108"/>
      <c r="IZF10" s="108"/>
      <c r="IZG10" s="108"/>
      <c r="IZH10" s="108"/>
      <c r="IZI10" s="108"/>
      <c r="IZJ10" s="108"/>
      <c r="IZK10" s="108"/>
      <c r="IZL10" s="108"/>
      <c r="IZM10" s="108"/>
      <c r="IZN10" s="108"/>
      <c r="IZO10" s="108"/>
      <c r="IZP10" s="108"/>
      <c r="IZQ10" s="108"/>
      <c r="IZR10" s="108"/>
      <c r="IZS10" s="108"/>
      <c r="IZT10" s="108"/>
      <c r="IZU10" s="108"/>
      <c r="IZV10" s="108"/>
      <c r="IZW10" s="108"/>
      <c r="IZX10" s="108"/>
      <c r="IZY10" s="108"/>
      <c r="IZZ10" s="108"/>
      <c r="JAA10" s="108"/>
      <c r="JAB10" s="108"/>
      <c r="JAC10" s="108"/>
      <c r="JAD10" s="108"/>
      <c r="JAE10" s="108"/>
      <c r="JAF10" s="108"/>
      <c r="JAG10" s="108"/>
      <c r="JAH10" s="108"/>
      <c r="JAI10" s="108"/>
      <c r="JAJ10" s="108"/>
      <c r="JAK10" s="108"/>
      <c r="JAL10" s="108"/>
      <c r="JAM10" s="108"/>
      <c r="JAN10" s="108"/>
      <c r="JAO10" s="108"/>
      <c r="JAP10" s="108"/>
      <c r="JAQ10" s="108"/>
      <c r="JAR10" s="108"/>
      <c r="JAS10" s="108"/>
      <c r="JAT10" s="108"/>
      <c r="JAU10" s="108"/>
      <c r="JAV10" s="108"/>
      <c r="JAW10" s="108"/>
      <c r="JAX10" s="108"/>
      <c r="JAY10" s="108"/>
      <c r="JAZ10" s="108"/>
      <c r="JBA10" s="108"/>
      <c r="JBB10" s="108"/>
      <c r="JBC10" s="108"/>
      <c r="JBD10" s="108"/>
      <c r="JBE10" s="108"/>
      <c r="JBF10" s="108"/>
      <c r="JBG10" s="108"/>
      <c r="JBH10" s="108"/>
      <c r="JBI10" s="108"/>
      <c r="JBJ10" s="108"/>
      <c r="JBK10" s="108"/>
      <c r="JBL10" s="108"/>
      <c r="JBM10" s="108"/>
      <c r="JBN10" s="108"/>
      <c r="JBO10" s="108"/>
      <c r="JBP10" s="108"/>
      <c r="JBQ10" s="108"/>
      <c r="JBR10" s="108"/>
      <c r="JBS10" s="108"/>
      <c r="JBT10" s="108"/>
      <c r="JBU10" s="108"/>
      <c r="JBV10" s="108"/>
      <c r="JBW10" s="108"/>
      <c r="JBX10" s="108"/>
      <c r="JBY10" s="108"/>
      <c r="JBZ10" s="108"/>
      <c r="JCA10" s="108"/>
      <c r="JCB10" s="108"/>
      <c r="JCC10" s="108"/>
      <c r="JCD10" s="108"/>
      <c r="JCE10" s="108"/>
      <c r="JCF10" s="108"/>
      <c r="JCG10" s="108"/>
      <c r="JCH10" s="108"/>
      <c r="JCI10" s="108"/>
      <c r="JCJ10" s="108"/>
      <c r="JCK10" s="108"/>
      <c r="JCL10" s="108"/>
      <c r="JCM10" s="108"/>
      <c r="JCN10" s="108"/>
      <c r="JCO10" s="108"/>
      <c r="JCP10" s="108"/>
      <c r="JCQ10" s="108"/>
      <c r="JCR10" s="108"/>
      <c r="JCS10" s="108"/>
      <c r="JCT10" s="108"/>
      <c r="JCU10" s="108"/>
      <c r="JCV10" s="108"/>
      <c r="JCW10" s="108"/>
      <c r="JCX10" s="108"/>
      <c r="JCY10" s="108"/>
      <c r="JCZ10" s="108"/>
      <c r="JDA10" s="108"/>
      <c r="JDB10" s="108"/>
      <c r="JDC10" s="108"/>
      <c r="JDD10" s="108"/>
      <c r="JDE10" s="108"/>
      <c r="JDF10" s="108"/>
      <c r="JDG10" s="108"/>
      <c r="JDH10" s="108"/>
      <c r="JDI10" s="108"/>
      <c r="JDJ10" s="108"/>
      <c r="JDK10" s="108"/>
      <c r="JDL10" s="108"/>
      <c r="JDM10" s="108"/>
      <c r="JDN10" s="108"/>
      <c r="JDO10" s="108"/>
      <c r="JDP10" s="108"/>
      <c r="JDQ10" s="108"/>
      <c r="JDR10" s="108"/>
      <c r="JDS10" s="108"/>
      <c r="JDT10" s="108"/>
      <c r="JDU10" s="108"/>
      <c r="JDV10" s="108"/>
      <c r="JDW10" s="108"/>
      <c r="JDX10" s="108"/>
      <c r="JDY10" s="108"/>
      <c r="JDZ10" s="108"/>
      <c r="JEA10" s="108"/>
      <c r="JEB10" s="108"/>
      <c r="JEC10" s="108"/>
      <c r="JED10" s="108"/>
      <c r="JEE10" s="108"/>
      <c r="JEF10" s="108"/>
      <c r="JEG10" s="108"/>
      <c r="JEH10" s="108"/>
      <c r="JEI10" s="108"/>
      <c r="JEJ10" s="108"/>
      <c r="JEK10" s="108"/>
      <c r="JEL10" s="108"/>
      <c r="JEM10" s="108"/>
      <c r="JEN10" s="108"/>
      <c r="JEO10" s="108"/>
      <c r="JEP10" s="108"/>
      <c r="JEQ10" s="108"/>
      <c r="JER10" s="108"/>
      <c r="JES10" s="108"/>
      <c r="JET10" s="108"/>
      <c r="JEU10" s="108"/>
      <c r="JEV10" s="108"/>
      <c r="JEW10" s="108"/>
      <c r="JEX10" s="108"/>
      <c r="JEY10" s="108"/>
      <c r="JEZ10" s="108"/>
      <c r="JFA10" s="108"/>
      <c r="JFB10" s="108"/>
      <c r="JFC10" s="108"/>
      <c r="JFD10" s="108"/>
      <c r="JFE10" s="108"/>
      <c r="JFF10" s="108"/>
      <c r="JFG10" s="108"/>
      <c r="JFH10" s="108"/>
      <c r="JFI10" s="108"/>
      <c r="JFJ10" s="108"/>
      <c r="JFK10" s="108"/>
      <c r="JFL10" s="108"/>
      <c r="JFM10" s="108"/>
      <c r="JFN10" s="108"/>
      <c r="JFO10" s="108"/>
      <c r="JFP10" s="108"/>
      <c r="JFQ10" s="108"/>
      <c r="JFR10" s="108"/>
      <c r="JFS10" s="108"/>
      <c r="JFT10" s="108"/>
      <c r="JFU10" s="108"/>
      <c r="JFV10" s="108"/>
      <c r="JFW10" s="108"/>
      <c r="JFX10" s="108"/>
      <c r="JFY10" s="108"/>
      <c r="JFZ10" s="108"/>
      <c r="JGA10" s="108"/>
      <c r="JGB10" s="108"/>
      <c r="JGC10" s="108"/>
      <c r="JGD10" s="108"/>
      <c r="JGE10" s="108"/>
      <c r="JGF10" s="108"/>
      <c r="JGG10" s="108"/>
      <c r="JGH10" s="108"/>
      <c r="JGI10" s="108"/>
      <c r="JGJ10" s="108"/>
      <c r="JGK10" s="108"/>
      <c r="JGL10" s="108"/>
      <c r="JGM10" s="108"/>
      <c r="JGN10" s="108"/>
      <c r="JGO10" s="108"/>
      <c r="JGP10" s="108"/>
      <c r="JGQ10" s="108"/>
      <c r="JGR10" s="108"/>
      <c r="JGS10" s="108"/>
      <c r="JGT10" s="108"/>
      <c r="JGU10" s="108"/>
      <c r="JGV10" s="108"/>
      <c r="JGW10" s="108"/>
      <c r="JGX10" s="108"/>
      <c r="JGY10" s="108"/>
      <c r="JGZ10" s="108"/>
      <c r="JHA10" s="108"/>
      <c r="JHB10" s="108"/>
      <c r="JHC10" s="108"/>
      <c r="JHD10" s="108"/>
      <c r="JHE10" s="108"/>
      <c r="JHF10" s="108"/>
      <c r="JHG10" s="108"/>
      <c r="JHH10" s="108"/>
      <c r="JHI10" s="108"/>
      <c r="JHJ10" s="108"/>
      <c r="JHK10" s="108"/>
      <c r="JHL10" s="108"/>
      <c r="JHM10" s="108"/>
      <c r="JHN10" s="108"/>
      <c r="JHO10" s="108"/>
      <c r="JHP10" s="108"/>
      <c r="JHQ10" s="108"/>
      <c r="JHR10" s="108"/>
      <c r="JHS10" s="108"/>
      <c r="JHT10" s="108"/>
      <c r="JHU10" s="108"/>
      <c r="JHV10" s="108"/>
      <c r="JHW10" s="108"/>
      <c r="JHX10" s="108"/>
      <c r="JHY10" s="108"/>
      <c r="JHZ10" s="108"/>
      <c r="JIA10" s="108"/>
      <c r="JIB10" s="108"/>
      <c r="JIC10" s="108"/>
      <c r="JID10" s="108"/>
      <c r="JIE10" s="108"/>
      <c r="JIF10" s="108"/>
      <c r="JIG10" s="108"/>
      <c r="JIH10" s="108"/>
      <c r="JII10" s="108"/>
      <c r="JIJ10" s="108"/>
      <c r="JIK10" s="108"/>
      <c r="JIL10" s="108"/>
      <c r="JIM10" s="108"/>
      <c r="JIN10" s="108"/>
      <c r="JIO10" s="108"/>
      <c r="JIP10" s="108"/>
      <c r="JIQ10" s="108"/>
      <c r="JIR10" s="108"/>
      <c r="JIS10" s="108"/>
      <c r="JIT10" s="108"/>
      <c r="JIU10" s="108"/>
      <c r="JIV10" s="108"/>
      <c r="JIW10" s="108"/>
      <c r="JIX10" s="108"/>
      <c r="JIY10" s="108"/>
      <c r="JIZ10" s="108"/>
      <c r="JJA10" s="108"/>
      <c r="JJB10" s="108"/>
      <c r="JJC10" s="108"/>
      <c r="JJD10" s="108"/>
      <c r="JJE10" s="108"/>
      <c r="JJF10" s="108"/>
      <c r="JJG10" s="108"/>
      <c r="JJH10" s="108"/>
      <c r="JJI10" s="108"/>
      <c r="JJJ10" s="108"/>
      <c r="JJK10" s="108"/>
      <c r="JJL10" s="108"/>
      <c r="JJM10" s="108"/>
      <c r="JJN10" s="108"/>
      <c r="JJO10" s="108"/>
      <c r="JJP10" s="108"/>
      <c r="JJQ10" s="108"/>
      <c r="JJR10" s="108"/>
      <c r="JJS10" s="108"/>
      <c r="JJT10" s="108"/>
      <c r="JJU10" s="108"/>
      <c r="JJV10" s="108"/>
      <c r="JJW10" s="108"/>
      <c r="JJX10" s="108"/>
      <c r="JJY10" s="108"/>
      <c r="JJZ10" s="108"/>
      <c r="JKA10" s="108"/>
      <c r="JKB10" s="108"/>
      <c r="JKC10" s="108"/>
      <c r="JKD10" s="108"/>
      <c r="JKE10" s="108"/>
      <c r="JKF10" s="108"/>
      <c r="JKG10" s="108"/>
      <c r="JKH10" s="108"/>
      <c r="JKI10" s="108"/>
      <c r="JKJ10" s="108"/>
      <c r="JKK10" s="108"/>
      <c r="JKL10" s="108"/>
      <c r="JKM10" s="108"/>
      <c r="JKN10" s="108"/>
      <c r="JKO10" s="108"/>
      <c r="JKP10" s="108"/>
      <c r="JKQ10" s="108"/>
      <c r="JKR10" s="108"/>
      <c r="JKS10" s="108"/>
      <c r="JKT10" s="108"/>
      <c r="JKU10" s="108"/>
      <c r="JKV10" s="108"/>
      <c r="JKW10" s="108"/>
      <c r="JKX10" s="108"/>
      <c r="JKY10" s="108"/>
      <c r="JKZ10" s="108"/>
      <c r="JLA10" s="108"/>
      <c r="JLB10" s="108"/>
      <c r="JLC10" s="108"/>
      <c r="JLD10" s="108"/>
      <c r="JLE10" s="108"/>
      <c r="JLF10" s="108"/>
      <c r="JLG10" s="108"/>
      <c r="JLH10" s="108"/>
      <c r="JLI10" s="108"/>
      <c r="JLJ10" s="108"/>
      <c r="JLK10" s="108"/>
      <c r="JLL10" s="108"/>
      <c r="JLM10" s="108"/>
      <c r="JLN10" s="108"/>
      <c r="JLO10" s="108"/>
      <c r="JLP10" s="108"/>
      <c r="JLQ10" s="108"/>
      <c r="JLR10" s="108"/>
      <c r="JLS10" s="108"/>
      <c r="JLT10" s="108"/>
      <c r="JLU10" s="108"/>
      <c r="JLV10" s="108"/>
      <c r="JLW10" s="108"/>
      <c r="JLX10" s="108"/>
      <c r="JLY10" s="108"/>
      <c r="JLZ10" s="108"/>
      <c r="JMA10" s="108"/>
      <c r="JMB10" s="108"/>
      <c r="JMC10" s="108"/>
      <c r="JMD10" s="108"/>
      <c r="JME10" s="108"/>
      <c r="JMF10" s="108"/>
      <c r="JMG10" s="108"/>
      <c r="JMH10" s="108"/>
      <c r="JMI10" s="108"/>
      <c r="JMJ10" s="108"/>
      <c r="JMK10" s="108"/>
      <c r="JML10" s="108"/>
      <c r="JMM10" s="108"/>
      <c r="JMN10" s="108"/>
      <c r="JMO10" s="108"/>
      <c r="JMP10" s="108"/>
      <c r="JMQ10" s="108"/>
      <c r="JMR10" s="108"/>
      <c r="JMS10" s="108"/>
      <c r="JMT10" s="108"/>
      <c r="JMU10" s="108"/>
      <c r="JMV10" s="108"/>
      <c r="JMW10" s="108"/>
      <c r="JMX10" s="108"/>
      <c r="JMY10" s="108"/>
      <c r="JMZ10" s="108"/>
      <c r="JNA10" s="108"/>
      <c r="JNB10" s="108"/>
      <c r="JNC10" s="108"/>
      <c r="JND10" s="108"/>
      <c r="JNE10" s="108"/>
      <c r="JNF10" s="108"/>
      <c r="JNG10" s="108"/>
      <c r="JNH10" s="108"/>
      <c r="JNI10" s="108"/>
      <c r="JNJ10" s="108"/>
      <c r="JNK10" s="108"/>
      <c r="JNL10" s="108"/>
      <c r="JNM10" s="108"/>
      <c r="JNN10" s="108"/>
      <c r="JNO10" s="108"/>
      <c r="JNP10" s="108"/>
      <c r="JNQ10" s="108"/>
      <c r="JNR10" s="108"/>
      <c r="JNS10" s="108"/>
      <c r="JNT10" s="108"/>
      <c r="JNU10" s="108"/>
      <c r="JNV10" s="108"/>
      <c r="JNW10" s="108"/>
      <c r="JNX10" s="108"/>
      <c r="JNY10" s="108"/>
      <c r="JNZ10" s="108"/>
      <c r="JOA10" s="108"/>
      <c r="JOB10" s="108"/>
      <c r="JOC10" s="108"/>
      <c r="JOD10" s="108"/>
      <c r="JOE10" s="108"/>
      <c r="JOF10" s="108"/>
      <c r="JOG10" s="108"/>
      <c r="JOH10" s="108"/>
      <c r="JOI10" s="108"/>
      <c r="JOJ10" s="108"/>
      <c r="JOK10" s="108"/>
      <c r="JOL10" s="108"/>
      <c r="JOM10" s="108"/>
      <c r="JON10" s="108"/>
      <c r="JOO10" s="108"/>
      <c r="JOP10" s="108"/>
      <c r="JOQ10" s="108"/>
      <c r="JOR10" s="108"/>
      <c r="JOS10" s="108"/>
      <c r="JOT10" s="108"/>
      <c r="JOU10" s="108"/>
      <c r="JOV10" s="108"/>
      <c r="JOW10" s="108"/>
      <c r="JOX10" s="108"/>
      <c r="JOY10" s="108"/>
      <c r="JOZ10" s="108"/>
      <c r="JPA10" s="108"/>
      <c r="JPB10" s="108"/>
      <c r="JPC10" s="108"/>
      <c r="JPD10" s="108"/>
      <c r="JPE10" s="108"/>
      <c r="JPF10" s="108"/>
      <c r="JPG10" s="108"/>
      <c r="JPH10" s="108"/>
      <c r="JPI10" s="108"/>
      <c r="JPJ10" s="108"/>
      <c r="JPK10" s="108"/>
      <c r="JPL10" s="108"/>
      <c r="JPM10" s="108"/>
      <c r="JPN10" s="108"/>
      <c r="JPO10" s="108"/>
      <c r="JPP10" s="108"/>
      <c r="JPQ10" s="108"/>
      <c r="JPR10" s="108"/>
      <c r="JPS10" s="108"/>
      <c r="JPT10" s="108"/>
      <c r="JPU10" s="108"/>
      <c r="JPV10" s="108"/>
      <c r="JPW10" s="108"/>
      <c r="JPX10" s="108"/>
      <c r="JPY10" s="108"/>
      <c r="JPZ10" s="108"/>
      <c r="JQA10" s="108"/>
      <c r="JQB10" s="108"/>
      <c r="JQC10" s="108"/>
      <c r="JQD10" s="108"/>
      <c r="JQE10" s="108"/>
      <c r="JQF10" s="108"/>
      <c r="JQG10" s="108"/>
      <c r="JQH10" s="108"/>
      <c r="JQI10" s="108"/>
      <c r="JQJ10" s="108"/>
      <c r="JQK10" s="108"/>
      <c r="JQL10" s="108"/>
      <c r="JQM10" s="108"/>
      <c r="JQN10" s="108"/>
      <c r="JQO10" s="108"/>
      <c r="JQP10" s="108"/>
      <c r="JQQ10" s="108"/>
      <c r="JQR10" s="108"/>
      <c r="JQS10" s="108"/>
      <c r="JQT10" s="108"/>
      <c r="JQU10" s="108"/>
      <c r="JQV10" s="108"/>
      <c r="JQW10" s="108"/>
      <c r="JQX10" s="108"/>
      <c r="JQY10" s="108"/>
      <c r="JQZ10" s="108"/>
      <c r="JRA10" s="108"/>
      <c r="JRB10" s="108"/>
      <c r="JRC10" s="108"/>
      <c r="JRD10" s="108"/>
      <c r="JRE10" s="108"/>
      <c r="JRF10" s="108"/>
      <c r="JRG10" s="108"/>
      <c r="JRH10" s="108"/>
      <c r="JRI10" s="108"/>
      <c r="JRJ10" s="108"/>
      <c r="JRK10" s="108"/>
      <c r="JRL10" s="108"/>
      <c r="JRM10" s="108"/>
      <c r="JRN10" s="108"/>
      <c r="JRO10" s="108"/>
      <c r="JRP10" s="108"/>
      <c r="JRQ10" s="108"/>
      <c r="JRR10" s="108"/>
      <c r="JRS10" s="108"/>
      <c r="JRT10" s="108"/>
      <c r="JRU10" s="108"/>
      <c r="JRV10" s="108"/>
      <c r="JRW10" s="108"/>
      <c r="JRX10" s="108"/>
      <c r="JRY10" s="108"/>
      <c r="JRZ10" s="108"/>
      <c r="JSA10" s="108"/>
      <c r="JSB10" s="108"/>
      <c r="JSC10" s="108"/>
      <c r="JSD10" s="108"/>
      <c r="JSE10" s="108"/>
      <c r="JSF10" s="108"/>
      <c r="JSG10" s="108"/>
      <c r="JSH10" s="108"/>
      <c r="JSI10" s="108"/>
      <c r="JSJ10" s="108"/>
      <c r="JSK10" s="108"/>
      <c r="JSL10" s="108"/>
      <c r="JSM10" s="108"/>
      <c r="JSN10" s="108"/>
      <c r="JSO10" s="108"/>
      <c r="JSP10" s="108"/>
      <c r="JSQ10" s="108"/>
      <c r="JSR10" s="108"/>
      <c r="JSS10" s="108"/>
      <c r="JST10" s="108"/>
      <c r="JSU10" s="108"/>
      <c r="JSV10" s="108"/>
      <c r="JSW10" s="108"/>
      <c r="JSX10" s="108"/>
      <c r="JSY10" s="108"/>
      <c r="JSZ10" s="108"/>
      <c r="JTA10" s="108"/>
      <c r="JTB10" s="108"/>
      <c r="JTC10" s="108"/>
      <c r="JTD10" s="108"/>
      <c r="JTE10" s="108"/>
      <c r="JTF10" s="108"/>
      <c r="JTG10" s="108"/>
      <c r="JTH10" s="108"/>
      <c r="JTI10" s="108"/>
      <c r="JTJ10" s="108"/>
      <c r="JTK10" s="108"/>
      <c r="JTL10" s="108"/>
      <c r="JTM10" s="108"/>
      <c r="JTN10" s="108"/>
      <c r="JTO10" s="108"/>
      <c r="JTP10" s="108"/>
      <c r="JTQ10" s="108"/>
      <c r="JTR10" s="108"/>
      <c r="JTS10" s="108"/>
      <c r="JTT10" s="108"/>
      <c r="JTU10" s="108"/>
      <c r="JTV10" s="108"/>
      <c r="JTW10" s="108"/>
      <c r="JTX10" s="108"/>
      <c r="JTY10" s="108"/>
      <c r="JTZ10" s="108"/>
      <c r="JUA10" s="108"/>
      <c r="JUB10" s="108"/>
      <c r="JUC10" s="108"/>
      <c r="JUD10" s="108"/>
      <c r="JUE10" s="108"/>
      <c r="JUF10" s="108"/>
      <c r="JUG10" s="108"/>
      <c r="JUH10" s="108"/>
      <c r="JUI10" s="108"/>
      <c r="JUJ10" s="108"/>
      <c r="JUK10" s="108"/>
      <c r="JUL10" s="108"/>
      <c r="JUM10" s="108"/>
      <c r="JUN10" s="108"/>
      <c r="JUO10" s="108"/>
      <c r="JUP10" s="108"/>
      <c r="JUQ10" s="108"/>
      <c r="JUR10" s="108"/>
      <c r="JUS10" s="108"/>
      <c r="JUT10" s="108"/>
      <c r="JUU10" s="108"/>
      <c r="JUV10" s="108"/>
      <c r="JUW10" s="108"/>
      <c r="JUX10" s="108"/>
      <c r="JUY10" s="108"/>
      <c r="JUZ10" s="108"/>
      <c r="JVA10" s="108"/>
      <c r="JVB10" s="108"/>
      <c r="JVC10" s="108"/>
      <c r="JVD10" s="108"/>
      <c r="JVE10" s="108"/>
      <c r="JVF10" s="108"/>
      <c r="JVG10" s="108"/>
      <c r="JVH10" s="108"/>
      <c r="JVI10" s="108"/>
      <c r="JVJ10" s="108"/>
      <c r="JVK10" s="108"/>
      <c r="JVL10" s="108"/>
      <c r="JVM10" s="108"/>
      <c r="JVN10" s="108"/>
      <c r="JVO10" s="108"/>
      <c r="JVP10" s="108"/>
      <c r="JVQ10" s="108"/>
      <c r="JVR10" s="108"/>
      <c r="JVS10" s="108"/>
      <c r="JVT10" s="108"/>
      <c r="JVU10" s="108"/>
      <c r="JVV10" s="108"/>
      <c r="JVW10" s="108"/>
      <c r="JVX10" s="108"/>
      <c r="JVY10" s="108"/>
      <c r="JVZ10" s="108"/>
      <c r="JWA10" s="108"/>
      <c r="JWB10" s="108"/>
      <c r="JWC10" s="108"/>
      <c r="JWD10" s="108"/>
      <c r="JWE10" s="108"/>
      <c r="JWF10" s="108"/>
      <c r="JWG10" s="108"/>
      <c r="JWH10" s="108"/>
      <c r="JWI10" s="108"/>
      <c r="JWJ10" s="108"/>
      <c r="JWK10" s="108"/>
      <c r="JWL10" s="108"/>
      <c r="JWM10" s="108"/>
      <c r="JWN10" s="108"/>
      <c r="JWO10" s="108"/>
      <c r="JWP10" s="108"/>
      <c r="JWQ10" s="108"/>
      <c r="JWR10" s="108"/>
      <c r="JWS10" s="108"/>
      <c r="JWT10" s="108"/>
      <c r="JWU10" s="108"/>
      <c r="JWV10" s="108"/>
      <c r="JWW10" s="108"/>
      <c r="JWX10" s="108"/>
      <c r="JWY10" s="108"/>
      <c r="JWZ10" s="108"/>
      <c r="JXA10" s="108"/>
      <c r="JXB10" s="108"/>
      <c r="JXC10" s="108"/>
      <c r="JXD10" s="108"/>
      <c r="JXE10" s="108"/>
      <c r="JXF10" s="108"/>
      <c r="JXG10" s="108"/>
      <c r="JXH10" s="108"/>
      <c r="JXI10" s="108"/>
      <c r="JXJ10" s="108"/>
      <c r="JXK10" s="108"/>
      <c r="JXL10" s="108"/>
      <c r="JXM10" s="108"/>
      <c r="JXN10" s="108"/>
      <c r="JXO10" s="108"/>
      <c r="JXP10" s="108"/>
      <c r="JXQ10" s="108"/>
      <c r="JXR10" s="108"/>
      <c r="JXS10" s="108"/>
      <c r="JXT10" s="108"/>
      <c r="JXU10" s="108"/>
      <c r="JXV10" s="108"/>
      <c r="JXW10" s="108"/>
      <c r="JXX10" s="108"/>
      <c r="JXY10" s="108"/>
      <c r="JXZ10" s="108"/>
      <c r="JYA10" s="108"/>
      <c r="JYB10" s="108"/>
      <c r="JYC10" s="108"/>
      <c r="JYD10" s="108"/>
      <c r="JYE10" s="108"/>
      <c r="JYF10" s="108"/>
      <c r="JYG10" s="108"/>
      <c r="JYH10" s="108"/>
      <c r="JYI10" s="108"/>
      <c r="JYJ10" s="108"/>
      <c r="JYK10" s="108"/>
      <c r="JYL10" s="108"/>
      <c r="JYM10" s="108"/>
      <c r="JYN10" s="108"/>
      <c r="JYO10" s="108"/>
      <c r="JYP10" s="108"/>
      <c r="JYQ10" s="108"/>
      <c r="JYR10" s="108"/>
      <c r="JYS10" s="108"/>
      <c r="JYT10" s="108"/>
      <c r="JYU10" s="108"/>
      <c r="JYV10" s="108"/>
      <c r="JYW10" s="108"/>
      <c r="JYX10" s="108"/>
      <c r="JYY10" s="108"/>
      <c r="JYZ10" s="108"/>
      <c r="JZA10" s="108"/>
      <c r="JZB10" s="108"/>
      <c r="JZC10" s="108"/>
      <c r="JZD10" s="108"/>
      <c r="JZE10" s="108"/>
      <c r="JZF10" s="108"/>
      <c r="JZG10" s="108"/>
      <c r="JZH10" s="108"/>
      <c r="JZI10" s="108"/>
      <c r="JZJ10" s="108"/>
      <c r="JZK10" s="108"/>
      <c r="JZL10" s="108"/>
      <c r="JZM10" s="108"/>
      <c r="JZN10" s="108"/>
      <c r="JZO10" s="108"/>
      <c r="JZP10" s="108"/>
      <c r="JZQ10" s="108"/>
      <c r="JZR10" s="108"/>
      <c r="JZS10" s="108"/>
      <c r="JZT10" s="108"/>
      <c r="JZU10" s="108"/>
      <c r="JZV10" s="108"/>
      <c r="JZW10" s="108"/>
      <c r="JZX10" s="108"/>
      <c r="JZY10" s="108"/>
      <c r="JZZ10" s="108"/>
      <c r="KAA10" s="108"/>
      <c r="KAB10" s="108"/>
      <c r="KAC10" s="108"/>
      <c r="KAD10" s="108"/>
      <c r="KAE10" s="108"/>
      <c r="KAF10" s="108"/>
      <c r="KAG10" s="108"/>
      <c r="KAH10" s="108"/>
      <c r="KAI10" s="108"/>
      <c r="KAJ10" s="108"/>
      <c r="KAK10" s="108"/>
      <c r="KAL10" s="108"/>
      <c r="KAM10" s="108"/>
      <c r="KAN10" s="108"/>
      <c r="KAO10" s="108"/>
      <c r="KAP10" s="108"/>
      <c r="KAQ10" s="108"/>
      <c r="KAR10" s="108"/>
      <c r="KAS10" s="108"/>
      <c r="KAT10" s="108"/>
      <c r="KAU10" s="108"/>
      <c r="KAV10" s="108"/>
      <c r="KAW10" s="108"/>
      <c r="KAX10" s="108"/>
      <c r="KAY10" s="108"/>
      <c r="KAZ10" s="108"/>
      <c r="KBA10" s="108"/>
      <c r="KBB10" s="108"/>
      <c r="KBC10" s="108"/>
      <c r="KBD10" s="108"/>
      <c r="KBE10" s="108"/>
      <c r="KBF10" s="108"/>
      <c r="KBG10" s="108"/>
      <c r="KBH10" s="108"/>
      <c r="KBI10" s="108"/>
      <c r="KBJ10" s="108"/>
      <c r="KBK10" s="108"/>
      <c r="KBL10" s="108"/>
      <c r="KBM10" s="108"/>
      <c r="KBN10" s="108"/>
      <c r="KBO10" s="108"/>
      <c r="KBP10" s="108"/>
      <c r="KBQ10" s="108"/>
      <c r="KBR10" s="108"/>
      <c r="KBS10" s="108"/>
      <c r="KBT10" s="108"/>
      <c r="KBU10" s="108"/>
      <c r="KBV10" s="108"/>
      <c r="KBW10" s="108"/>
      <c r="KBX10" s="108"/>
      <c r="KBY10" s="108"/>
      <c r="KBZ10" s="108"/>
      <c r="KCA10" s="108"/>
      <c r="KCB10" s="108"/>
      <c r="KCC10" s="108"/>
      <c r="KCD10" s="108"/>
      <c r="KCE10" s="108"/>
      <c r="KCF10" s="108"/>
      <c r="KCG10" s="108"/>
      <c r="KCH10" s="108"/>
      <c r="KCI10" s="108"/>
      <c r="KCJ10" s="108"/>
      <c r="KCK10" s="108"/>
      <c r="KCL10" s="108"/>
      <c r="KCM10" s="108"/>
      <c r="KCN10" s="108"/>
      <c r="KCO10" s="108"/>
      <c r="KCP10" s="108"/>
      <c r="KCQ10" s="108"/>
      <c r="KCR10" s="108"/>
      <c r="KCS10" s="108"/>
      <c r="KCT10" s="108"/>
      <c r="KCU10" s="108"/>
      <c r="KCV10" s="108"/>
      <c r="KCW10" s="108"/>
      <c r="KCX10" s="108"/>
      <c r="KCY10" s="108"/>
      <c r="KCZ10" s="108"/>
      <c r="KDA10" s="108"/>
      <c r="KDB10" s="108"/>
      <c r="KDC10" s="108"/>
      <c r="KDD10" s="108"/>
      <c r="KDE10" s="108"/>
      <c r="KDF10" s="108"/>
      <c r="KDG10" s="108"/>
      <c r="KDH10" s="108"/>
      <c r="KDI10" s="108"/>
      <c r="KDJ10" s="108"/>
      <c r="KDK10" s="108"/>
      <c r="KDL10" s="108"/>
      <c r="KDM10" s="108"/>
      <c r="KDN10" s="108"/>
      <c r="KDO10" s="108"/>
      <c r="KDP10" s="108"/>
      <c r="KDQ10" s="108"/>
      <c r="KDR10" s="108"/>
      <c r="KDS10" s="108"/>
      <c r="KDT10" s="108"/>
      <c r="KDU10" s="108"/>
      <c r="KDV10" s="108"/>
      <c r="KDW10" s="108"/>
      <c r="KDX10" s="108"/>
      <c r="KDY10" s="108"/>
      <c r="KDZ10" s="108"/>
      <c r="KEA10" s="108"/>
      <c r="KEB10" s="108"/>
      <c r="KEC10" s="108"/>
      <c r="KED10" s="108"/>
      <c r="KEE10" s="108"/>
      <c r="KEF10" s="108"/>
      <c r="KEG10" s="108"/>
      <c r="KEH10" s="108"/>
      <c r="KEI10" s="108"/>
      <c r="KEJ10" s="108"/>
      <c r="KEK10" s="108"/>
      <c r="KEL10" s="108"/>
      <c r="KEM10" s="108"/>
      <c r="KEN10" s="108"/>
      <c r="KEO10" s="108"/>
      <c r="KEP10" s="108"/>
      <c r="KEQ10" s="108"/>
      <c r="KER10" s="108"/>
      <c r="KES10" s="108"/>
      <c r="KET10" s="108"/>
      <c r="KEU10" s="108"/>
      <c r="KEV10" s="108"/>
      <c r="KEW10" s="108"/>
      <c r="KEX10" s="108"/>
      <c r="KEY10" s="108"/>
      <c r="KEZ10" s="108"/>
      <c r="KFA10" s="108"/>
      <c r="KFB10" s="108"/>
      <c r="KFC10" s="108"/>
      <c r="KFD10" s="108"/>
      <c r="KFE10" s="108"/>
      <c r="KFF10" s="108"/>
      <c r="KFG10" s="108"/>
      <c r="KFH10" s="108"/>
      <c r="KFI10" s="108"/>
      <c r="KFJ10" s="108"/>
      <c r="KFK10" s="108"/>
      <c r="KFL10" s="108"/>
      <c r="KFM10" s="108"/>
      <c r="KFN10" s="108"/>
      <c r="KFO10" s="108"/>
      <c r="KFP10" s="108"/>
      <c r="KFQ10" s="108"/>
      <c r="KFR10" s="108"/>
      <c r="KFS10" s="108"/>
      <c r="KFT10" s="108"/>
      <c r="KFU10" s="108"/>
      <c r="KFV10" s="108"/>
      <c r="KFW10" s="108"/>
      <c r="KFX10" s="108"/>
      <c r="KFY10" s="108"/>
      <c r="KFZ10" s="108"/>
      <c r="KGA10" s="108"/>
      <c r="KGB10" s="108"/>
      <c r="KGC10" s="108"/>
      <c r="KGD10" s="108"/>
      <c r="KGE10" s="108"/>
      <c r="KGF10" s="108"/>
      <c r="KGG10" s="108"/>
      <c r="KGH10" s="108"/>
      <c r="KGI10" s="108"/>
      <c r="KGJ10" s="108"/>
      <c r="KGK10" s="108"/>
      <c r="KGL10" s="108"/>
      <c r="KGM10" s="108"/>
      <c r="KGN10" s="108"/>
      <c r="KGO10" s="108"/>
      <c r="KGP10" s="108"/>
      <c r="KGQ10" s="108"/>
      <c r="KGR10" s="108"/>
      <c r="KGS10" s="108"/>
      <c r="KGT10" s="108"/>
      <c r="KGU10" s="108"/>
      <c r="KGV10" s="108"/>
      <c r="KGW10" s="108"/>
      <c r="KGX10" s="108"/>
      <c r="KGY10" s="108"/>
      <c r="KGZ10" s="108"/>
      <c r="KHA10" s="108"/>
      <c r="KHB10" s="108"/>
      <c r="KHC10" s="108"/>
      <c r="KHD10" s="108"/>
      <c r="KHE10" s="108"/>
      <c r="KHF10" s="108"/>
      <c r="KHG10" s="108"/>
      <c r="KHH10" s="108"/>
      <c r="KHI10" s="108"/>
      <c r="KHJ10" s="108"/>
      <c r="KHK10" s="108"/>
      <c r="KHL10" s="108"/>
      <c r="KHM10" s="108"/>
      <c r="KHN10" s="108"/>
      <c r="KHO10" s="108"/>
      <c r="KHP10" s="108"/>
      <c r="KHQ10" s="108"/>
      <c r="KHR10" s="108"/>
      <c r="KHS10" s="108"/>
      <c r="KHT10" s="108"/>
      <c r="KHU10" s="108"/>
      <c r="KHV10" s="108"/>
      <c r="KHW10" s="108"/>
      <c r="KHX10" s="108"/>
      <c r="KHY10" s="108"/>
      <c r="KHZ10" s="108"/>
      <c r="KIA10" s="108"/>
      <c r="KIB10" s="108"/>
      <c r="KIC10" s="108"/>
      <c r="KID10" s="108"/>
      <c r="KIE10" s="108"/>
      <c r="KIF10" s="108"/>
      <c r="KIG10" s="108"/>
      <c r="KIH10" s="108"/>
      <c r="KII10" s="108"/>
      <c r="KIJ10" s="108"/>
      <c r="KIK10" s="108"/>
      <c r="KIL10" s="108"/>
      <c r="KIM10" s="108"/>
      <c r="KIN10" s="108"/>
      <c r="KIO10" s="108"/>
      <c r="KIP10" s="108"/>
      <c r="KIQ10" s="108"/>
      <c r="KIR10" s="108"/>
      <c r="KIS10" s="108"/>
      <c r="KIT10" s="108"/>
      <c r="KIU10" s="108"/>
      <c r="KIV10" s="108"/>
      <c r="KIW10" s="108"/>
      <c r="KIX10" s="108"/>
      <c r="KIY10" s="108"/>
      <c r="KIZ10" s="108"/>
      <c r="KJA10" s="108"/>
      <c r="KJB10" s="108"/>
      <c r="KJC10" s="108"/>
      <c r="KJD10" s="108"/>
      <c r="KJE10" s="108"/>
      <c r="KJF10" s="108"/>
      <c r="KJG10" s="108"/>
      <c r="KJH10" s="108"/>
      <c r="KJI10" s="108"/>
      <c r="KJJ10" s="108"/>
      <c r="KJK10" s="108"/>
      <c r="KJL10" s="108"/>
      <c r="KJM10" s="108"/>
      <c r="KJN10" s="108"/>
      <c r="KJO10" s="108"/>
      <c r="KJP10" s="108"/>
      <c r="KJQ10" s="108"/>
      <c r="KJR10" s="108"/>
      <c r="KJS10" s="108"/>
      <c r="KJT10" s="108"/>
      <c r="KJU10" s="108"/>
      <c r="KJV10" s="108"/>
      <c r="KJW10" s="108"/>
      <c r="KJX10" s="108"/>
      <c r="KJY10" s="108"/>
      <c r="KJZ10" s="108"/>
      <c r="KKA10" s="108"/>
      <c r="KKB10" s="108"/>
      <c r="KKC10" s="108"/>
      <c r="KKD10" s="108"/>
      <c r="KKE10" s="108"/>
      <c r="KKF10" s="108"/>
      <c r="KKG10" s="108"/>
      <c r="KKH10" s="108"/>
      <c r="KKI10" s="108"/>
      <c r="KKJ10" s="108"/>
      <c r="KKK10" s="108"/>
      <c r="KKL10" s="108"/>
      <c r="KKM10" s="108"/>
      <c r="KKN10" s="108"/>
      <c r="KKO10" s="108"/>
      <c r="KKP10" s="108"/>
      <c r="KKQ10" s="108"/>
      <c r="KKR10" s="108"/>
      <c r="KKS10" s="108"/>
      <c r="KKT10" s="108"/>
      <c r="KKU10" s="108"/>
      <c r="KKV10" s="108"/>
      <c r="KKW10" s="108"/>
      <c r="KKX10" s="108"/>
      <c r="KKY10" s="108"/>
      <c r="KKZ10" s="108"/>
      <c r="KLA10" s="108"/>
      <c r="KLB10" s="108"/>
      <c r="KLC10" s="108"/>
      <c r="KLD10" s="108"/>
      <c r="KLE10" s="108"/>
      <c r="KLF10" s="108"/>
      <c r="KLG10" s="108"/>
      <c r="KLH10" s="108"/>
      <c r="KLI10" s="108"/>
      <c r="KLJ10" s="108"/>
      <c r="KLK10" s="108"/>
      <c r="KLL10" s="108"/>
      <c r="KLM10" s="108"/>
      <c r="KLN10" s="108"/>
      <c r="KLO10" s="108"/>
      <c r="KLP10" s="108"/>
      <c r="KLQ10" s="108"/>
      <c r="KLR10" s="108"/>
      <c r="KLS10" s="108"/>
      <c r="KLT10" s="108"/>
      <c r="KLU10" s="108"/>
      <c r="KLV10" s="108"/>
      <c r="KLW10" s="108"/>
      <c r="KLX10" s="108"/>
      <c r="KLY10" s="108"/>
      <c r="KLZ10" s="108"/>
      <c r="KMA10" s="108"/>
      <c r="KMB10" s="108"/>
      <c r="KMC10" s="108"/>
      <c r="KMD10" s="108"/>
      <c r="KME10" s="108"/>
      <c r="KMF10" s="108"/>
      <c r="KMG10" s="108"/>
      <c r="KMH10" s="108"/>
      <c r="KMI10" s="108"/>
      <c r="KMJ10" s="108"/>
      <c r="KMK10" s="108"/>
      <c r="KML10" s="108"/>
      <c r="KMM10" s="108"/>
      <c r="KMN10" s="108"/>
      <c r="KMO10" s="108"/>
      <c r="KMP10" s="108"/>
      <c r="KMQ10" s="108"/>
      <c r="KMR10" s="108"/>
      <c r="KMS10" s="108"/>
      <c r="KMT10" s="108"/>
      <c r="KMU10" s="108"/>
      <c r="KMV10" s="108"/>
      <c r="KMW10" s="108"/>
      <c r="KMX10" s="108"/>
      <c r="KMY10" s="108"/>
      <c r="KMZ10" s="108"/>
      <c r="KNA10" s="108"/>
      <c r="KNB10" s="108"/>
      <c r="KNC10" s="108"/>
      <c r="KND10" s="108"/>
      <c r="KNE10" s="108"/>
      <c r="KNF10" s="108"/>
      <c r="KNG10" s="108"/>
      <c r="KNH10" s="108"/>
      <c r="KNI10" s="108"/>
      <c r="KNJ10" s="108"/>
      <c r="KNK10" s="108"/>
      <c r="KNL10" s="108"/>
      <c r="KNM10" s="108"/>
      <c r="KNN10" s="108"/>
      <c r="KNO10" s="108"/>
      <c r="KNP10" s="108"/>
      <c r="KNQ10" s="108"/>
      <c r="KNR10" s="108"/>
      <c r="KNS10" s="108"/>
      <c r="KNT10" s="108"/>
      <c r="KNU10" s="108"/>
      <c r="KNV10" s="108"/>
      <c r="KNW10" s="108"/>
      <c r="KNX10" s="108"/>
      <c r="KNY10" s="108"/>
      <c r="KNZ10" s="108"/>
      <c r="KOA10" s="108"/>
      <c r="KOB10" s="108"/>
      <c r="KOC10" s="108"/>
      <c r="KOD10" s="108"/>
      <c r="KOE10" s="108"/>
      <c r="KOF10" s="108"/>
      <c r="KOG10" s="108"/>
      <c r="KOH10" s="108"/>
      <c r="KOI10" s="108"/>
      <c r="KOJ10" s="108"/>
      <c r="KOK10" s="108"/>
      <c r="KOL10" s="108"/>
      <c r="KOM10" s="108"/>
      <c r="KON10" s="108"/>
      <c r="KOO10" s="108"/>
      <c r="KOP10" s="108"/>
      <c r="KOQ10" s="108"/>
      <c r="KOR10" s="108"/>
      <c r="KOS10" s="108"/>
      <c r="KOT10" s="108"/>
      <c r="KOU10" s="108"/>
      <c r="KOV10" s="108"/>
      <c r="KOW10" s="108"/>
      <c r="KOX10" s="108"/>
      <c r="KOY10" s="108"/>
      <c r="KOZ10" s="108"/>
      <c r="KPA10" s="108"/>
      <c r="KPB10" s="108"/>
      <c r="KPC10" s="108"/>
      <c r="KPD10" s="108"/>
      <c r="KPE10" s="108"/>
      <c r="KPF10" s="108"/>
      <c r="KPG10" s="108"/>
      <c r="KPH10" s="108"/>
      <c r="KPI10" s="108"/>
      <c r="KPJ10" s="108"/>
      <c r="KPK10" s="108"/>
      <c r="KPL10" s="108"/>
      <c r="KPM10" s="108"/>
      <c r="KPN10" s="108"/>
      <c r="KPO10" s="108"/>
      <c r="KPP10" s="108"/>
      <c r="KPQ10" s="108"/>
      <c r="KPR10" s="108"/>
      <c r="KPS10" s="108"/>
      <c r="KPT10" s="108"/>
      <c r="KPU10" s="108"/>
      <c r="KPV10" s="108"/>
      <c r="KPW10" s="108"/>
      <c r="KPX10" s="108"/>
      <c r="KPY10" s="108"/>
      <c r="KPZ10" s="108"/>
      <c r="KQA10" s="108"/>
      <c r="KQB10" s="108"/>
      <c r="KQC10" s="108"/>
      <c r="KQD10" s="108"/>
      <c r="KQE10" s="108"/>
      <c r="KQF10" s="108"/>
      <c r="KQG10" s="108"/>
      <c r="KQH10" s="108"/>
      <c r="KQI10" s="108"/>
      <c r="KQJ10" s="108"/>
      <c r="KQK10" s="108"/>
      <c r="KQL10" s="108"/>
      <c r="KQM10" s="108"/>
      <c r="KQN10" s="108"/>
      <c r="KQO10" s="108"/>
      <c r="KQP10" s="108"/>
      <c r="KQQ10" s="108"/>
      <c r="KQR10" s="108"/>
      <c r="KQS10" s="108"/>
      <c r="KQT10" s="108"/>
      <c r="KQU10" s="108"/>
      <c r="KQV10" s="108"/>
      <c r="KQW10" s="108"/>
      <c r="KQX10" s="108"/>
      <c r="KQY10" s="108"/>
      <c r="KQZ10" s="108"/>
      <c r="KRA10" s="108"/>
      <c r="KRB10" s="108"/>
      <c r="KRC10" s="108"/>
      <c r="KRD10" s="108"/>
      <c r="KRE10" s="108"/>
      <c r="KRF10" s="108"/>
      <c r="KRG10" s="108"/>
      <c r="KRH10" s="108"/>
      <c r="KRI10" s="108"/>
      <c r="KRJ10" s="108"/>
      <c r="KRK10" s="108"/>
      <c r="KRL10" s="108"/>
      <c r="KRM10" s="108"/>
      <c r="KRN10" s="108"/>
      <c r="KRO10" s="108"/>
      <c r="KRP10" s="108"/>
      <c r="KRQ10" s="108"/>
      <c r="KRR10" s="108"/>
      <c r="KRS10" s="108"/>
      <c r="KRT10" s="108"/>
      <c r="KRU10" s="108"/>
      <c r="KRV10" s="108"/>
      <c r="KRW10" s="108"/>
      <c r="KRX10" s="108"/>
      <c r="KRY10" s="108"/>
      <c r="KRZ10" s="108"/>
      <c r="KSA10" s="108"/>
      <c r="KSB10" s="108"/>
      <c r="KSC10" s="108"/>
      <c r="KSD10" s="108"/>
      <c r="KSE10" s="108"/>
      <c r="KSF10" s="108"/>
      <c r="KSG10" s="108"/>
      <c r="KSH10" s="108"/>
      <c r="KSI10" s="108"/>
      <c r="KSJ10" s="108"/>
      <c r="KSK10" s="108"/>
      <c r="KSL10" s="108"/>
      <c r="KSM10" s="108"/>
      <c r="KSN10" s="108"/>
      <c r="KSO10" s="108"/>
      <c r="KSP10" s="108"/>
      <c r="KSQ10" s="108"/>
      <c r="KSR10" s="108"/>
      <c r="KSS10" s="108"/>
      <c r="KST10" s="108"/>
      <c r="KSU10" s="108"/>
      <c r="KSV10" s="108"/>
      <c r="KSW10" s="108"/>
      <c r="KSX10" s="108"/>
      <c r="KSY10" s="108"/>
      <c r="KSZ10" s="108"/>
      <c r="KTA10" s="108"/>
      <c r="KTB10" s="108"/>
      <c r="KTC10" s="108"/>
      <c r="KTD10" s="108"/>
      <c r="KTE10" s="108"/>
      <c r="KTF10" s="108"/>
      <c r="KTG10" s="108"/>
      <c r="KTH10" s="108"/>
      <c r="KTI10" s="108"/>
      <c r="KTJ10" s="108"/>
      <c r="KTK10" s="108"/>
      <c r="KTL10" s="108"/>
      <c r="KTM10" s="108"/>
      <c r="KTN10" s="108"/>
      <c r="KTO10" s="108"/>
      <c r="KTP10" s="108"/>
      <c r="KTQ10" s="108"/>
      <c r="KTR10" s="108"/>
      <c r="KTS10" s="108"/>
      <c r="KTT10" s="108"/>
      <c r="KTU10" s="108"/>
      <c r="KTV10" s="108"/>
      <c r="KTW10" s="108"/>
      <c r="KTX10" s="108"/>
      <c r="KTY10" s="108"/>
      <c r="KTZ10" s="108"/>
      <c r="KUA10" s="108"/>
      <c r="KUB10" s="108"/>
      <c r="KUC10" s="108"/>
      <c r="KUD10" s="108"/>
      <c r="KUE10" s="108"/>
      <c r="KUF10" s="108"/>
      <c r="KUG10" s="108"/>
      <c r="KUH10" s="108"/>
      <c r="KUI10" s="108"/>
      <c r="KUJ10" s="108"/>
      <c r="KUK10" s="108"/>
      <c r="KUL10" s="108"/>
      <c r="KUM10" s="108"/>
      <c r="KUN10" s="108"/>
      <c r="KUO10" s="108"/>
      <c r="KUP10" s="108"/>
      <c r="KUQ10" s="108"/>
      <c r="KUR10" s="108"/>
      <c r="KUS10" s="108"/>
      <c r="KUT10" s="108"/>
      <c r="KUU10" s="108"/>
      <c r="KUV10" s="108"/>
      <c r="KUW10" s="108"/>
      <c r="KUX10" s="108"/>
      <c r="KUY10" s="108"/>
      <c r="KUZ10" s="108"/>
      <c r="KVA10" s="108"/>
      <c r="KVB10" s="108"/>
      <c r="KVC10" s="108"/>
      <c r="KVD10" s="108"/>
      <c r="KVE10" s="108"/>
      <c r="KVF10" s="108"/>
      <c r="KVG10" s="108"/>
      <c r="KVH10" s="108"/>
      <c r="KVI10" s="108"/>
      <c r="KVJ10" s="108"/>
      <c r="KVK10" s="108"/>
      <c r="KVL10" s="108"/>
      <c r="KVM10" s="108"/>
      <c r="KVN10" s="108"/>
      <c r="KVO10" s="108"/>
      <c r="KVP10" s="108"/>
      <c r="KVQ10" s="108"/>
      <c r="KVR10" s="108"/>
      <c r="KVS10" s="108"/>
      <c r="KVT10" s="108"/>
      <c r="KVU10" s="108"/>
      <c r="KVV10" s="108"/>
      <c r="KVW10" s="108"/>
      <c r="KVX10" s="108"/>
      <c r="KVY10" s="108"/>
      <c r="KVZ10" s="108"/>
      <c r="KWA10" s="108"/>
      <c r="KWB10" s="108"/>
      <c r="KWC10" s="108"/>
      <c r="KWD10" s="108"/>
      <c r="KWE10" s="108"/>
      <c r="KWF10" s="108"/>
      <c r="KWG10" s="108"/>
      <c r="KWH10" s="108"/>
      <c r="KWI10" s="108"/>
      <c r="KWJ10" s="108"/>
      <c r="KWK10" s="108"/>
      <c r="KWL10" s="108"/>
      <c r="KWM10" s="108"/>
      <c r="KWN10" s="108"/>
      <c r="KWO10" s="108"/>
      <c r="KWP10" s="108"/>
      <c r="KWQ10" s="108"/>
      <c r="KWR10" s="108"/>
      <c r="KWS10" s="108"/>
      <c r="KWT10" s="108"/>
      <c r="KWU10" s="108"/>
      <c r="KWV10" s="108"/>
      <c r="KWW10" s="108"/>
      <c r="KWX10" s="108"/>
      <c r="KWY10" s="108"/>
      <c r="KWZ10" s="108"/>
      <c r="KXA10" s="108"/>
      <c r="KXB10" s="108"/>
      <c r="KXC10" s="108"/>
      <c r="KXD10" s="108"/>
      <c r="KXE10" s="108"/>
      <c r="KXF10" s="108"/>
      <c r="KXG10" s="108"/>
      <c r="KXH10" s="108"/>
      <c r="KXI10" s="108"/>
      <c r="KXJ10" s="108"/>
      <c r="KXK10" s="108"/>
      <c r="KXL10" s="108"/>
      <c r="KXM10" s="108"/>
      <c r="KXN10" s="108"/>
      <c r="KXO10" s="108"/>
      <c r="KXP10" s="108"/>
      <c r="KXQ10" s="108"/>
      <c r="KXR10" s="108"/>
      <c r="KXS10" s="108"/>
      <c r="KXT10" s="108"/>
      <c r="KXU10" s="108"/>
      <c r="KXV10" s="108"/>
      <c r="KXW10" s="108"/>
      <c r="KXX10" s="108"/>
      <c r="KXY10" s="108"/>
      <c r="KXZ10" s="108"/>
      <c r="KYA10" s="108"/>
      <c r="KYB10" s="108"/>
      <c r="KYC10" s="108"/>
      <c r="KYD10" s="108"/>
      <c r="KYE10" s="108"/>
      <c r="KYF10" s="108"/>
      <c r="KYG10" s="108"/>
      <c r="KYH10" s="108"/>
      <c r="KYI10" s="108"/>
      <c r="KYJ10" s="108"/>
      <c r="KYK10" s="108"/>
      <c r="KYL10" s="108"/>
      <c r="KYM10" s="108"/>
      <c r="KYN10" s="108"/>
      <c r="KYO10" s="108"/>
      <c r="KYP10" s="108"/>
      <c r="KYQ10" s="108"/>
      <c r="KYR10" s="108"/>
      <c r="KYS10" s="108"/>
      <c r="KYT10" s="108"/>
      <c r="KYU10" s="108"/>
      <c r="KYV10" s="108"/>
      <c r="KYW10" s="108"/>
      <c r="KYX10" s="108"/>
      <c r="KYY10" s="108"/>
      <c r="KYZ10" s="108"/>
      <c r="KZA10" s="108"/>
      <c r="KZB10" s="108"/>
      <c r="KZC10" s="108"/>
      <c r="KZD10" s="108"/>
      <c r="KZE10" s="108"/>
      <c r="KZF10" s="108"/>
      <c r="KZG10" s="108"/>
      <c r="KZH10" s="108"/>
      <c r="KZI10" s="108"/>
      <c r="KZJ10" s="108"/>
      <c r="KZK10" s="108"/>
      <c r="KZL10" s="108"/>
      <c r="KZM10" s="108"/>
      <c r="KZN10" s="108"/>
      <c r="KZO10" s="108"/>
      <c r="KZP10" s="108"/>
      <c r="KZQ10" s="108"/>
      <c r="KZR10" s="108"/>
      <c r="KZS10" s="108"/>
      <c r="KZT10" s="108"/>
      <c r="KZU10" s="108"/>
      <c r="KZV10" s="108"/>
      <c r="KZW10" s="108"/>
      <c r="KZX10" s="108"/>
      <c r="KZY10" s="108"/>
      <c r="KZZ10" s="108"/>
      <c r="LAA10" s="108"/>
      <c r="LAB10" s="108"/>
      <c r="LAC10" s="108"/>
      <c r="LAD10" s="108"/>
      <c r="LAE10" s="108"/>
      <c r="LAF10" s="108"/>
      <c r="LAG10" s="108"/>
      <c r="LAH10" s="108"/>
      <c r="LAI10" s="108"/>
      <c r="LAJ10" s="108"/>
      <c r="LAK10" s="108"/>
      <c r="LAL10" s="108"/>
      <c r="LAM10" s="108"/>
      <c r="LAN10" s="108"/>
      <c r="LAO10" s="108"/>
      <c r="LAP10" s="108"/>
      <c r="LAQ10" s="108"/>
      <c r="LAR10" s="108"/>
      <c r="LAS10" s="108"/>
      <c r="LAT10" s="108"/>
      <c r="LAU10" s="108"/>
      <c r="LAV10" s="108"/>
      <c r="LAW10" s="108"/>
      <c r="LAX10" s="108"/>
      <c r="LAY10" s="108"/>
      <c r="LAZ10" s="108"/>
      <c r="LBA10" s="108"/>
      <c r="LBB10" s="108"/>
      <c r="LBC10" s="108"/>
      <c r="LBD10" s="108"/>
      <c r="LBE10" s="108"/>
      <c r="LBF10" s="108"/>
      <c r="LBG10" s="108"/>
      <c r="LBH10" s="108"/>
      <c r="LBI10" s="108"/>
      <c r="LBJ10" s="108"/>
      <c r="LBK10" s="108"/>
      <c r="LBL10" s="108"/>
      <c r="LBM10" s="108"/>
      <c r="LBN10" s="108"/>
      <c r="LBO10" s="108"/>
      <c r="LBP10" s="108"/>
      <c r="LBQ10" s="108"/>
      <c r="LBR10" s="108"/>
      <c r="LBS10" s="108"/>
      <c r="LBT10" s="108"/>
      <c r="LBU10" s="108"/>
      <c r="LBV10" s="108"/>
      <c r="LBW10" s="108"/>
      <c r="LBX10" s="108"/>
      <c r="LBY10" s="108"/>
      <c r="LBZ10" s="108"/>
      <c r="LCA10" s="108"/>
      <c r="LCB10" s="108"/>
      <c r="LCC10" s="108"/>
      <c r="LCD10" s="108"/>
      <c r="LCE10" s="108"/>
      <c r="LCF10" s="108"/>
      <c r="LCG10" s="108"/>
      <c r="LCH10" s="108"/>
      <c r="LCI10" s="108"/>
      <c r="LCJ10" s="108"/>
      <c r="LCK10" s="108"/>
      <c r="LCL10" s="108"/>
      <c r="LCM10" s="108"/>
      <c r="LCN10" s="108"/>
      <c r="LCO10" s="108"/>
      <c r="LCP10" s="108"/>
      <c r="LCQ10" s="108"/>
      <c r="LCR10" s="108"/>
      <c r="LCS10" s="108"/>
      <c r="LCT10" s="108"/>
      <c r="LCU10" s="108"/>
      <c r="LCV10" s="108"/>
      <c r="LCW10" s="108"/>
      <c r="LCX10" s="108"/>
      <c r="LCY10" s="108"/>
      <c r="LCZ10" s="108"/>
      <c r="LDA10" s="108"/>
      <c r="LDB10" s="108"/>
      <c r="LDC10" s="108"/>
      <c r="LDD10" s="108"/>
      <c r="LDE10" s="108"/>
      <c r="LDF10" s="108"/>
      <c r="LDG10" s="108"/>
      <c r="LDH10" s="108"/>
      <c r="LDI10" s="108"/>
      <c r="LDJ10" s="108"/>
      <c r="LDK10" s="108"/>
      <c r="LDL10" s="108"/>
      <c r="LDM10" s="108"/>
      <c r="LDN10" s="108"/>
      <c r="LDO10" s="108"/>
      <c r="LDP10" s="108"/>
      <c r="LDQ10" s="108"/>
      <c r="LDR10" s="108"/>
      <c r="LDS10" s="108"/>
      <c r="LDT10" s="108"/>
      <c r="LDU10" s="108"/>
      <c r="LDV10" s="108"/>
      <c r="LDW10" s="108"/>
      <c r="LDX10" s="108"/>
      <c r="LDY10" s="108"/>
      <c r="LDZ10" s="108"/>
      <c r="LEA10" s="108"/>
      <c r="LEB10" s="108"/>
      <c r="LEC10" s="108"/>
      <c r="LED10" s="108"/>
      <c r="LEE10" s="108"/>
      <c r="LEF10" s="108"/>
      <c r="LEG10" s="108"/>
      <c r="LEH10" s="108"/>
      <c r="LEI10" s="108"/>
      <c r="LEJ10" s="108"/>
      <c r="LEK10" s="108"/>
      <c r="LEL10" s="108"/>
      <c r="LEM10" s="108"/>
      <c r="LEN10" s="108"/>
      <c r="LEO10" s="108"/>
      <c r="LEP10" s="108"/>
      <c r="LEQ10" s="108"/>
      <c r="LER10" s="108"/>
      <c r="LES10" s="108"/>
      <c r="LET10" s="108"/>
      <c r="LEU10" s="108"/>
      <c r="LEV10" s="108"/>
      <c r="LEW10" s="108"/>
      <c r="LEX10" s="108"/>
      <c r="LEY10" s="108"/>
      <c r="LEZ10" s="108"/>
      <c r="LFA10" s="108"/>
      <c r="LFB10" s="108"/>
      <c r="LFC10" s="108"/>
      <c r="LFD10" s="108"/>
      <c r="LFE10" s="108"/>
      <c r="LFF10" s="108"/>
      <c r="LFG10" s="108"/>
      <c r="LFH10" s="108"/>
      <c r="LFI10" s="108"/>
      <c r="LFJ10" s="108"/>
      <c r="LFK10" s="108"/>
      <c r="LFL10" s="108"/>
      <c r="LFM10" s="108"/>
      <c r="LFN10" s="108"/>
      <c r="LFO10" s="108"/>
      <c r="LFP10" s="108"/>
      <c r="LFQ10" s="108"/>
      <c r="LFR10" s="108"/>
      <c r="LFS10" s="108"/>
      <c r="LFT10" s="108"/>
      <c r="LFU10" s="108"/>
      <c r="LFV10" s="108"/>
      <c r="LFW10" s="108"/>
      <c r="LFX10" s="108"/>
      <c r="LFY10" s="108"/>
      <c r="LFZ10" s="108"/>
      <c r="LGA10" s="108"/>
      <c r="LGB10" s="108"/>
      <c r="LGC10" s="108"/>
      <c r="LGD10" s="108"/>
      <c r="LGE10" s="108"/>
      <c r="LGF10" s="108"/>
      <c r="LGG10" s="108"/>
      <c r="LGH10" s="108"/>
      <c r="LGI10" s="108"/>
      <c r="LGJ10" s="108"/>
      <c r="LGK10" s="108"/>
      <c r="LGL10" s="108"/>
      <c r="LGM10" s="108"/>
      <c r="LGN10" s="108"/>
      <c r="LGO10" s="108"/>
      <c r="LGP10" s="108"/>
      <c r="LGQ10" s="108"/>
      <c r="LGR10" s="108"/>
      <c r="LGS10" s="108"/>
      <c r="LGT10" s="108"/>
      <c r="LGU10" s="108"/>
      <c r="LGV10" s="108"/>
      <c r="LGW10" s="108"/>
      <c r="LGX10" s="108"/>
      <c r="LGY10" s="108"/>
      <c r="LGZ10" s="108"/>
      <c r="LHA10" s="108"/>
      <c r="LHB10" s="108"/>
      <c r="LHC10" s="108"/>
      <c r="LHD10" s="108"/>
      <c r="LHE10" s="108"/>
      <c r="LHF10" s="108"/>
      <c r="LHG10" s="108"/>
      <c r="LHH10" s="108"/>
      <c r="LHI10" s="108"/>
      <c r="LHJ10" s="108"/>
      <c r="LHK10" s="108"/>
      <c r="LHL10" s="108"/>
      <c r="LHM10" s="108"/>
      <c r="LHN10" s="108"/>
      <c r="LHO10" s="108"/>
      <c r="LHP10" s="108"/>
      <c r="LHQ10" s="108"/>
      <c r="LHR10" s="108"/>
      <c r="LHS10" s="108"/>
      <c r="LHT10" s="108"/>
      <c r="LHU10" s="108"/>
      <c r="LHV10" s="108"/>
      <c r="LHW10" s="108"/>
      <c r="LHX10" s="108"/>
      <c r="LHY10" s="108"/>
      <c r="LHZ10" s="108"/>
      <c r="LIA10" s="108"/>
      <c r="LIB10" s="108"/>
      <c r="LIC10" s="108"/>
      <c r="LID10" s="108"/>
      <c r="LIE10" s="108"/>
      <c r="LIF10" s="108"/>
      <c r="LIG10" s="108"/>
      <c r="LIH10" s="108"/>
      <c r="LII10" s="108"/>
      <c r="LIJ10" s="108"/>
      <c r="LIK10" s="108"/>
      <c r="LIL10" s="108"/>
      <c r="LIM10" s="108"/>
      <c r="LIN10" s="108"/>
      <c r="LIO10" s="108"/>
      <c r="LIP10" s="108"/>
      <c r="LIQ10" s="108"/>
      <c r="LIR10" s="108"/>
      <c r="LIS10" s="108"/>
      <c r="LIT10" s="108"/>
      <c r="LIU10" s="108"/>
      <c r="LIV10" s="108"/>
      <c r="LIW10" s="108"/>
      <c r="LIX10" s="108"/>
      <c r="LIY10" s="108"/>
      <c r="LIZ10" s="108"/>
      <c r="LJA10" s="108"/>
      <c r="LJB10" s="108"/>
      <c r="LJC10" s="108"/>
      <c r="LJD10" s="108"/>
      <c r="LJE10" s="108"/>
      <c r="LJF10" s="108"/>
      <c r="LJG10" s="108"/>
      <c r="LJH10" s="108"/>
      <c r="LJI10" s="108"/>
      <c r="LJJ10" s="108"/>
      <c r="LJK10" s="108"/>
      <c r="LJL10" s="108"/>
      <c r="LJM10" s="108"/>
      <c r="LJN10" s="108"/>
      <c r="LJO10" s="108"/>
      <c r="LJP10" s="108"/>
      <c r="LJQ10" s="108"/>
      <c r="LJR10" s="108"/>
      <c r="LJS10" s="108"/>
      <c r="LJT10" s="108"/>
      <c r="LJU10" s="108"/>
      <c r="LJV10" s="108"/>
      <c r="LJW10" s="108"/>
      <c r="LJX10" s="108"/>
      <c r="LJY10" s="108"/>
      <c r="LJZ10" s="108"/>
      <c r="LKA10" s="108"/>
      <c r="LKB10" s="108"/>
      <c r="LKC10" s="108"/>
      <c r="LKD10" s="108"/>
      <c r="LKE10" s="108"/>
      <c r="LKF10" s="108"/>
      <c r="LKG10" s="108"/>
      <c r="LKH10" s="108"/>
      <c r="LKI10" s="108"/>
      <c r="LKJ10" s="108"/>
      <c r="LKK10" s="108"/>
      <c r="LKL10" s="108"/>
      <c r="LKM10" s="108"/>
      <c r="LKN10" s="108"/>
      <c r="LKO10" s="108"/>
      <c r="LKP10" s="108"/>
      <c r="LKQ10" s="108"/>
      <c r="LKR10" s="108"/>
      <c r="LKS10" s="108"/>
      <c r="LKT10" s="108"/>
      <c r="LKU10" s="108"/>
      <c r="LKV10" s="108"/>
      <c r="LKW10" s="108"/>
      <c r="LKX10" s="108"/>
      <c r="LKY10" s="108"/>
      <c r="LKZ10" s="108"/>
      <c r="LLA10" s="108"/>
      <c r="LLB10" s="108"/>
      <c r="LLC10" s="108"/>
      <c r="LLD10" s="108"/>
      <c r="LLE10" s="108"/>
      <c r="LLF10" s="108"/>
      <c r="LLG10" s="108"/>
      <c r="LLH10" s="108"/>
      <c r="LLI10" s="108"/>
      <c r="LLJ10" s="108"/>
      <c r="LLK10" s="108"/>
      <c r="LLL10" s="108"/>
      <c r="LLM10" s="108"/>
      <c r="LLN10" s="108"/>
      <c r="LLO10" s="108"/>
      <c r="LLP10" s="108"/>
      <c r="LLQ10" s="108"/>
      <c r="LLR10" s="108"/>
      <c r="LLS10" s="108"/>
      <c r="LLT10" s="108"/>
      <c r="LLU10" s="108"/>
      <c r="LLV10" s="108"/>
      <c r="LLW10" s="108"/>
      <c r="LLX10" s="108"/>
      <c r="LLY10" s="108"/>
      <c r="LLZ10" s="108"/>
      <c r="LMA10" s="108"/>
      <c r="LMB10" s="108"/>
      <c r="LMC10" s="108"/>
      <c r="LMD10" s="108"/>
      <c r="LME10" s="108"/>
      <c r="LMF10" s="108"/>
      <c r="LMG10" s="108"/>
      <c r="LMH10" s="108"/>
      <c r="LMI10" s="108"/>
      <c r="LMJ10" s="108"/>
      <c r="LMK10" s="108"/>
      <c r="LML10" s="108"/>
      <c r="LMM10" s="108"/>
      <c r="LMN10" s="108"/>
      <c r="LMO10" s="108"/>
      <c r="LMP10" s="108"/>
      <c r="LMQ10" s="108"/>
      <c r="LMR10" s="108"/>
      <c r="LMS10" s="108"/>
      <c r="LMT10" s="108"/>
      <c r="LMU10" s="108"/>
      <c r="LMV10" s="108"/>
      <c r="LMW10" s="108"/>
      <c r="LMX10" s="108"/>
      <c r="LMY10" s="108"/>
      <c r="LMZ10" s="108"/>
      <c r="LNA10" s="108"/>
      <c r="LNB10" s="108"/>
      <c r="LNC10" s="108"/>
      <c r="LND10" s="108"/>
      <c r="LNE10" s="108"/>
      <c r="LNF10" s="108"/>
      <c r="LNG10" s="108"/>
      <c r="LNH10" s="108"/>
      <c r="LNI10" s="108"/>
      <c r="LNJ10" s="108"/>
      <c r="LNK10" s="108"/>
      <c r="LNL10" s="108"/>
      <c r="LNM10" s="108"/>
      <c r="LNN10" s="108"/>
      <c r="LNO10" s="108"/>
      <c r="LNP10" s="108"/>
      <c r="LNQ10" s="108"/>
      <c r="LNR10" s="108"/>
      <c r="LNS10" s="108"/>
      <c r="LNT10" s="108"/>
      <c r="LNU10" s="108"/>
      <c r="LNV10" s="108"/>
      <c r="LNW10" s="108"/>
      <c r="LNX10" s="108"/>
      <c r="LNY10" s="108"/>
      <c r="LNZ10" s="108"/>
      <c r="LOA10" s="108"/>
      <c r="LOB10" s="108"/>
      <c r="LOC10" s="108"/>
      <c r="LOD10" s="108"/>
      <c r="LOE10" s="108"/>
      <c r="LOF10" s="108"/>
      <c r="LOG10" s="108"/>
      <c r="LOH10" s="108"/>
      <c r="LOI10" s="108"/>
      <c r="LOJ10" s="108"/>
      <c r="LOK10" s="108"/>
      <c r="LOL10" s="108"/>
      <c r="LOM10" s="108"/>
      <c r="LON10" s="108"/>
      <c r="LOO10" s="108"/>
      <c r="LOP10" s="108"/>
      <c r="LOQ10" s="108"/>
      <c r="LOR10" s="108"/>
      <c r="LOS10" s="108"/>
      <c r="LOT10" s="108"/>
      <c r="LOU10" s="108"/>
      <c r="LOV10" s="108"/>
      <c r="LOW10" s="108"/>
      <c r="LOX10" s="108"/>
      <c r="LOY10" s="108"/>
      <c r="LOZ10" s="108"/>
      <c r="LPA10" s="108"/>
      <c r="LPB10" s="108"/>
      <c r="LPC10" s="108"/>
      <c r="LPD10" s="108"/>
      <c r="LPE10" s="108"/>
      <c r="LPF10" s="108"/>
      <c r="LPG10" s="108"/>
      <c r="LPH10" s="108"/>
      <c r="LPI10" s="108"/>
      <c r="LPJ10" s="108"/>
      <c r="LPK10" s="108"/>
      <c r="LPL10" s="108"/>
      <c r="LPM10" s="108"/>
      <c r="LPN10" s="108"/>
      <c r="LPO10" s="108"/>
      <c r="LPP10" s="108"/>
      <c r="LPQ10" s="108"/>
      <c r="LPR10" s="108"/>
      <c r="LPS10" s="108"/>
      <c r="LPT10" s="108"/>
      <c r="LPU10" s="108"/>
      <c r="LPV10" s="108"/>
      <c r="LPW10" s="108"/>
      <c r="LPX10" s="108"/>
      <c r="LPY10" s="108"/>
      <c r="LPZ10" s="108"/>
      <c r="LQA10" s="108"/>
      <c r="LQB10" s="108"/>
      <c r="LQC10" s="108"/>
      <c r="LQD10" s="108"/>
      <c r="LQE10" s="108"/>
      <c r="LQF10" s="108"/>
      <c r="LQG10" s="108"/>
      <c r="LQH10" s="108"/>
      <c r="LQI10" s="108"/>
      <c r="LQJ10" s="108"/>
      <c r="LQK10" s="108"/>
      <c r="LQL10" s="108"/>
      <c r="LQM10" s="108"/>
      <c r="LQN10" s="108"/>
      <c r="LQO10" s="108"/>
      <c r="LQP10" s="108"/>
      <c r="LQQ10" s="108"/>
      <c r="LQR10" s="108"/>
      <c r="LQS10" s="108"/>
      <c r="LQT10" s="108"/>
      <c r="LQU10" s="108"/>
      <c r="LQV10" s="108"/>
      <c r="LQW10" s="108"/>
      <c r="LQX10" s="108"/>
      <c r="LQY10" s="108"/>
      <c r="LQZ10" s="108"/>
      <c r="LRA10" s="108"/>
      <c r="LRB10" s="108"/>
      <c r="LRC10" s="108"/>
      <c r="LRD10" s="108"/>
      <c r="LRE10" s="108"/>
      <c r="LRF10" s="108"/>
      <c r="LRG10" s="108"/>
      <c r="LRH10" s="108"/>
      <c r="LRI10" s="108"/>
      <c r="LRJ10" s="108"/>
      <c r="LRK10" s="108"/>
      <c r="LRL10" s="108"/>
      <c r="LRM10" s="108"/>
      <c r="LRN10" s="108"/>
      <c r="LRO10" s="108"/>
      <c r="LRP10" s="108"/>
      <c r="LRQ10" s="108"/>
      <c r="LRR10" s="108"/>
      <c r="LRS10" s="108"/>
      <c r="LRT10" s="108"/>
      <c r="LRU10" s="108"/>
      <c r="LRV10" s="108"/>
      <c r="LRW10" s="108"/>
      <c r="LRX10" s="108"/>
      <c r="LRY10" s="108"/>
      <c r="LRZ10" s="108"/>
      <c r="LSA10" s="108"/>
      <c r="LSB10" s="108"/>
      <c r="LSC10" s="108"/>
      <c r="LSD10" s="108"/>
      <c r="LSE10" s="108"/>
      <c r="LSF10" s="108"/>
      <c r="LSG10" s="108"/>
      <c r="LSH10" s="108"/>
      <c r="LSI10" s="108"/>
      <c r="LSJ10" s="108"/>
      <c r="LSK10" s="108"/>
      <c r="LSL10" s="108"/>
      <c r="LSM10" s="108"/>
      <c r="LSN10" s="108"/>
      <c r="LSO10" s="108"/>
      <c r="LSP10" s="108"/>
      <c r="LSQ10" s="108"/>
      <c r="LSR10" s="108"/>
      <c r="LSS10" s="108"/>
      <c r="LST10" s="108"/>
      <c r="LSU10" s="108"/>
      <c r="LSV10" s="108"/>
      <c r="LSW10" s="108"/>
      <c r="LSX10" s="108"/>
      <c r="LSY10" s="108"/>
      <c r="LSZ10" s="108"/>
      <c r="LTA10" s="108"/>
      <c r="LTB10" s="108"/>
      <c r="LTC10" s="108"/>
      <c r="LTD10" s="108"/>
      <c r="LTE10" s="108"/>
      <c r="LTF10" s="108"/>
      <c r="LTG10" s="108"/>
      <c r="LTH10" s="108"/>
      <c r="LTI10" s="108"/>
      <c r="LTJ10" s="108"/>
      <c r="LTK10" s="108"/>
      <c r="LTL10" s="108"/>
      <c r="LTM10" s="108"/>
      <c r="LTN10" s="108"/>
      <c r="LTO10" s="108"/>
      <c r="LTP10" s="108"/>
      <c r="LTQ10" s="108"/>
      <c r="LTR10" s="108"/>
      <c r="LTS10" s="108"/>
      <c r="LTT10" s="108"/>
      <c r="LTU10" s="108"/>
      <c r="LTV10" s="108"/>
      <c r="LTW10" s="108"/>
      <c r="LTX10" s="108"/>
      <c r="LTY10" s="108"/>
      <c r="LTZ10" s="108"/>
      <c r="LUA10" s="108"/>
      <c r="LUB10" s="108"/>
      <c r="LUC10" s="108"/>
      <c r="LUD10" s="108"/>
      <c r="LUE10" s="108"/>
      <c r="LUF10" s="108"/>
      <c r="LUG10" s="108"/>
      <c r="LUH10" s="108"/>
      <c r="LUI10" s="108"/>
      <c r="LUJ10" s="108"/>
      <c r="LUK10" s="108"/>
      <c r="LUL10" s="108"/>
      <c r="LUM10" s="108"/>
      <c r="LUN10" s="108"/>
      <c r="LUO10" s="108"/>
      <c r="LUP10" s="108"/>
      <c r="LUQ10" s="108"/>
      <c r="LUR10" s="108"/>
      <c r="LUS10" s="108"/>
      <c r="LUT10" s="108"/>
      <c r="LUU10" s="108"/>
      <c r="LUV10" s="108"/>
      <c r="LUW10" s="108"/>
      <c r="LUX10" s="108"/>
      <c r="LUY10" s="108"/>
      <c r="LUZ10" s="108"/>
      <c r="LVA10" s="108"/>
      <c r="LVB10" s="108"/>
      <c r="LVC10" s="108"/>
      <c r="LVD10" s="108"/>
      <c r="LVE10" s="108"/>
      <c r="LVF10" s="108"/>
      <c r="LVG10" s="108"/>
      <c r="LVH10" s="108"/>
      <c r="LVI10" s="108"/>
      <c r="LVJ10" s="108"/>
      <c r="LVK10" s="108"/>
      <c r="LVL10" s="108"/>
      <c r="LVM10" s="108"/>
      <c r="LVN10" s="108"/>
      <c r="LVO10" s="108"/>
      <c r="LVP10" s="108"/>
      <c r="LVQ10" s="108"/>
      <c r="LVR10" s="108"/>
      <c r="LVS10" s="108"/>
      <c r="LVT10" s="108"/>
      <c r="LVU10" s="108"/>
      <c r="LVV10" s="108"/>
      <c r="LVW10" s="108"/>
      <c r="LVX10" s="108"/>
      <c r="LVY10" s="108"/>
      <c r="LVZ10" s="108"/>
      <c r="LWA10" s="108"/>
      <c r="LWB10" s="108"/>
      <c r="LWC10" s="108"/>
      <c r="LWD10" s="108"/>
      <c r="LWE10" s="108"/>
      <c r="LWF10" s="108"/>
      <c r="LWG10" s="108"/>
      <c r="LWH10" s="108"/>
      <c r="LWI10" s="108"/>
      <c r="LWJ10" s="108"/>
      <c r="LWK10" s="108"/>
      <c r="LWL10" s="108"/>
      <c r="LWM10" s="108"/>
      <c r="LWN10" s="108"/>
      <c r="LWO10" s="108"/>
      <c r="LWP10" s="108"/>
      <c r="LWQ10" s="108"/>
      <c r="LWR10" s="108"/>
      <c r="LWS10" s="108"/>
      <c r="LWT10" s="108"/>
      <c r="LWU10" s="108"/>
      <c r="LWV10" s="108"/>
      <c r="LWW10" s="108"/>
      <c r="LWX10" s="108"/>
      <c r="LWY10" s="108"/>
      <c r="LWZ10" s="108"/>
      <c r="LXA10" s="108"/>
      <c r="LXB10" s="108"/>
      <c r="LXC10" s="108"/>
      <c r="LXD10" s="108"/>
      <c r="LXE10" s="108"/>
      <c r="LXF10" s="108"/>
      <c r="LXG10" s="108"/>
      <c r="LXH10" s="108"/>
      <c r="LXI10" s="108"/>
      <c r="LXJ10" s="108"/>
      <c r="LXK10" s="108"/>
      <c r="LXL10" s="108"/>
      <c r="LXM10" s="108"/>
      <c r="LXN10" s="108"/>
      <c r="LXO10" s="108"/>
      <c r="LXP10" s="108"/>
      <c r="LXQ10" s="108"/>
      <c r="LXR10" s="108"/>
      <c r="LXS10" s="108"/>
      <c r="LXT10" s="108"/>
      <c r="LXU10" s="108"/>
      <c r="LXV10" s="108"/>
      <c r="LXW10" s="108"/>
      <c r="LXX10" s="108"/>
      <c r="LXY10" s="108"/>
      <c r="LXZ10" s="108"/>
      <c r="LYA10" s="108"/>
      <c r="LYB10" s="108"/>
      <c r="LYC10" s="108"/>
      <c r="LYD10" s="108"/>
      <c r="LYE10" s="108"/>
      <c r="LYF10" s="108"/>
      <c r="LYG10" s="108"/>
      <c r="LYH10" s="108"/>
      <c r="LYI10" s="108"/>
      <c r="LYJ10" s="108"/>
      <c r="LYK10" s="108"/>
      <c r="LYL10" s="108"/>
      <c r="LYM10" s="108"/>
      <c r="LYN10" s="108"/>
      <c r="LYO10" s="108"/>
      <c r="LYP10" s="108"/>
      <c r="LYQ10" s="108"/>
      <c r="LYR10" s="108"/>
      <c r="LYS10" s="108"/>
      <c r="LYT10" s="108"/>
      <c r="LYU10" s="108"/>
      <c r="LYV10" s="108"/>
      <c r="LYW10" s="108"/>
      <c r="LYX10" s="108"/>
      <c r="LYY10" s="108"/>
      <c r="LYZ10" s="108"/>
      <c r="LZA10" s="108"/>
      <c r="LZB10" s="108"/>
      <c r="LZC10" s="108"/>
      <c r="LZD10" s="108"/>
      <c r="LZE10" s="108"/>
      <c r="LZF10" s="108"/>
      <c r="LZG10" s="108"/>
      <c r="LZH10" s="108"/>
      <c r="LZI10" s="108"/>
      <c r="LZJ10" s="108"/>
      <c r="LZK10" s="108"/>
      <c r="LZL10" s="108"/>
      <c r="LZM10" s="108"/>
      <c r="LZN10" s="108"/>
      <c r="LZO10" s="108"/>
      <c r="LZP10" s="108"/>
      <c r="LZQ10" s="108"/>
      <c r="LZR10" s="108"/>
      <c r="LZS10" s="108"/>
      <c r="LZT10" s="108"/>
      <c r="LZU10" s="108"/>
      <c r="LZV10" s="108"/>
      <c r="LZW10" s="108"/>
      <c r="LZX10" s="108"/>
      <c r="LZY10" s="108"/>
      <c r="LZZ10" s="108"/>
      <c r="MAA10" s="108"/>
      <c r="MAB10" s="108"/>
      <c r="MAC10" s="108"/>
      <c r="MAD10" s="108"/>
      <c r="MAE10" s="108"/>
      <c r="MAF10" s="108"/>
      <c r="MAG10" s="108"/>
      <c r="MAH10" s="108"/>
      <c r="MAI10" s="108"/>
      <c r="MAJ10" s="108"/>
      <c r="MAK10" s="108"/>
      <c r="MAL10" s="108"/>
      <c r="MAM10" s="108"/>
      <c r="MAN10" s="108"/>
      <c r="MAO10" s="108"/>
      <c r="MAP10" s="108"/>
      <c r="MAQ10" s="108"/>
      <c r="MAR10" s="108"/>
      <c r="MAS10" s="108"/>
      <c r="MAT10" s="108"/>
      <c r="MAU10" s="108"/>
      <c r="MAV10" s="108"/>
      <c r="MAW10" s="108"/>
      <c r="MAX10" s="108"/>
      <c r="MAY10" s="108"/>
      <c r="MAZ10" s="108"/>
      <c r="MBA10" s="108"/>
      <c r="MBB10" s="108"/>
      <c r="MBC10" s="108"/>
      <c r="MBD10" s="108"/>
      <c r="MBE10" s="108"/>
      <c r="MBF10" s="108"/>
      <c r="MBG10" s="108"/>
      <c r="MBH10" s="108"/>
      <c r="MBI10" s="108"/>
      <c r="MBJ10" s="108"/>
      <c r="MBK10" s="108"/>
      <c r="MBL10" s="108"/>
      <c r="MBM10" s="108"/>
      <c r="MBN10" s="108"/>
      <c r="MBO10" s="108"/>
      <c r="MBP10" s="108"/>
      <c r="MBQ10" s="108"/>
      <c r="MBR10" s="108"/>
      <c r="MBS10" s="108"/>
      <c r="MBT10" s="108"/>
      <c r="MBU10" s="108"/>
      <c r="MBV10" s="108"/>
      <c r="MBW10" s="108"/>
      <c r="MBX10" s="108"/>
      <c r="MBY10" s="108"/>
      <c r="MBZ10" s="108"/>
      <c r="MCA10" s="108"/>
      <c r="MCB10" s="108"/>
      <c r="MCC10" s="108"/>
      <c r="MCD10" s="108"/>
      <c r="MCE10" s="108"/>
      <c r="MCF10" s="108"/>
      <c r="MCG10" s="108"/>
      <c r="MCH10" s="108"/>
      <c r="MCI10" s="108"/>
      <c r="MCJ10" s="108"/>
      <c r="MCK10" s="108"/>
      <c r="MCL10" s="108"/>
      <c r="MCM10" s="108"/>
      <c r="MCN10" s="108"/>
      <c r="MCO10" s="108"/>
      <c r="MCP10" s="108"/>
      <c r="MCQ10" s="108"/>
      <c r="MCR10" s="108"/>
      <c r="MCS10" s="108"/>
      <c r="MCT10" s="108"/>
      <c r="MCU10" s="108"/>
      <c r="MCV10" s="108"/>
      <c r="MCW10" s="108"/>
      <c r="MCX10" s="108"/>
      <c r="MCY10" s="108"/>
      <c r="MCZ10" s="108"/>
      <c r="MDA10" s="108"/>
      <c r="MDB10" s="108"/>
      <c r="MDC10" s="108"/>
      <c r="MDD10" s="108"/>
      <c r="MDE10" s="108"/>
      <c r="MDF10" s="108"/>
      <c r="MDG10" s="108"/>
      <c r="MDH10" s="108"/>
      <c r="MDI10" s="108"/>
      <c r="MDJ10" s="108"/>
      <c r="MDK10" s="108"/>
      <c r="MDL10" s="108"/>
      <c r="MDM10" s="108"/>
      <c r="MDN10" s="108"/>
      <c r="MDO10" s="108"/>
      <c r="MDP10" s="108"/>
      <c r="MDQ10" s="108"/>
      <c r="MDR10" s="108"/>
      <c r="MDS10" s="108"/>
      <c r="MDT10" s="108"/>
      <c r="MDU10" s="108"/>
      <c r="MDV10" s="108"/>
      <c r="MDW10" s="108"/>
      <c r="MDX10" s="108"/>
      <c r="MDY10" s="108"/>
      <c r="MDZ10" s="108"/>
      <c r="MEA10" s="108"/>
      <c r="MEB10" s="108"/>
      <c r="MEC10" s="108"/>
      <c r="MED10" s="108"/>
      <c r="MEE10" s="108"/>
      <c r="MEF10" s="108"/>
      <c r="MEG10" s="108"/>
      <c r="MEH10" s="108"/>
      <c r="MEI10" s="108"/>
      <c r="MEJ10" s="108"/>
      <c r="MEK10" s="108"/>
      <c r="MEL10" s="108"/>
      <c r="MEM10" s="108"/>
      <c r="MEN10" s="108"/>
      <c r="MEO10" s="108"/>
      <c r="MEP10" s="108"/>
      <c r="MEQ10" s="108"/>
      <c r="MER10" s="108"/>
      <c r="MES10" s="108"/>
      <c r="MET10" s="108"/>
      <c r="MEU10" s="108"/>
      <c r="MEV10" s="108"/>
      <c r="MEW10" s="108"/>
      <c r="MEX10" s="108"/>
      <c r="MEY10" s="108"/>
      <c r="MEZ10" s="108"/>
      <c r="MFA10" s="108"/>
      <c r="MFB10" s="108"/>
      <c r="MFC10" s="108"/>
      <c r="MFD10" s="108"/>
      <c r="MFE10" s="108"/>
      <c r="MFF10" s="108"/>
      <c r="MFG10" s="108"/>
      <c r="MFH10" s="108"/>
      <c r="MFI10" s="108"/>
      <c r="MFJ10" s="108"/>
      <c r="MFK10" s="108"/>
      <c r="MFL10" s="108"/>
      <c r="MFM10" s="108"/>
      <c r="MFN10" s="108"/>
      <c r="MFO10" s="108"/>
      <c r="MFP10" s="108"/>
      <c r="MFQ10" s="108"/>
      <c r="MFR10" s="108"/>
      <c r="MFS10" s="108"/>
      <c r="MFT10" s="108"/>
      <c r="MFU10" s="108"/>
      <c r="MFV10" s="108"/>
      <c r="MFW10" s="108"/>
      <c r="MFX10" s="108"/>
      <c r="MFY10" s="108"/>
      <c r="MFZ10" s="108"/>
      <c r="MGA10" s="108"/>
      <c r="MGB10" s="108"/>
      <c r="MGC10" s="108"/>
      <c r="MGD10" s="108"/>
      <c r="MGE10" s="108"/>
      <c r="MGF10" s="108"/>
      <c r="MGG10" s="108"/>
      <c r="MGH10" s="108"/>
      <c r="MGI10" s="108"/>
      <c r="MGJ10" s="108"/>
      <c r="MGK10" s="108"/>
      <c r="MGL10" s="108"/>
      <c r="MGM10" s="108"/>
      <c r="MGN10" s="108"/>
      <c r="MGO10" s="108"/>
      <c r="MGP10" s="108"/>
      <c r="MGQ10" s="108"/>
      <c r="MGR10" s="108"/>
      <c r="MGS10" s="108"/>
      <c r="MGT10" s="108"/>
      <c r="MGU10" s="108"/>
      <c r="MGV10" s="108"/>
      <c r="MGW10" s="108"/>
      <c r="MGX10" s="108"/>
      <c r="MGY10" s="108"/>
      <c r="MGZ10" s="108"/>
      <c r="MHA10" s="108"/>
      <c r="MHB10" s="108"/>
      <c r="MHC10" s="108"/>
      <c r="MHD10" s="108"/>
      <c r="MHE10" s="108"/>
      <c r="MHF10" s="108"/>
      <c r="MHG10" s="108"/>
      <c r="MHH10" s="108"/>
      <c r="MHI10" s="108"/>
      <c r="MHJ10" s="108"/>
      <c r="MHK10" s="108"/>
      <c r="MHL10" s="108"/>
      <c r="MHM10" s="108"/>
      <c r="MHN10" s="108"/>
      <c r="MHO10" s="108"/>
      <c r="MHP10" s="108"/>
      <c r="MHQ10" s="108"/>
      <c r="MHR10" s="108"/>
      <c r="MHS10" s="108"/>
      <c r="MHT10" s="108"/>
      <c r="MHU10" s="108"/>
      <c r="MHV10" s="108"/>
      <c r="MHW10" s="108"/>
      <c r="MHX10" s="108"/>
      <c r="MHY10" s="108"/>
      <c r="MHZ10" s="108"/>
      <c r="MIA10" s="108"/>
      <c r="MIB10" s="108"/>
      <c r="MIC10" s="108"/>
      <c r="MID10" s="108"/>
      <c r="MIE10" s="108"/>
      <c r="MIF10" s="108"/>
      <c r="MIG10" s="108"/>
      <c r="MIH10" s="108"/>
      <c r="MII10" s="108"/>
      <c r="MIJ10" s="108"/>
      <c r="MIK10" s="108"/>
      <c r="MIL10" s="108"/>
      <c r="MIM10" s="108"/>
      <c r="MIN10" s="108"/>
      <c r="MIO10" s="108"/>
      <c r="MIP10" s="108"/>
      <c r="MIQ10" s="108"/>
      <c r="MIR10" s="108"/>
      <c r="MIS10" s="108"/>
      <c r="MIT10" s="108"/>
      <c r="MIU10" s="108"/>
      <c r="MIV10" s="108"/>
      <c r="MIW10" s="108"/>
      <c r="MIX10" s="108"/>
      <c r="MIY10" s="108"/>
      <c r="MIZ10" s="108"/>
      <c r="MJA10" s="108"/>
      <c r="MJB10" s="108"/>
      <c r="MJC10" s="108"/>
      <c r="MJD10" s="108"/>
      <c r="MJE10" s="108"/>
      <c r="MJF10" s="108"/>
      <c r="MJG10" s="108"/>
      <c r="MJH10" s="108"/>
      <c r="MJI10" s="108"/>
      <c r="MJJ10" s="108"/>
      <c r="MJK10" s="108"/>
      <c r="MJL10" s="108"/>
      <c r="MJM10" s="108"/>
      <c r="MJN10" s="108"/>
      <c r="MJO10" s="108"/>
      <c r="MJP10" s="108"/>
      <c r="MJQ10" s="108"/>
      <c r="MJR10" s="108"/>
      <c r="MJS10" s="108"/>
      <c r="MJT10" s="108"/>
      <c r="MJU10" s="108"/>
      <c r="MJV10" s="108"/>
      <c r="MJW10" s="108"/>
      <c r="MJX10" s="108"/>
      <c r="MJY10" s="108"/>
      <c r="MJZ10" s="108"/>
      <c r="MKA10" s="108"/>
      <c r="MKB10" s="108"/>
      <c r="MKC10" s="108"/>
      <c r="MKD10" s="108"/>
      <c r="MKE10" s="108"/>
      <c r="MKF10" s="108"/>
      <c r="MKG10" s="108"/>
      <c r="MKH10" s="108"/>
      <c r="MKI10" s="108"/>
      <c r="MKJ10" s="108"/>
      <c r="MKK10" s="108"/>
      <c r="MKL10" s="108"/>
      <c r="MKM10" s="108"/>
      <c r="MKN10" s="108"/>
      <c r="MKO10" s="108"/>
      <c r="MKP10" s="108"/>
      <c r="MKQ10" s="108"/>
      <c r="MKR10" s="108"/>
      <c r="MKS10" s="108"/>
      <c r="MKT10" s="108"/>
      <c r="MKU10" s="108"/>
      <c r="MKV10" s="108"/>
      <c r="MKW10" s="108"/>
      <c r="MKX10" s="108"/>
      <c r="MKY10" s="108"/>
      <c r="MKZ10" s="108"/>
      <c r="MLA10" s="108"/>
      <c r="MLB10" s="108"/>
      <c r="MLC10" s="108"/>
      <c r="MLD10" s="108"/>
      <c r="MLE10" s="108"/>
      <c r="MLF10" s="108"/>
      <c r="MLG10" s="108"/>
      <c r="MLH10" s="108"/>
      <c r="MLI10" s="108"/>
      <c r="MLJ10" s="108"/>
      <c r="MLK10" s="108"/>
      <c r="MLL10" s="108"/>
      <c r="MLM10" s="108"/>
      <c r="MLN10" s="108"/>
      <c r="MLO10" s="108"/>
      <c r="MLP10" s="108"/>
      <c r="MLQ10" s="108"/>
      <c r="MLR10" s="108"/>
      <c r="MLS10" s="108"/>
      <c r="MLT10" s="108"/>
      <c r="MLU10" s="108"/>
      <c r="MLV10" s="108"/>
      <c r="MLW10" s="108"/>
      <c r="MLX10" s="108"/>
      <c r="MLY10" s="108"/>
      <c r="MLZ10" s="108"/>
      <c r="MMA10" s="108"/>
      <c r="MMB10" s="108"/>
      <c r="MMC10" s="108"/>
      <c r="MMD10" s="108"/>
      <c r="MME10" s="108"/>
      <c r="MMF10" s="108"/>
      <c r="MMG10" s="108"/>
      <c r="MMH10" s="108"/>
      <c r="MMI10" s="108"/>
      <c r="MMJ10" s="108"/>
      <c r="MMK10" s="108"/>
      <c r="MML10" s="108"/>
      <c r="MMM10" s="108"/>
      <c r="MMN10" s="108"/>
      <c r="MMO10" s="108"/>
      <c r="MMP10" s="108"/>
      <c r="MMQ10" s="108"/>
      <c r="MMR10" s="108"/>
      <c r="MMS10" s="108"/>
      <c r="MMT10" s="108"/>
      <c r="MMU10" s="108"/>
      <c r="MMV10" s="108"/>
      <c r="MMW10" s="108"/>
      <c r="MMX10" s="108"/>
      <c r="MMY10" s="108"/>
      <c r="MMZ10" s="108"/>
      <c r="MNA10" s="108"/>
      <c r="MNB10" s="108"/>
      <c r="MNC10" s="108"/>
      <c r="MND10" s="108"/>
      <c r="MNE10" s="108"/>
      <c r="MNF10" s="108"/>
      <c r="MNG10" s="108"/>
      <c r="MNH10" s="108"/>
      <c r="MNI10" s="108"/>
      <c r="MNJ10" s="108"/>
      <c r="MNK10" s="108"/>
      <c r="MNL10" s="108"/>
      <c r="MNM10" s="108"/>
      <c r="MNN10" s="108"/>
      <c r="MNO10" s="108"/>
      <c r="MNP10" s="108"/>
      <c r="MNQ10" s="108"/>
      <c r="MNR10" s="108"/>
      <c r="MNS10" s="108"/>
      <c r="MNT10" s="108"/>
      <c r="MNU10" s="108"/>
      <c r="MNV10" s="108"/>
      <c r="MNW10" s="108"/>
      <c r="MNX10" s="108"/>
      <c r="MNY10" s="108"/>
      <c r="MNZ10" s="108"/>
      <c r="MOA10" s="108"/>
      <c r="MOB10" s="108"/>
      <c r="MOC10" s="108"/>
      <c r="MOD10" s="108"/>
      <c r="MOE10" s="108"/>
      <c r="MOF10" s="108"/>
      <c r="MOG10" s="108"/>
      <c r="MOH10" s="108"/>
      <c r="MOI10" s="108"/>
      <c r="MOJ10" s="108"/>
      <c r="MOK10" s="108"/>
      <c r="MOL10" s="108"/>
      <c r="MOM10" s="108"/>
      <c r="MON10" s="108"/>
      <c r="MOO10" s="108"/>
      <c r="MOP10" s="108"/>
      <c r="MOQ10" s="108"/>
      <c r="MOR10" s="108"/>
      <c r="MOS10" s="108"/>
      <c r="MOT10" s="108"/>
      <c r="MOU10" s="108"/>
      <c r="MOV10" s="108"/>
      <c r="MOW10" s="108"/>
      <c r="MOX10" s="108"/>
      <c r="MOY10" s="108"/>
      <c r="MOZ10" s="108"/>
      <c r="MPA10" s="108"/>
      <c r="MPB10" s="108"/>
      <c r="MPC10" s="108"/>
      <c r="MPD10" s="108"/>
      <c r="MPE10" s="108"/>
      <c r="MPF10" s="108"/>
      <c r="MPG10" s="108"/>
      <c r="MPH10" s="108"/>
      <c r="MPI10" s="108"/>
      <c r="MPJ10" s="108"/>
      <c r="MPK10" s="108"/>
      <c r="MPL10" s="108"/>
      <c r="MPM10" s="108"/>
      <c r="MPN10" s="108"/>
      <c r="MPO10" s="108"/>
      <c r="MPP10" s="108"/>
      <c r="MPQ10" s="108"/>
      <c r="MPR10" s="108"/>
      <c r="MPS10" s="108"/>
      <c r="MPT10" s="108"/>
      <c r="MPU10" s="108"/>
      <c r="MPV10" s="108"/>
      <c r="MPW10" s="108"/>
      <c r="MPX10" s="108"/>
      <c r="MPY10" s="108"/>
      <c r="MPZ10" s="108"/>
      <c r="MQA10" s="108"/>
      <c r="MQB10" s="108"/>
      <c r="MQC10" s="108"/>
      <c r="MQD10" s="108"/>
      <c r="MQE10" s="108"/>
      <c r="MQF10" s="108"/>
      <c r="MQG10" s="108"/>
      <c r="MQH10" s="108"/>
      <c r="MQI10" s="108"/>
      <c r="MQJ10" s="108"/>
      <c r="MQK10" s="108"/>
      <c r="MQL10" s="108"/>
      <c r="MQM10" s="108"/>
      <c r="MQN10" s="108"/>
      <c r="MQO10" s="108"/>
      <c r="MQP10" s="108"/>
      <c r="MQQ10" s="108"/>
      <c r="MQR10" s="108"/>
      <c r="MQS10" s="108"/>
      <c r="MQT10" s="108"/>
      <c r="MQU10" s="108"/>
      <c r="MQV10" s="108"/>
      <c r="MQW10" s="108"/>
      <c r="MQX10" s="108"/>
      <c r="MQY10" s="108"/>
      <c r="MQZ10" s="108"/>
      <c r="MRA10" s="108"/>
      <c r="MRB10" s="108"/>
      <c r="MRC10" s="108"/>
      <c r="MRD10" s="108"/>
      <c r="MRE10" s="108"/>
      <c r="MRF10" s="108"/>
      <c r="MRG10" s="108"/>
      <c r="MRH10" s="108"/>
      <c r="MRI10" s="108"/>
      <c r="MRJ10" s="108"/>
      <c r="MRK10" s="108"/>
      <c r="MRL10" s="108"/>
      <c r="MRM10" s="108"/>
      <c r="MRN10" s="108"/>
      <c r="MRO10" s="108"/>
      <c r="MRP10" s="108"/>
      <c r="MRQ10" s="108"/>
      <c r="MRR10" s="108"/>
      <c r="MRS10" s="108"/>
      <c r="MRT10" s="108"/>
      <c r="MRU10" s="108"/>
      <c r="MRV10" s="108"/>
      <c r="MRW10" s="108"/>
      <c r="MRX10" s="108"/>
      <c r="MRY10" s="108"/>
      <c r="MRZ10" s="108"/>
      <c r="MSA10" s="108"/>
      <c r="MSB10" s="108"/>
      <c r="MSC10" s="108"/>
      <c r="MSD10" s="108"/>
      <c r="MSE10" s="108"/>
      <c r="MSF10" s="108"/>
      <c r="MSG10" s="108"/>
      <c r="MSH10" s="108"/>
      <c r="MSI10" s="108"/>
      <c r="MSJ10" s="108"/>
      <c r="MSK10" s="108"/>
      <c r="MSL10" s="108"/>
      <c r="MSM10" s="108"/>
      <c r="MSN10" s="108"/>
      <c r="MSO10" s="108"/>
      <c r="MSP10" s="108"/>
      <c r="MSQ10" s="108"/>
      <c r="MSR10" s="108"/>
      <c r="MSS10" s="108"/>
      <c r="MST10" s="108"/>
      <c r="MSU10" s="108"/>
      <c r="MSV10" s="108"/>
      <c r="MSW10" s="108"/>
      <c r="MSX10" s="108"/>
      <c r="MSY10" s="108"/>
      <c r="MSZ10" s="108"/>
      <c r="MTA10" s="108"/>
      <c r="MTB10" s="108"/>
      <c r="MTC10" s="108"/>
      <c r="MTD10" s="108"/>
      <c r="MTE10" s="108"/>
      <c r="MTF10" s="108"/>
      <c r="MTG10" s="108"/>
      <c r="MTH10" s="108"/>
      <c r="MTI10" s="108"/>
      <c r="MTJ10" s="108"/>
      <c r="MTK10" s="108"/>
      <c r="MTL10" s="108"/>
      <c r="MTM10" s="108"/>
      <c r="MTN10" s="108"/>
      <c r="MTO10" s="108"/>
      <c r="MTP10" s="108"/>
      <c r="MTQ10" s="108"/>
      <c r="MTR10" s="108"/>
      <c r="MTS10" s="108"/>
      <c r="MTT10" s="108"/>
      <c r="MTU10" s="108"/>
      <c r="MTV10" s="108"/>
      <c r="MTW10" s="108"/>
      <c r="MTX10" s="108"/>
      <c r="MTY10" s="108"/>
      <c r="MTZ10" s="108"/>
      <c r="MUA10" s="108"/>
      <c r="MUB10" s="108"/>
      <c r="MUC10" s="108"/>
      <c r="MUD10" s="108"/>
      <c r="MUE10" s="108"/>
      <c r="MUF10" s="108"/>
      <c r="MUG10" s="108"/>
      <c r="MUH10" s="108"/>
      <c r="MUI10" s="108"/>
      <c r="MUJ10" s="108"/>
      <c r="MUK10" s="108"/>
      <c r="MUL10" s="108"/>
      <c r="MUM10" s="108"/>
      <c r="MUN10" s="108"/>
      <c r="MUO10" s="108"/>
      <c r="MUP10" s="108"/>
      <c r="MUQ10" s="108"/>
      <c r="MUR10" s="108"/>
      <c r="MUS10" s="108"/>
      <c r="MUT10" s="108"/>
      <c r="MUU10" s="108"/>
      <c r="MUV10" s="108"/>
      <c r="MUW10" s="108"/>
      <c r="MUX10" s="108"/>
      <c r="MUY10" s="108"/>
      <c r="MUZ10" s="108"/>
      <c r="MVA10" s="108"/>
      <c r="MVB10" s="108"/>
      <c r="MVC10" s="108"/>
      <c r="MVD10" s="108"/>
      <c r="MVE10" s="108"/>
      <c r="MVF10" s="108"/>
      <c r="MVG10" s="108"/>
      <c r="MVH10" s="108"/>
      <c r="MVI10" s="108"/>
      <c r="MVJ10" s="108"/>
      <c r="MVK10" s="108"/>
      <c r="MVL10" s="108"/>
      <c r="MVM10" s="108"/>
      <c r="MVN10" s="108"/>
      <c r="MVO10" s="108"/>
      <c r="MVP10" s="108"/>
      <c r="MVQ10" s="108"/>
      <c r="MVR10" s="108"/>
      <c r="MVS10" s="108"/>
      <c r="MVT10" s="108"/>
      <c r="MVU10" s="108"/>
      <c r="MVV10" s="108"/>
      <c r="MVW10" s="108"/>
      <c r="MVX10" s="108"/>
      <c r="MVY10" s="108"/>
      <c r="MVZ10" s="108"/>
      <c r="MWA10" s="108"/>
      <c r="MWB10" s="108"/>
      <c r="MWC10" s="108"/>
      <c r="MWD10" s="108"/>
      <c r="MWE10" s="108"/>
      <c r="MWF10" s="108"/>
      <c r="MWG10" s="108"/>
      <c r="MWH10" s="108"/>
      <c r="MWI10" s="108"/>
      <c r="MWJ10" s="108"/>
      <c r="MWK10" s="108"/>
      <c r="MWL10" s="108"/>
      <c r="MWM10" s="108"/>
      <c r="MWN10" s="108"/>
      <c r="MWO10" s="108"/>
      <c r="MWP10" s="108"/>
      <c r="MWQ10" s="108"/>
      <c r="MWR10" s="108"/>
      <c r="MWS10" s="108"/>
      <c r="MWT10" s="108"/>
      <c r="MWU10" s="108"/>
      <c r="MWV10" s="108"/>
      <c r="MWW10" s="108"/>
      <c r="MWX10" s="108"/>
      <c r="MWY10" s="108"/>
      <c r="MWZ10" s="108"/>
      <c r="MXA10" s="108"/>
      <c r="MXB10" s="108"/>
      <c r="MXC10" s="108"/>
      <c r="MXD10" s="108"/>
      <c r="MXE10" s="108"/>
      <c r="MXF10" s="108"/>
      <c r="MXG10" s="108"/>
      <c r="MXH10" s="108"/>
      <c r="MXI10" s="108"/>
      <c r="MXJ10" s="108"/>
      <c r="MXK10" s="108"/>
      <c r="MXL10" s="108"/>
      <c r="MXM10" s="108"/>
      <c r="MXN10" s="108"/>
      <c r="MXO10" s="108"/>
      <c r="MXP10" s="108"/>
      <c r="MXQ10" s="108"/>
      <c r="MXR10" s="108"/>
      <c r="MXS10" s="108"/>
      <c r="MXT10" s="108"/>
      <c r="MXU10" s="108"/>
      <c r="MXV10" s="108"/>
      <c r="MXW10" s="108"/>
      <c r="MXX10" s="108"/>
      <c r="MXY10" s="108"/>
      <c r="MXZ10" s="108"/>
      <c r="MYA10" s="108"/>
      <c r="MYB10" s="108"/>
      <c r="MYC10" s="108"/>
      <c r="MYD10" s="108"/>
      <c r="MYE10" s="108"/>
      <c r="MYF10" s="108"/>
      <c r="MYG10" s="108"/>
      <c r="MYH10" s="108"/>
      <c r="MYI10" s="108"/>
      <c r="MYJ10" s="108"/>
      <c r="MYK10" s="108"/>
      <c r="MYL10" s="108"/>
      <c r="MYM10" s="108"/>
      <c r="MYN10" s="108"/>
      <c r="MYO10" s="108"/>
      <c r="MYP10" s="108"/>
      <c r="MYQ10" s="108"/>
      <c r="MYR10" s="108"/>
      <c r="MYS10" s="108"/>
      <c r="MYT10" s="108"/>
      <c r="MYU10" s="108"/>
      <c r="MYV10" s="108"/>
      <c r="MYW10" s="108"/>
      <c r="MYX10" s="108"/>
      <c r="MYY10" s="108"/>
      <c r="MYZ10" s="108"/>
      <c r="MZA10" s="108"/>
      <c r="MZB10" s="108"/>
      <c r="MZC10" s="108"/>
      <c r="MZD10" s="108"/>
      <c r="MZE10" s="108"/>
      <c r="MZF10" s="108"/>
      <c r="MZG10" s="108"/>
      <c r="MZH10" s="108"/>
      <c r="MZI10" s="108"/>
      <c r="MZJ10" s="108"/>
      <c r="MZK10" s="108"/>
      <c r="MZL10" s="108"/>
      <c r="MZM10" s="108"/>
      <c r="MZN10" s="108"/>
      <c r="MZO10" s="108"/>
      <c r="MZP10" s="108"/>
      <c r="MZQ10" s="108"/>
      <c r="MZR10" s="108"/>
      <c r="MZS10" s="108"/>
      <c r="MZT10" s="108"/>
      <c r="MZU10" s="108"/>
      <c r="MZV10" s="108"/>
      <c r="MZW10" s="108"/>
      <c r="MZX10" s="108"/>
      <c r="MZY10" s="108"/>
      <c r="MZZ10" s="108"/>
      <c r="NAA10" s="108"/>
      <c r="NAB10" s="108"/>
      <c r="NAC10" s="108"/>
      <c r="NAD10" s="108"/>
      <c r="NAE10" s="108"/>
      <c r="NAF10" s="108"/>
      <c r="NAG10" s="108"/>
      <c r="NAH10" s="108"/>
      <c r="NAI10" s="108"/>
      <c r="NAJ10" s="108"/>
      <c r="NAK10" s="108"/>
      <c r="NAL10" s="108"/>
      <c r="NAM10" s="108"/>
      <c r="NAN10" s="108"/>
      <c r="NAO10" s="108"/>
      <c r="NAP10" s="108"/>
      <c r="NAQ10" s="108"/>
      <c r="NAR10" s="108"/>
      <c r="NAS10" s="108"/>
      <c r="NAT10" s="108"/>
      <c r="NAU10" s="108"/>
      <c r="NAV10" s="108"/>
      <c r="NAW10" s="108"/>
      <c r="NAX10" s="108"/>
      <c r="NAY10" s="108"/>
      <c r="NAZ10" s="108"/>
      <c r="NBA10" s="108"/>
      <c r="NBB10" s="108"/>
      <c r="NBC10" s="108"/>
      <c r="NBD10" s="108"/>
      <c r="NBE10" s="108"/>
      <c r="NBF10" s="108"/>
      <c r="NBG10" s="108"/>
      <c r="NBH10" s="108"/>
      <c r="NBI10" s="108"/>
      <c r="NBJ10" s="108"/>
      <c r="NBK10" s="108"/>
      <c r="NBL10" s="108"/>
      <c r="NBM10" s="108"/>
      <c r="NBN10" s="108"/>
      <c r="NBO10" s="108"/>
      <c r="NBP10" s="108"/>
      <c r="NBQ10" s="108"/>
      <c r="NBR10" s="108"/>
      <c r="NBS10" s="108"/>
      <c r="NBT10" s="108"/>
      <c r="NBU10" s="108"/>
      <c r="NBV10" s="108"/>
      <c r="NBW10" s="108"/>
      <c r="NBX10" s="108"/>
      <c r="NBY10" s="108"/>
      <c r="NBZ10" s="108"/>
      <c r="NCA10" s="108"/>
      <c r="NCB10" s="108"/>
      <c r="NCC10" s="108"/>
      <c r="NCD10" s="108"/>
      <c r="NCE10" s="108"/>
      <c r="NCF10" s="108"/>
      <c r="NCG10" s="108"/>
      <c r="NCH10" s="108"/>
      <c r="NCI10" s="108"/>
      <c r="NCJ10" s="108"/>
      <c r="NCK10" s="108"/>
      <c r="NCL10" s="108"/>
      <c r="NCM10" s="108"/>
      <c r="NCN10" s="108"/>
      <c r="NCO10" s="108"/>
      <c r="NCP10" s="108"/>
      <c r="NCQ10" s="108"/>
      <c r="NCR10" s="108"/>
      <c r="NCS10" s="108"/>
      <c r="NCT10" s="108"/>
      <c r="NCU10" s="108"/>
      <c r="NCV10" s="108"/>
      <c r="NCW10" s="108"/>
      <c r="NCX10" s="108"/>
      <c r="NCY10" s="108"/>
      <c r="NCZ10" s="108"/>
      <c r="NDA10" s="108"/>
      <c r="NDB10" s="108"/>
      <c r="NDC10" s="108"/>
      <c r="NDD10" s="108"/>
      <c r="NDE10" s="108"/>
      <c r="NDF10" s="108"/>
      <c r="NDG10" s="108"/>
      <c r="NDH10" s="108"/>
      <c r="NDI10" s="108"/>
      <c r="NDJ10" s="108"/>
      <c r="NDK10" s="108"/>
      <c r="NDL10" s="108"/>
      <c r="NDM10" s="108"/>
      <c r="NDN10" s="108"/>
      <c r="NDO10" s="108"/>
      <c r="NDP10" s="108"/>
      <c r="NDQ10" s="108"/>
      <c r="NDR10" s="108"/>
      <c r="NDS10" s="108"/>
      <c r="NDT10" s="108"/>
      <c r="NDU10" s="108"/>
      <c r="NDV10" s="108"/>
      <c r="NDW10" s="108"/>
      <c r="NDX10" s="108"/>
      <c r="NDY10" s="108"/>
      <c r="NDZ10" s="108"/>
      <c r="NEA10" s="108"/>
      <c r="NEB10" s="108"/>
      <c r="NEC10" s="108"/>
      <c r="NED10" s="108"/>
      <c r="NEE10" s="108"/>
      <c r="NEF10" s="108"/>
      <c r="NEG10" s="108"/>
      <c r="NEH10" s="108"/>
      <c r="NEI10" s="108"/>
      <c r="NEJ10" s="108"/>
      <c r="NEK10" s="108"/>
      <c r="NEL10" s="108"/>
      <c r="NEM10" s="108"/>
      <c r="NEN10" s="108"/>
      <c r="NEO10" s="108"/>
      <c r="NEP10" s="108"/>
      <c r="NEQ10" s="108"/>
      <c r="NER10" s="108"/>
      <c r="NES10" s="108"/>
      <c r="NET10" s="108"/>
      <c r="NEU10" s="108"/>
      <c r="NEV10" s="108"/>
      <c r="NEW10" s="108"/>
      <c r="NEX10" s="108"/>
      <c r="NEY10" s="108"/>
      <c r="NEZ10" s="108"/>
      <c r="NFA10" s="108"/>
      <c r="NFB10" s="108"/>
      <c r="NFC10" s="108"/>
      <c r="NFD10" s="108"/>
      <c r="NFE10" s="108"/>
      <c r="NFF10" s="108"/>
      <c r="NFG10" s="108"/>
      <c r="NFH10" s="108"/>
      <c r="NFI10" s="108"/>
      <c r="NFJ10" s="108"/>
      <c r="NFK10" s="108"/>
      <c r="NFL10" s="108"/>
      <c r="NFM10" s="108"/>
      <c r="NFN10" s="108"/>
      <c r="NFO10" s="108"/>
      <c r="NFP10" s="108"/>
      <c r="NFQ10" s="108"/>
      <c r="NFR10" s="108"/>
      <c r="NFS10" s="108"/>
      <c r="NFT10" s="108"/>
      <c r="NFU10" s="108"/>
      <c r="NFV10" s="108"/>
      <c r="NFW10" s="108"/>
      <c r="NFX10" s="108"/>
      <c r="NFY10" s="108"/>
      <c r="NFZ10" s="108"/>
      <c r="NGA10" s="108"/>
      <c r="NGB10" s="108"/>
      <c r="NGC10" s="108"/>
      <c r="NGD10" s="108"/>
      <c r="NGE10" s="108"/>
      <c r="NGF10" s="108"/>
      <c r="NGG10" s="108"/>
      <c r="NGH10" s="108"/>
      <c r="NGI10" s="108"/>
      <c r="NGJ10" s="108"/>
      <c r="NGK10" s="108"/>
      <c r="NGL10" s="108"/>
      <c r="NGM10" s="108"/>
      <c r="NGN10" s="108"/>
      <c r="NGO10" s="108"/>
      <c r="NGP10" s="108"/>
      <c r="NGQ10" s="108"/>
      <c r="NGR10" s="108"/>
      <c r="NGS10" s="108"/>
      <c r="NGT10" s="108"/>
      <c r="NGU10" s="108"/>
      <c r="NGV10" s="108"/>
      <c r="NGW10" s="108"/>
      <c r="NGX10" s="108"/>
      <c r="NGY10" s="108"/>
      <c r="NGZ10" s="108"/>
      <c r="NHA10" s="108"/>
      <c r="NHB10" s="108"/>
      <c r="NHC10" s="108"/>
      <c r="NHD10" s="108"/>
      <c r="NHE10" s="108"/>
      <c r="NHF10" s="108"/>
      <c r="NHG10" s="108"/>
      <c r="NHH10" s="108"/>
      <c r="NHI10" s="108"/>
      <c r="NHJ10" s="108"/>
      <c r="NHK10" s="108"/>
      <c r="NHL10" s="108"/>
      <c r="NHM10" s="108"/>
      <c r="NHN10" s="108"/>
      <c r="NHO10" s="108"/>
      <c r="NHP10" s="108"/>
      <c r="NHQ10" s="108"/>
      <c r="NHR10" s="108"/>
      <c r="NHS10" s="108"/>
      <c r="NHT10" s="108"/>
      <c r="NHU10" s="108"/>
      <c r="NHV10" s="108"/>
      <c r="NHW10" s="108"/>
      <c r="NHX10" s="108"/>
      <c r="NHY10" s="108"/>
      <c r="NHZ10" s="108"/>
      <c r="NIA10" s="108"/>
      <c r="NIB10" s="108"/>
      <c r="NIC10" s="108"/>
      <c r="NID10" s="108"/>
      <c r="NIE10" s="108"/>
      <c r="NIF10" s="108"/>
      <c r="NIG10" s="108"/>
      <c r="NIH10" s="108"/>
      <c r="NII10" s="108"/>
      <c r="NIJ10" s="108"/>
      <c r="NIK10" s="108"/>
      <c r="NIL10" s="108"/>
      <c r="NIM10" s="108"/>
      <c r="NIN10" s="108"/>
      <c r="NIO10" s="108"/>
      <c r="NIP10" s="108"/>
      <c r="NIQ10" s="108"/>
      <c r="NIR10" s="108"/>
      <c r="NIS10" s="108"/>
      <c r="NIT10" s="108"/>
      <c r="NIU10" s="108"/>
      <c r="NIV10" s="108"/>
      <c r="NIW10" s="108"/>
      <c r="NIX10" s="108"/>
      <c r="NIY10" s="108"/>
      <c r="NIZ10" s="108"/>
      <c r="NJA10" s="108"/>
      <c r="NJB10" s="108"/>
      <c r="NJC10" s="108"/>
      <c r="NJD10" s="108"/>
      <c r="NJE10" s="108"/>
      <c r="NJF10" s="108"/>
      <c r="NJG10" s="108"/>
      <c r="NJH10" s="108"/>
      <c r="NJI10" s="108"/>
      <c r="NJJ10" s="108"/>
      <c r="NJK10" s="108"/>
      <c r="NJL10" s="108"/>
      <c r="NJM10" s="108"/>
      <c r="NJN10" s="108"/>
      <c r="NJO10" s="108"/>
      <c r="NJP10" s="108"/>
      <c r="NJQ10" s="108"/>
      <c r="NJR10" s="108"/>
      <c r="NJS10" s="108"/>
      <c r="NJT10" s="108"/>
      <c r="NJU10" s="108"/>
      <c r="NJV10" s="108"/>
      <c r="NJW10" s="108"/>
      <c r="NJX10" s="108"/>
      <c r="NJY10" s="108"/>
      <c r="NJZ10" s="108"/>
      <c r="NKA10" s="108"/>
      <c r="NKB10" s="108"/>
      <c r="NKC10" s="108"/>
      <c r="NKD10" s="108"/>
      <c r="NKE10" s="108"/>
      <c r="NKF10" s="108"/>
      <c r="NKG10" s="108"/>
      <c r="NKH10" s="108"/>
      <c r="NKI10" s="108"/>
      <c r="NKJ10" s="108"/>
      <c r="NKK10" s="108"/>
      <c r="NKL10" s="108"/>
      <c r="NKM10" s="108"/>
      <c r="NKN10" s="108"/>
      <c r="NKO10" s="108"/>
      <c r="NKP10" s="108"/>
      <c r="NKQ10" s="108"/>
      <c r="NKR10" s="108"/>
      <c r="NKS10" s="108"/>
      <c r="NKT10" s="108"/>
      <c r="NKU10" s="108"/>
      <c r="NKV10" s="108"/>
      <c r="NKW10" s="108"/>
      <c r="NKX10" s="108"/>
      <c r="NKY10" s="108"/>
      <c r="NKZ10" s="108"/>
      <c r="NLA10" s="108"/>
      <c r="NLB10" s="108"/>
      <c r="NLC10" s="108"/>
      <c r="NLD10" s="108"/>
      <c r="NLE10" s="108"/>
      <c r="NLF10" s="108"/>
      <c r="NLG10" s="108"/>
      <c r="NLH10" s="108"/>
      <c r="NLI10" s="108"/>
      <c r="NLJ10" s="108"/>
      <c r="NLK10" s="108"/>
      <c r="NLL10" s="108"/>
      <c r="NLM10" s="108"/>
      <c r="NLN10" s="108"/>
      <c r="NLO10" s="108"/>
      <c r="NLP10" s="108"/>
      <c r="NLQ10" s="108"/>
      <c r="NLR10" s="108"/>
      <c r="NLS10" s="108"/>
      <c r="NLT10" s="108"/>
      <c r="NLU10" s="108"/>
      <c r="NLV10" s="108"/>
      <c r="NLW10" s="108"/>
      <c r="NLX10" s="108"/>
      <c r="NLY10" s="108"/>
      <c r="NLZ10" s="108"/>
      <c r="NMA10" s="108"/>
      <c r="NMB10" s="108"/>
      <c r="NMC10" s="108"/>
      <c r="NMD10" s="108"/>
      <c r="NME10" s="108"/>
      <c r="NMF10" s="108"/>
      <c r="NMG10" s="108"/>
      <c r="NMH10" s="108"/>
      <c r="NMI10" s="108"/>
      <c r="NMJ10" s="108"/>
      <c r="NMK10" s="108"/>
      <c r="NML10" s="108"/>
      <c r="NMM10" s="108"/>
      <c r="NMN10" s="108"/>
      <c r="NMO10" s="108"/>
      <c r="NMP10" s="108"/>
      <c r="NMQ10" s="108"/>
      <c r="NMR10" s="108"/>
      <c r="NMS10" s="108"/>
      <c r="NMT10" s="108"/>
      <c r="NMU10" s="108"/>
      <c r="NMV10" s="108"/>
      <c r="NMW10" s="108"/>
      <c r="NMX10" s="108"/>
      <c r="NMY10" s="108"/>
      <c r="NMZ10" s="108"/>
      <c r="NNA10" s="108"/>
      <c r="NNB10" s="108"/>
      <c r="NNC10" s="108"/>
      <c r="NND10" s="108"/>
      <c r="NNE10" s="108"/>
      <c r="NNF10" s="108"/>
      <c r="NNG10" s="108"/>
      <c r="NNH10" s="108"/>
      <c r="NNI10" s="108"/>
      <c r="NNJ10" s="108"/>
      <c r="NNK10" s="108"/>
      <c r="NNL10" s="108"/>
      <c r="NNM10" s="108"/>
      <c r="NNN10" s="108"/>
      <c r="NNO10" s="108"/>
      <c r="NNP10" s="108"/>
      <c r="NNQ10" s="108"/>
      <c r="NNR10" s="108"/>
      <c r="NNS10" s="108"/>
      <c r="NNT10" s="108"/>
      <c r="NNU10" s="108"/>
      <c r="NNV10" s="108"/>
      <c r="NNW10" s="108"/>
      <c r="NNX10" s="108"/>
      <c r="NNY10" s="108"/>
      <c r="NNZ10" s="108"/>
      <c r="NOA10" s="108"/>
      <c r="NOB10" s="108"/>
      <c r="NOC10" s="108"/>
      <c r="NOD10" s="108"/>
      <c r="NOE10" s="108"/>
      <c r="NOF10" s="108"/>
      <c r="NOG10" s="108"/>
      <c r="NOH10" s="108"/>
      <c r="NOI10" s="108"/>
      <c r="NOJ10" s="108"/>
      <c r="NOK10" s="108"/>
      <c r="NOL10" s="108"/>
      <c r="NOM10" s="108"/>
      <c r="NON10" s="108"/>
      <c r="NOO10" s="108"/>
      <c r="NOP10" s="108"/>
      <c r="NOQ10" s="108"/>
      <c r="NOR10" s="108"/>
      <c r="NOS10" s="108"/>
      <c r="NOT10" s="108"/>
      <c r="NOU10" s="108"/>
      <c r="NOV10" s="108"/>
      <c r="NOW10" s="108"/>
      <c r="NOX10" s="108"/>
      <c r="NOY10" s="108"/>
      <c r="NOZ10" s="108"/>
      <c r="NPA10" s="108"/>
      <c r="NPB10" s="108"/>
      <c r="NPC10" s="108"/>
      <c r="NPD10" s="108"/>
      <c r="NPE10" s="108"/>
      <c r="NPF10" s="108"/>
      <c r="NPG10" s="108"/>
      <c r="NPH10" s="108"/>
      <c r="NPI10" s="108"/>
      <c r="NPJ10" s="108"/>
      <c r="NPK10" s="108"/>
      <c r="NPL10" s="108"/>
      <c r="NPM10" s="108"/>
      <c r="NPN10" s="108"/>
      <c r="NPO10" s="108"/>
      <c r="NPP10" s="108"/>
      <c r="NPQ10" s="108"/>
      <c r="NPR10" s="108"/>
      <c r="NPS10" s="108"/>
      <c r="NPT10" s="108"/>
      <c r="NPU10" s="108"/>
      <c r="NPV10" s="108"/>
      <c r="NPW10" s="108"/>
      <c r="NPX10" s="108"/>
      <c r="NPY10" s="108"/>
      <c r="NPZ10" s="108"/>
      <c r="NQA10" s="108"/>
      <c r="NQB10" s="108"/>
      <c r="NQC10" s="108"/>
      <c r="NQD10" s="108"/>
      <c r="NQE10" s="108"/>
      <c r="NQF10" s="108"/>
      <c r="NQG10" s="108"/>
      <c r="NQH10" s="108"/>
      <c r="NQI10" s="108"/>
      <c r="NQJ10" s="108"/>
      <c r="NQK10" s="108"/>
      <c r="NQL10" s="108"/>
      <c r="NQM10" s="108"/>
      <c r="NQN10" s="108"/>
      <c r="NQO10" s="108"/>
      <c r="NQP10" s="108"/>
      <c r="NQQ10" s="108"/>
      <c r="NQR10" s="108"/>
      <c r="NQS10" s="108"/>
      <c r="NQT10" s="108"/>
      <c r="NQU10" s="108"/>
      <c r="NQV10" s="108"/>
      <c r="NQW10" s="108"/>
      <c r="NQX10" s="108"/>
      <c r="NQY10" s="108"/>
      <c r="NQZ10" s="108"/>
      <c r="NRA10" s="108"/>
      <c r="NRB10" s="108"/>
      <c r="NRC10" s="108"/>
      <c r="NRD10" s="108"/>
      <c r="NRE10" s="108"/>
      <c r="NRF10" s="108"/>
      <c r="NRG10" s="108"/>
      <c r="NRH10" s="108"/>
      <c r="NRI10" s="108"/>
      <c r="NRJ10" s="108"/>
      <c r="NRK10" s="108"/>
      <c r="NRL10" s="108"/>
      <c r="NRM10" s="108"/>
      <c r="NRN10" s="108"/>
      <c r="NRO10" s="108"/>
      <c r="NRP10" s="108"/>
      <c r="NRQ10" s="108"/>
      <c r="NRR10" s="108"/>
      <c r="NRS10" s="108"/>
      <c r="NRT10" s="108"/>
      <c r="NRU10" s="108"/>
      <c r="NRV10" s="108"/>
      <c r="NRW10" s="108"/>
      <c r="NRX10" s="108"/>
      <c r="NRY10" s="108"/>
      <c r="NRZ10" s="108"/>
      <c r="NSA10" s="108"/>
      <c r="NSB10" s="108"/>
      <c r="NSC10" s="108"/>
      <c r="NSD10" s="108"/>
      <c r="NSE10" s="108"/>
      <c r="NSF10" s="108"/>
      <c r="NSG10" s="108"/>
      <c r="NSH10" s="108"/>
      <c r="NSI10" s="108"/>
      <c r="NSJ10" s="108"/>
      <c r="NSK10" s="108"/>
      <c r="NSL10" s="108"/>
      <c r="NSM10" s="108"/>
      <c r="NSN10" s="108"/>
      <c r="NSO10" s="108"/>
      <c r="NSP10" s="108"/>
      <c r="NSQ10" s="108"/>
      <c r="NSR10" s="108"/>
      <c r="NSS10" s="108"/>
      <c r="NST10" s="108"/>
      <c r="NSU10" s="108"/>
      <c r="NSV10" s="108"/>
      <c r="NSW10" s="108"/>
      <c r="NSX10" s="108"/>
      <c r="NSY10" s="108"/>
      <c r="NSZ10" s="108"/>
      <c r="NTA10" s="108"/>
      <c r="NTB10" s="108"/>
      <c r="NTC10" s="108"/>
      <c r="NTD10" s="108"/>
      <c r="NTE10" s="108"/>
      <c r="NTF10" s="108"/>
      <c r="NTG10" s="108"/>
      <c r="NTH10" s="108"/>
      <c r="NTI10" s="108"/>
      <c r="NTJ10" s="108"/>
      <c r="NTK10" s="108"/>
      <c r="NTL10" s="108"/>
      <c r="NTM10" s="108"/>
      <c r="NTN10" s="108"/>
      <c r="NTO10" s="108"/>
      <c r="NTP10" s="108"/>
      <c r="NTQ10" s="108"/>
      <c r="NTR10" s="108"/>
      <c r="NTS10" s="108"/>
      <c r="NTT10" s="108"/>
      <c r="NTU10" s="108"/>
      <c r="NTV10" s="108"/>
      <c r="NTW10" s="108"/>
      <c r="NTX10" s="108"/>
      <c r="NTY10" s="108"/>
      <c r="NTZ10" s="108"/>
      <c r="NUA10" s="108"/>
      <c r="NUB10" s="108"/>
      <c r="NUC10" s="108"/>
      <c r="NUD10" s="108"/>
      <c r="NUE10" s="108"/>
      <c r="NUF10" s="108"/>
      <c r="NUG10" s="108"/>
      <c r="NUH10" s="108"/>
      <c r="NUI10" s="108"/>
      <c r="NUJ10" s="108"/>
      <c r="NUK10" s="108"/>
      <c r="NUL10" s="108"/>
      <c r="NUM10" s="108"/>
      <c r="NUN10" s="108"/>
      <c r="NUO10" s="108"/>
      <c r="NUP10" s="108"/>
      <c r="NUQ10" s="108"/>
      <c r="NUR10" s="108"/>
      <c r="NUS10" s="108"/>
      <c r="NUT10" s="108"/>
      <c r="NUU10" s="108"/>
      <c r="NUV10" s="108"/>
      <c r="NUW10" s="108"/>
      <c r="NUX10" s="108"/>
      <c r="NUY10" s="108"/>
      <c r="NUZ10" s="108"/>
      <c r="NVA10" s="108"/>
      <c r="NVB10" s="108"/>
      <c r="NVC10" s="108"/>
      <c r="NVD10" s="108"/>
      <c r="NVE10" s="108"/>
      <c r="NVF10" s="108"/>
      <c r="NVG10" s="108"/>
      <c r="NVH10" s="108"/>
      <c r="NVI10" s="108"/>
      <c r="NVJ10" s="108"/>
      <c r="NVK10" s="108"/>
      <c r="NVL10" s="108"/>
      <c r="NVM10" s="108"/>
      <c r="NVN10" s="108"/>
      <c r="NVO10" s="108"/>
      <c r="NVP10" s="108"/>
      <c r="NVQ10" s="108"/>
      <c r="NVR10" s="108"/>
      <c r="NVS10" s="108"/>
      <c r="NVT10" s="108"/>
      <c r="NVU10" s="108"/>
      <c r="NVV10" s="108"/>
      <c r="NVW10" s="108"/>
      <c r="NVX10" s="108"/>
      <c r="NVY10" s="108"/>
      <c r="NVZ10" s="108"/>
      <c r="NWA10" s="108"/>
      <c r="NWB10" s="108"/>
      <c r="NWC10" s="108"/>
      <c r="NWD10" s="108"/>
      <c r="NWE10" s="108"/>
      <c r="NWF10" s="108"/>
      <c r="NWG10" s="108"/>
      <c r="NWH10" s="108"/>
      <c r="NWI10" s="108"/>
      <c r="NWJ10" s="108"/>
      <c r="NWK10" s="108"/>
      <c r="NWL10" s="108"/>
      <c r="NWM10" s="108"/>
      <c r="NWN10" s="108"/>
      <c r="NWO10" s="108"/>
      <c r="NWP10" s="108"/>
      <c r="NWQ10" s="108"/>
      <c r="NWR10" s="108"/>
      <c r="NWS10" s="108"/>
      <c r="NWT10" s="108"/>
      <c r="NWU10" s="108"/>
      <c r="NWV10" s="108"/>
      <c r="NWW10" s="108"/>
      <c r="NWX10" s="108"/>
      <c r="NWY10" s="108"/>
      <c r="NWZ10" s="108"/>
      <c r="NXA10" s="108"/>
      <c r="NXB10" s="108"/>
      <c r="NXC10" s="108"/>
      <c r="NXD10" s="108"/>
      <c r="NXE10" s="108"/>
      <c r="NXF10" s="108"/>
      <c r="NXG10" s="108"/>
      <c r="NXH10" s="108"/>
      <c r="NXI10" s="108"/>
      <c r="NXJ10" s="108"/>
      <c r="NXK10" s="108"/>
      <c r="NXL10" s="108"/>
      <c r="NXM10" s="108"/>
      <c r="NXN10" s="108"/>
      <c r="NXO10" s="108"/>
      <c r="NXP10" s="108"/>
      <c r="NXQ10" s="108"/>
      <c r="NXR10" s="108"/>
      <c r="NXS10" s="108"/>
      <c r="NXT10" s="108"/>
      <c r="NXU10" s="108"/>
      <c r="NXV10" s="108"/>
      <c r="NXW10" s="108"/>
      <c r="NXX10" s="108"/>
      <c r="NXY10" s="108"/>
      <c r="NXZ10" s="108"/>
      <c r="NYA10" s="108"/>
      <c r="NYB10" s="108"/>
      <c r="NYC10" s="108"/>
      <c r="NYD10" s="108"/>
      <c r="NYE10" s="108"/>
      <c r="NYF10" s="108"/>
      <c r="NYG10" s="108"/>
      <c r="NYH10" s="108"/>
      <c r="NYI10" s="108"/>
      <c r="NYJ10" s="108"/>
      <c r="NYK10" s="108"/>
      <c r="NYL10" s="108"/>
      <c r="NYM10" s="108"/>
      <c r="NYN10" s="108"/>
      <c r="NYO10" s="108"/>
      <c r="NYP10" s="108"/>
      <c r="NYQ10" s="108"/>
      <c r="NYR10" s="108"/>
      <c r="NYS10" s="108"/>
      <c r="NYT10" s="108"/>
      <c r="NYU10" s="108"/>
      <c r="NYV10" s="108"/>
      <c r="NYW10" s="108"/>
      <c r="NYX10" s="108"/>
      <c r="NYY10" s="108"/>
      <c r="NYZ10" s="108"/>
      <c r="NZA10" s="108"/>
      <c r="NZB10" s="108"/>
      <c r="NZC10" s="108"/>
      <c r="NZD10" s="108"/>
      <c r="NZE10" s="108"/>
      <c r="NZF10" s="108"/>
      <c r="NZG10" s="108"/>
      <c r="NZH10" s="108"/>
      <c r="NZI10" s="108"/>
      <c r="NZJ10" s="108"/>
      <c r="NZK10" s="108"/>
      <c r="NZL10" s="108"/>
      <c r="NZM10" s="108"/>
      <c r="NZN10" s="108"/>
      <c r="NZO10" s="108"/>
      <c r="NZP10" s="108"/>
      <c r="NZQ10" s="108"/>
      <c r="NZR10" s="108"/>
      <c r="NZS10" s="108"/>
      <c r="NZT10" s="108"/>
      <c r="NZU10" s="108"/>
      <c r="NZV10" s="108"/>
      <c r="NZW10" s="108"/>
      <c r="NZX10" s="108"/>
      <c r="NZY10" s="108"/>
      <c r="NZZ10" s="108"/>
      <c r="OAA10" s="108"/>
      <c r="OAB10" s="108"/>
      <c r="OAC10" s="108"/>
      <c r="OAD10" s="108"/>
      <c r="OAE10" s="108"/>
      <c r="OAF10" s="108"/>
      <c r="OAG10" s="108"/>
      <c r="OAH10" s="108"/>
      <c r="OAI10" s="108"/>
      <c r="OAJ10" s="108"/>
      <c r="OAK10" s="108"/>
      <c r="OAL10" s="108"/>
      <c r="OAM10" s="108"/>
      <c r="OAN10" s="108"/>
      <c r="OAO10" s="108"/>
      <c r="OAP10" s="108"/>
      <c r="OAQ10" s="108"/>
      <c r="OAR10" s="108"/>
      <c r="OAS10" s="108"/>
      <c r="OAT10" s="108"/>
      <c r="OAU10" s="108"/>
      <c r="OAV10" s="108"/>
      <c r="OAW10" s="108"/>
      <c r="OAX10" s="108"/>
      <c r="OAY10" s="108"/>
      <c r="OAZ10" s="108"/>
      <c r="OBA10" s="108"/>
      <c r="OBB10" s="108"/>
      <c r="OBC10" s="108"/>
      <c r="OBD10" s="108"/>
      <c r="OBE10" s="108"/>
      <c r="OBF10" s="108"/>
      <c r="OBG10" s="108"/>
      <c r="OBH10" s="108"/>
      <c r="OBI10" s="108"/>
      <c r="OBJ10" s="108"/>
      <c r="OBK10" s="108"/>
      <c r="OBL10" s="108"/>
      <c r="OBM10" s="108"/>
      <c r="OBN10" s="108"/>
      <c r="OBO10" s="108"/>
      <c r="OBP10" s="108"/>
      <c r="OBQ10" s="108"/>
      <c r="OBR10" s="108"/>
      <c r="OBS10" s="108"/>
      <c r="OBT10" s="108"/>
      <c r="OBU10" s="108"/>
      <c r="OBV10" s="108"/>
      <c r="OBW10" s="108"/>
      <c r="OBX10" s="108"/>
      <c r="OBY10" s="108"/>
      <c r="OBZ10" s="108"/>
      <c r="OCA10" s="108"/>
      <c r="OCB10" s="108"/>
      <c r="OCC10" s="108"/>
      <c r="OCD10" s="108"/>
      <c r="OCE10" s="108"/>
      <c r="OCF10" s="108"/>
      <c r="OCG10" s="108"/>
      <c r="OCH10" s="108"/>
      <c r="OCI10" s="108"/>
      <c r="OCJ10" s="108"/>
      <c r="OCK10" s="108"/>
      <c r="OCL10" s="108"/>
      <c r="OCM10" s="108"/>
      <c r="OCN10" s="108"/>
      <c r="OCO10" s="108"/>
      <c r="OCP10" s="108"/>
      <c r="OCQ10" s="108"/>
      <c r="OCR10" s="108"/>
      <c r="OCS10" s="108"/>
      <c r="OCT10" s="108"/>
      <c r="OCU10" s="108"/>
      <c r="OCV10" s="108"/>
      <c r="OCW10" s="108"/>
      <c r="OCX10" s="108"/>
      <c r="OCY10" s="108"/>
      <c r="OCZ10" s="108"/>
      <c r="ODA10" s="108"/>
      <c r="ODB10" s="108"/>
      <c r="ODC10" s="108"/>
      <c r="ODD10" s="108"/>
      <c r="ODE10" s="108"/>
      <c r="ODF10" s="108"/>
      <c r="ODG10" s="108"/>
      <c r="ODH10" s="108"/>
      <c r="ODI10" s="108"/>
      <c r="ODJ10" s="108"/>
      <c r="ODK10" s="108"/>
      <c r="ODL10" s="108"/>
      <c r="ODM10" s="108"/>
      <c r="ODN10" s="108"/>
      <c r="ODO10" s="108"/>
      <c r="ODP10" s="108"/>
      <c r="ODQ10" s="108"/>
      <c r="ODR10" s="108"/>
      <c r="ODS10" s="108"/>
      <c r="ODT10" s="108"/>
      <c r="ODU10" s="108"/>
      <c r="ODV10" s="108"/>
      <c r="ODW10" s="108"/>
      <c r="ODX10" s="108"/>
      <c r="ODY10" s="108"/>
      <c r="ODZ10" s="108"/>
      <c r="OEA10" s="108"/>
      <c r="OEB10" s="108"/>
      <c r="OEC10" s="108"/>
      <c r="OED10" s="108"/>
      <c r="OEE10" s="108"/>
      <c r="OEF10" s="108"/>
      <c r="OEG10" s="108"/>
      <c r="OEH10" s="108"/>
      <c r="OEI10" s="108"/>
      <c r="OEJ10" s="108"/>
      <c r="OEK10" s="108"/>
      <c r="OEL10" s="108"/>
      <c r="OEM10" s="108"/>
      <c r="OEN10" s="108"/>
      <c r="OEO10" s="108"/>
      <c r="OEP10" s="108"/>
      <c r="OEQ10" s="108"/>
      <c r="OER10" s="108"/>
      <c r="OES10" s="108"/>
      <c r="OET10" s="108"/>
      <c r="OEU10" s="108"/>
      <c r="OEV10" s="108"/>
      <c r="OEW10" s="108"/>
      <c r="OEX10" s="108"/>
      <c r="OEY10" s="108"/>
      <c r="OEZ10" s="108"/>
      <c r="OFA10" s="108"/>
      <c r="OFB10" s="108"/>
      <c r="OFC10" s="108"/>
      <c r="OFD10" s="108"/>
      <c r="OFE10" s="108"/>
      <c r="OFF10" s="108"/>
      <c r="OFG10" s="108"/>
      <c r="OFH10" s="108"/>
      <c r="OFI10" s="108"/>
      <c r="OFJ10" s="108"/>
      <c r="OFK10" s="108"/>
      <c r="OFL10" s="108"/>
      <c r="OFM10" s="108"/>
      <c r="OFN10" s="108"/>
      <c r="OFO10" s="108"/>
      <c r="OFP10" s="108"/>
      <c r="OFQ10" s="108"/>
      <c r="OFR10" s="108"/>
      <c r="OFS10" s="108"/>
      <c r="OFT10" s="108"/>
      <c r="OFU10" s="108"/>
      <c r="OFV10" s="108"/>
      <c r="OFW10" s="108"/>
      <c r="OFX10" s="108"/>
      <c r="OFY10" s="108"/>
      <c r="OFZ10" s="108"/>
      <c r="OGA10" s="108"/>
      <c r="OGB10" s="108"/>
      <c r="OGC10" s="108"/>
      <c r="OGD10" s="108"/>
      <c r="OGE10" s="108"/>
      <c r="OGF10" s="108"/>
      <c r="OGG10" s="108"/>
      <c r="OGH10" s="108"/>
      <c r="OGI10" s="108"/>
      <c r="OGJ10" s="108"/>
      <c r="OGK10" s="108"/>
      <c r="OGL10" s="108"/>
      <c r="OGM10" s="108"/>
      <c r="OGN10" s="108"/>
      <c r="OGO10" s="108"/>
      <c r="OGP10" s="108"/>
      <c r="OGQ10" s="108"/>
      <c r="OGR10" s="108"/>
      <c r="OGS10" s="108"/>
      <c r="OGT10" s="108"/>
      <c r="OGU10" s="108"/>
      <c r="OGV10" s="108"/>
      <c r="OGW10" s="108"/>
      <c r="OGX10" s="108"/>
      <c r="OGY10" s="108"/>
      <c r="OGZ10" s="108"/>
      <c r="OHA10" s="108"/>
      <c r="OHB10" s="108"/>
      <c r="OHC10" s="108"/>
      <c r="OHD10" s="108"/>
      <c r="OHE10" s="108"/>
      <c r="OHF10" s="108"/>
      <c r="OHG10" s="108"/>
      <c r="OHH10" s="108"/>
      <c r="OHI10" s="108"/>
      <c r="OHJ10" s="108"/>
      <c r="OHK10" s="108"/>
      <c r="OHL10" s="108"/>
      <c r="OHM10" s="108"/>
      <c r="OHN10" s="108"/>
      <c r="OHO10" s="108"/>
      <c r="OHP10" s="108"/>
      <c r="OHQ10" s="108"/>
      <c r="OHR10" s="108"/>
      <c r="OHS10" s="108"/>
      <c r="OHT10" s="108"/>
      <c r="OHU10" s="108"/>
      <c r="OHV10" s="108"/>
      <c r="OHW10" s="108"/>
      <c r="OHX10" s="108"/>
      <c r="OHY10" s="108"/>
      <c r="OHZ10" s="108"/>
      <c r="OIA10" s="108"/>
      <c r="OIB10" s="108"/>
      <c r="OIC10" s="108"/>
      <c r="OID10" s="108"/>
      <c r="OIE10" s="108"/>
      <c r="OIF10" s="108"/>
      <c r="OIG10" s="108"/>
      <c r="OIH10" s="108"/>
      <c r="OII10" s="108"/>
      <c r="OIJ10" s="108"/>
      <c r="OIK10" s="108"/>
      <c r="OIL10" s="108"/>
      <c r="OIM10" s="108"/>
      <c r="OIN10" s="108"/>
      <c r="OIO10" s="108"/>
      <c r="OIP10" s="108"/>
      <c r="OIQ10" s="108"/>
      <c r="OIR10" s="108"/>
      <c r="OIS10" s="108"/>
      <c r="OIT10" s="108"/>
      <c r="OIU10" s="108"/>
      <c r="OIV10" s="108"/>
      <c r="OIW10" s="108"/>
      <c r="OIX10" s="108"/>
      <c r="OIY10" s="108"/>
      <c r="OIZ10" s="108"/>
      <c r="OJA10" s="108"/>
      <c r="OJB10" s="108"/>
      <c r="OJC10" s="108"/>
      <c r="OJD10" s="108"/>
      <c r="OJE10" s="108"/>
      <c r="OJF10" s="108"/>
      <c r="OJG10" s="108"/>
      <c r="OJH10" s="108"/>
      <c r="OJI10" s="108"/>
      <c r="OJJ10" s="108"/>
      <c r="OJK10" s="108"/>
      <c r="OJL10" s="108"/>
      <c r="OJM10" s="108"/>
      <c r="OJN10" s="108"/>
      <c r="OJO10" s="108"/>
      <c r="OJP10" s="108"/>
      <c r="OJQ10" s="108"/>
      <c r="OJR10" s="108"/>
      <c r="OJS10" s="108"/>
      <c r="OJT10" s="108"/>
      <c r="OJU10" s="108"/>
      <c r="OJV10" s="108"/>
      <c r="OJW10" s="108"/>
      <c r="OJX10" s="108"/>
      <c r="OJY10" s="108"/>
      <c r="OJZ10" s="108"/>
      <c r="OKA10" s="108"/>
      <c r="OKB10" s="108"/>
      <c r="OKC10" s="108"/>
      <c r="OKD10" s="108"/>
      <c r="OKE10" s="108"/>
      <c r="OKF10" s="108"/>
      <c r="OKG10" s="108"/>
      <c r="OKH10" s="108"/>
      <c r="OKI10" s="108"/>
      <c r="OKJ10" s="108"/>
      <c r="OKK10" s="108"/>
      <c r="OKL10" s="108"/>
      <c r="OKM10" s="108"/>
      <c r="OKN10" s="108"/>
      <c r="OKO10" s="108"/>
      <c r="OKP10" s="108"/>
      <c r="OKQ10" s="108"/>
      <c r="OKR10" s="108"/>
      <c r="OKS10" s="108"/>
      <c r="OKT10" s="108"/>
      <c r="OKU10" s="108"/>
      <c r="OKV10" s="108"/>
      <c r="OKW10" s="108"/>
      <c r="OKX10" s="108"/>
      <c r="OKY10" s="108"/>
      <c r="OKZ10" s="108"/>
      <c r="OLA10" s="108"/>
      <c r="OLB10" s="108"/>
      <c r="OLC10" s="108"/>
      <c r="OLD10" s="108"/>
      <c r="OLE10" s="108"/>
      <c r="OLF10" s="108"/>
      <c r="OLG10" s="108"/>
      <c r="OLH10" s="108"/>
      <c r="OLI10" s="108"/>
      <c r="OLJ10" s="108"/>
      <c r="OLK10" s="108"/>
      <c r="OLL10" s="108"/>
      <c r="OLM10" s="108"/>
      <c r="OLN10" s="108"/>
      <c r="OLO10" s="108"/>
      <c r="OLP10" s="108"/>
      <c r="OLQ10" s="108"/>
      <c r="OLR10" s="108"/>
      <c r="OLS10" s="108"/>
      <c r="OLT10" s="108"/>
      <c r="OLU10" s="108"/>
      <c r="OLV10" s="108"/>
      <c r="OLW10" s="108"/>
      <c r="OLX10" s="108"/>
      <c r="OLY10" s="108"/>
      <c r="OLZ10" s="108"/>
      <c r="OMA10" s="108"/>
      <c r="OMB10" s="108"/>
      <c r="OMC10" s="108"/>
      <c r="OMD10" s="108"/>
      <c r="OME10" s="108"/>
      <c r="OMF10" s="108"/>
      <c r="OMG10" s="108"/>
      <c r="OMH10" s="108"/>
      <c r="OMI10" s="108"/>
      <c r="OMJ10" s="108"/>
      <c r="OMK10" s="108"/>
      <c r="OML10" s="108"/>
      <c r="OMM10" s="108"/>
      <c r="OMN10" s="108"/>
      <c r="OMO10" s="108"/>
      <c r="OMP10" s="108"/>
      <c r="OMQ10" s="108"/>
      <c r="OMR10" s="108"/>
      <c r="OMS10" s="108"/>
      <c r="OMT10" s="108"/>
      <c r="OMU10" s="108"/>
      <c r="OMV10" s="108"/>
      <c r="OMW10" s="108"/>
      <c r="OMX10" s="108"/>
      <c r="OMY10" s="108"/>
      <c r="OMZ10" s="108"/>
      <c r="ONA10" s="108"/>
      <c r="ONB10" s="108"/>
      <c r="ONC10" s="108"/>
      <c r="OND10" s="108"/>
      <c r="ONE10" s="108"/>
      <c r="ONF10" s="108"/>
      <c r="ONG10" s="108"/>
      <c r="ONH10" s="108"/>
      <c r="ONI10" s="108"/>
      <c r="ONJ10" s="108"/>
      <c r="ONK10" s="108"/>
      <c r="ONL10" s="108"/>
      <c r="ONM10" s="108"/>
      <c r="ONN10" s="108"/>
      <c r="ONO10" s="108"/>
      <c r="ONP10" s="108"/>
      <c r="ONQ10" s="108"/>
      <c r="ONR10" s="108"/>
      <c r="ONS10" s="108"/>
      <c r="ONT10" s="108"/>
      <c r="ONU10" s="108"/>
      <c r="ONV10" s="108"/>
      <c r="ONW10" s="108"/>
      <c r="ONX10" s="108"/>
      <c r="ONY10" s="108"/>
      <c r="ONZ10" s="108"/>
      <c r="OOA10" s="108"/>
      <c r="OOB10" s="108"/>
      <c r="OOC10" s="108"/>
      <c r="OOD10" s="108"/>
      <c r="OOE10" s="108"/>
      <c r="OOF10" s="108"/>
      <c r="OOG10" s="108"/>
      <c r="OOH10" s="108"/>
      <c r="OOI10" s="108"/>
      <c r="OOJ10" s="108"/>
      <c r="OOK10" s="108"/>
      <c r="OOL10" s="108"/>
      <c r="OOM10" s="108"/>
      <c r="OON10" s="108"/>
      <c r="OOO10" s="108"/>
      <c r="OOP10" s="108"/>
      <c r="OOQ10" s="108"/>
      <c r="OOR10" s="108"/>
      <c r="OOS10" s="108"/>
      <c r="OOT10" s="108"/>
      <c r="OOU10" s="108"/>
      <c r="OOV10" s="108"/>
      <c r="OOW10" s="108"/>
      <c r="OOX10" s="108"/>
      <c r="OOY10" s="108"/>
      <c r="OOZ10" s="108"/>
      <c r="OPA10" s="108"/>
      <c r="OPB10" s="108"/>
      <c r="OPC10" s="108"/>
      <c r="OPD10" s="108"/>
      <c r="OPE10" s="108"/>
      <c r="OPF10" s="108"/>
      <c r="OPG10" s="108"/>
      <c r="OPH10" s="108"/>
      <c r="OPI10" s="108"/>
      <c r="OPJ10" s="108"/>
      <c r="OPK10" s="108"/>
      <c r="OPL10" s="108"/>
      <c r="OPM10" s="108"/>
      <c r="OPN10" s="108"/>
      <c r="OPO10" s="108"/>
      <c r="OPP10" s="108"/>
      <c r="OPQ10" s="108"/>
      <c r="OPR10" s="108"/>
      <c r="OPS10" s="108"/>
      <c r="OPT10" s="108"/>
      <c r="OPU10" s="108"/>
      <c r="OPV10" s="108"/>
      <c r="OPW10" s="108"/>
      <c r="OPX10" s="108"/>
      <c r="OPY10" s="108"/>
      <c r="OPZ10" s="108"/>
      <c r="OQA10" s="108"/>
      <c r="OQB10" s="108"/>
      <c r="OQC10" s="108"/>
      <c r="OQD10" s="108"/>
      <c r="OQE10" s="108"/>
      <c r="OQF10" s="108"/>
      <c r="OQG10" s="108"/>
      <c r="OQH10" s="108"/>
      <c r="OQI10" s="108"/>
      <c r="OQJ10" s="108"/>
      <c r="OQK10" s="108"/>
      <c r="OQL10" s="108"/>
      <c r="OQM10" s="108"/>
      <c r="OQN10" s="108"/>
      <c r="OQO10" s="108"/>
      <c r="OQP10" s="108"/>
      <c r="OQQ10" s="108"/>
      <c r="OQR10" s="108"/>
      <c r="OQS10" s="108"/>
      <c r="OQT10" s="108"/>
      <c r="OQU10" s="108"/>
      <c r="OQV10" s="108"/>
      <c r="OQW10" s="108"/>
      <c r="OQX10" s="108"/>
      <c r="OQY10" s="108"/>
      <c r="OQZ10" s="108"/>
      <c r="ORA10" s="108"/>
      <c r="ORB10" s="108"/>
      <c r="ORC10" s="108"/>
      <c r="ORD10" s="108"/>
      <c r="ORE10" s="108"/>
      <c r="ORF10" s="108"/>
      <c r="ORG10" s="108"/>
      <c r="ORH10" s="108"/>
      <c r="ORI10" s="108"/>
      <c r="ORJ10" s="108"/>
      <c r="ORK10" s="108"/>
      <c r="ORL10" s="108"/>
      <c r="ORM10" s="108"/>
      <c r="ORN10" s="108"/>
      <c r="ORO10" s="108"/>
      <c r="ORP10" s="108"/>
      <c r="ORQ10" s="108"/>
      <c r="ORR10" s="108"/>
      <c r="ORS10" s="108"/>
      <c r="ORT10" s="108"/>
      <c r="ORU10" s="108"/>
      <c r="ORV10" s="108"/>
      <c r="ORW10" s="108"/>
      <c r="ORX10" s="108"/>
      <c r="ORY10" s="108"/>
      <c r="ORZ10" s="108"/>
      <c r="OSA10" s="108"/>
      <c r="OSB10" s="108"/>
      <c r="OSC10" s="108"/>
      <c r="OSD10" s="108"/>
      <c r="OSE10" s="108"/>
      <c r="OSF10" s="108"/>
      <c r="OSG10" s="108"/>
      <c r="OSH10" s="108"/>
      <c r="OSI10" s="108"/>
      <c r="OSJ10" s="108"/>
      <c r="OSK10" s="108"/>
      <c r="OSL10" s="108"/>
      <c r="OSM10" s="108"/>
      <c r="OSN10" s="108"/>
      <c r="OSO10" s="108"/>
      <c r="OSP10" s="108"/>
      <c r="OSQ10" s="108"/>
      <c r="OSR10" s="108"/>
      <c r="OSS10" s="108"/>
      <c r="OST10" s="108"/>
      <c r="OSU10" s="108"/>
      <c r="OSV10" s="108"/>
      <c r="OSW10" s="108"/>
      <c r="OSX10" s="108"/>
      <c r="OSY10" s="108"/>
      <c r="OSZ10" s="108"/>
      <c r="OTA10" s="108"/>
      <c r="OTB10" s="108"/>
      <c r="OTC10" s="108"/>
      <c r="OTD10" s="108"/>
      <c r="OTE10" s="108"/>
      <c r="OTF10" s="108"/>
      <c r="OTG10" s="108"/>
      <c r="OTH10" s="108"/>
      <c r="OTI10" s="108"/>
      <c r="OTJ10" s="108"/>
      <c r="OTK10" s="108"/>
      <c r="OTL10" s="108"/>
      <c r="OTM10" s="108"/>
      <c r="OTN10" s="108"/>
      <c r="OTO10" s="108"/>
      <c r="OTP10" s="108"/>
      <c r="OTQ10" s="108"/>
      <c r="OTR10" s="108"/>
      <c r="OTS10" s="108"/>
      <c r="OTT10" s="108"/>
      <c r="OTU10" s="108"/>
      <c r="OTV10" s="108"/>
      <c r="OTW10" s="108"/>
      <c r="OTX10" s="108"/>
      <c r="OTY10" s="108"/>
      <c r="OTZ10" s="108"/>
      <c r="OUA10" s="108"/>
      <c r="OUB10" s="108"/>
      <c r="OUC10" s="108"/>
      <c r="OUD10" s="108"/>
      <c r="OUE10" s="108"/>
      <c r="OUF10" s="108"/>
      <c r="OUG10" s="108"/>
      <c r="OUH10" s="108"/>
      <c r="OUI10" s="108"/>
      <c r="OUJ10" s="108"/>
      <c r="OUK10" s="108"/>
      <c r="OUL10" s="108"/>
      <c r="OUM10" s="108"/>
      <c r="OUN10" s="108"/>
      <c r="OUO10" s="108"/>
      <c r="OUP10" s="108"/>
      <c r="OUQ10" s="108"/>
      <c r="OUR10" s="108"/>
      <c r="OUS10" s="108"/>
      <c r="OUT10" s="108"/>
      <c r="OUU10" s="108"/>
      <c r="OUV10" s="108"/>
      <c r="OUW10" s="108"/>
      <c r="OUX10" s="108"/>
      <c r="OUY10" s="108"/>
      <c r="OUZ10" s="108"/>
      <c r="OVA10" s="108"/>
      <c r="OVB10" s="108"/>
      <c r="OVC10" s="108"/>
      <c r="OVD10" s="108"/>
      <c r="OVE10" s="108"/>
      <c r="OVF10" s="108"/>
      <c r="OVG10" s="108"/>
      <c r="OVH10" s="108"/>
      <c r="OVI10" s="108"/>
      <c r="OVJ10" s="108"/>
      <c r="OVK10" s="108"/>
      <c r="OVL10" s="108"/>
      <c r="OVM10" s="108"/>
      <c r="OVN10" s="108"/>
      <c r="OVO10" s="108"/>
      <c r="OVP10" s="108"/>
      <c r="OVQ10" s="108"/>
      <c r="OVR10" s="108"/>
      <c r="OVS10" s="108"/>
      <c r="OVT10" s="108"/>
      <c r="OVU10" s="108"/>
      <c r="OVV10" s="108"/>
      <c r="OVW10" s="108"/>
      <c r="OVX10" s="108"/>
      <c r="OVY10" s="108"/>
      <c r="OVZ10" s="108"/>
      <c r="OWA10" s="108"/>
      <c r="OWB10" s="108"/>
      <c r="OWC10" s="108"/>
      <c r="OWD10" s="108"/>
      <c r="OWE10" s="108"/>
      <c r="OWF10" s="108"/>
      <c r="OWG10" s="108"/>
      <c r="OWH10" s="108"/>
      <c r="OWI10" s="108"/>
      <c r="OWJ10" s="108"/>
      <c r="OWK10" s="108"/>
      <c r="OWL10" s="108"/>
      <c r="OWM10" s="108"/>
      <c r="OWN10" s="108"/>
      <c r="OWO10" s="108"/>
      <c r="OWP10" s="108"/>
      <c r="OWQ10" s="108"/>
      <c r="OWR10" s="108"/>
      <c r="OWS10" s="108"/>
      <c r="OWT10" s="108"/>
      <c r="OWU10" s="108"/>
      <c r="OWV10" s="108"/>
      <c r="OWW10" s="108"/>
      <c r="OWX10" s="108"/>
      <c r="OWY10" s="108"/>
      <c r="OWZ10" s="108"/>
      <c r="OXA10" s="108"/>
      <c r="OXB10" s="108"/>
      <c r="OXC10" s="108"/>
      <c r="OXD10" s="108"/>
      <c r="OXE10" s="108"/>
      <c r="OXF10" s="108"/>
      <c r="OXG10" s="108"/>
      <c r="OXH10" s="108"/>
      <c r="OXI10" s="108"/>
      <c r="OXJ10" s="108"/>
      <c r="OXK10" s="108"/>
      <c r="OXL10" s="108"/>
      <c r="OXM10" s="108"/>
      <c r="OXN10" s="108"/>
      <c r="OXO10" s="108"/>
      <c r="OXP10" s="108"/>
      <c r="OXQ10" s="108"/>
      <c r="OXR10" s="108"/>
      <c r="OXS10" s="108"/>
      <c r="OXT10" s="108"/>
      <c r="OXU10" s="108"/>
      <c r="OXV10" s="108"/>
      <c r="OXW10" s="108"/>
      <c r="OXX10" s="108"/>
      <c r="OXY10" s="108"/>
      <c r="OXZ10" s="108"/>
      <c r="OYA10" s="108"/>
      <c r="OYB10" s="108"/>
      <c r="OYC10" s="108"/>
      <c r="OYD10" s="108"/>
      <c r="OYE10" s="108"/>
      <c r="OYF10" s="108"/>
      <c r="OYG10" s="108"/>
      <c r="OYH10" s="108"/>
      <c r="OYI10" s="108"/>
      <c r="OYJ10" s="108"/>
      <c r="OYK10" s="108"/>
      <c r="OYL10" s="108"/>
      <c r="OYM10" s="108"/>
      <c r="OYN10" s="108"/>
      <c r="OYO10" s="108"/>
      <c r="OYP10" s="108"/>
      <c r="OYQ10" s="108"/>
      <c r="OYR10" s="108"/>
      <c r="OYS10" s="108"/>
      <c r="OYT10" s="108"/>
      <c r="OYU10" s="108"/>
      <c r="OYV10" s="108"/>
      <c r="OYW10" s="108"/>
      <c r="OYX10" s="108"/>
      <c r="OYY10" s="108"/>
      <c r="OYZ10" s="108"/>
      <c r="OZA10" s="108"/>
      <c r="OZB10" s="108"/>
      <c r="OZC10" s="108"/>
      <c r="OZD10" s="108"/>
      <c r="OZE10" s="108"/>
      <c r="OZF10" s="108"/>
      <c r="OZG10" s="108"/>
      <c r="OZH10" s="108"/>
      <c r="OZI10" s="108"/>
      <c r="OZJ10" s="108"/>
      <c r="OZK10" s="108"/>
      <c r="OZL10" s="108"/>
      <c r="OZM10" s="108"/>
      <c r="OZN10" s="108"/>
      <c r="OZO10" s="108"/>
      <c r="OZP10" s="108"/>
      <c r="OZQ10" s="108"/>
      <c r="OZR10" s="108"/>
      <c r="OZS10" s="108"/>
      <c r="OZT10" s="108"/>
      <c r="OZU10" s="108"/>
      <c r="OZV10" s="108"/>
      <c r="OZW10" s="108"/>
      <c r="OZX10" s="108"/>
      <c r="OZY10" s="108"/>
      <c r="OZZ10" s="108"/>
      <c r="PAA10" s="108"/>
      <c r="PAB10" s="108"/>
      <c r="PAC10" s="108"/>
      <c r="PAD10" s="108"/>
      <c r="PAE10" s="108"/>
      <c r="PAF10" s="108"/>
      <c r="PAG10" s="108"/>
      <c r="PAH10" s="108"/>
      <c r="PAI10" s="108"/>
      <c r="PAJ10" s="108"/>
      <c r="PAK10" s="108"/>
      <c r="PAL10" s="108"/>
      <c r="PAM10" s="108"/>
      <c r="PAN10" s="108"/>
      <c r="PAO10" s="108"/>
      <c r="PAP10" s="108"/>
      <c r="PAQ10" s="108"/>
      <c r="PAR10" s="108"/>
      <c r="PAS10" s="108"/>
      <c r="PAT10" s="108"/>
      <c r="PAU10" s="108"/>
      <c r="PAV10" s="108"/>
      <c r="PAW10" s="108"/>
      <c r="PAX10" s="108"/>
      <c r="PAY10" s="108"/>
      <c r="PAZ10" s="108"/>
      <c r="PBA10" s="108"/>
      <c r="PBB10" s="108"/>
      <c r="PBC10" s="108"/>
      <c r="PBD10" s="108"/>
      <c r="PBE10" s="108"/>
      <c r="PBF10" s="108"/>
      <c r="PBG10" s="108"/>
      <c r="PBH10" s="108"/>
      <c r="PBI10" s="108"/>
      <c r="PBJ10" s="108"/>
      <c r="PBK10" s="108"/>
      <c r="PBL10" s="108"/>
      <c r="PBM10" s="108"/>
      <c r="PBN10" s="108"/>
      <c r="PBO10" s="108"/>
      <c r="PBP10" s="108"/>
      <c r="PBQ10" s="108"/>
      <c r="PBR10" s="108"/>
      <c r="PBS10" s="108"/>
      <c r="PBT10" s="108"/>
      <c r="PBU10" s="108"/>
      <c r="PBV10" s="108"/>
      <c r="PBW10" s="108"/>
      <c r="PBX10" s="108"/>
      <c r="PBY10" s="108"/>
      <c r="PBZ10" s="108"/>
      <c r="PCA10" s="108"/>
      <c r="PCB10" s="108"/>
      <c r="PCC10" s="108"/>
      <c r="PCD10" s="108"/>
      <c r="PCE10" s="108"/>
      <c r="PCF10" s="108"/>
      <c r="PCG10" s="108"/>
      <c r="PCH10" s="108"/>
      <c r="PCI10" s="108"/>
      <c r="PCJ10" s="108"/>
      <c r="PCK10" s="108"/>
      <c r="PCL10" s="108"/>
      <c r="PCM10" s="108"/>
      <c r="PCN10" s="108"/>
      <c r="PCO10" s="108"/>
      <c r="PCP10" s="108"/>
      <c r="PCQ10" s="108"/>
      <c r="PCR10" s="108"/>
      <c r="PCS10" s="108"/>
      <c r="PCT10" s="108"/>
      <c r="PCU10" s="108"/>
      <c r="PCV10" s="108"/>
      <c r="PCW10" s="108"/>
      <c r="PCX10" s="108"/>
      <c r="PCY10" s="108"/>
      <c r="PCZ10" s="108"/>
      <c r="PDA10" s="108"/>
      <c r="PDB10" s="108"/>
      <c r="PDC10" s="108"/>
      <c r="PDD10" s="108"/>
      <c r="PDE10" s="108"/>
      <c r="PDF10" s="108"/>
      <c r="PDG10" s="108"/>
      <c r="PDH10" s="108"/>
      <c r="PDI10" s="108"/>
      <c r="PDJ10" s="108"/>
      <c r="PDK10" s="108"/>
      <c r="PDL10" s="108"/>
      <c r="PDM10" s="108"/>
      <c r="PDN10" s="108"/>
      <c r="PDO10" s="108"/>
      <c r="PDP10" s="108"/>
      <c r="PDQ10" s="108"/>
      <c r="PDR10" s="108"/>
      <c r="PDS10" s="108"/>
      <c r="PDT10" s="108"/>
      <c r="PDU10" s="108"/>
      <c r="PDV10" s="108"/>
      <c r="PDW10" s="108"/>
      <c r="PDX10" s="108"/>
      <c r="PDY10" s="108"/>
      <c r="PDZ10" s="108"/>
      <c r="PEA10" s="108"/>
      <c r="PEB10" s="108"/>
      <c r="PEC10" s="108"/>
      <c r="PED10" s="108"/>
      <c r="PEE10" s="108"/>
      <c r="PEF10" s="108"/>
      <c r="PEG10" s="108"/>
      <c r="PEH10" s="108"/>
      <c r="PEI10" s="108"/>
      <c r="PEJ10" s="108"/>
      <c r="PEK10" s="108"/>
      <c r="PEL10" s="108"/>
      <c r="PEM10" s="108"/>
      <c r="PEN10" s="108"/>
      <c r="PEO10" s="108"/>
      <c r="PEP10" s="108"/>
      <c r="PEQ10" s="108"/>
      <c r="PER10" s="108"/>
      <c r="PES10" s="108"/>
      <c r="PET10" s="108"/>
      <c r="PEU10" s="108"/>
      <c r="PEV10" s="108"/>
      <c r="PEW10" s="108"/>
      <c r="PEX10" s="108"/>
      <c r="PEY10" s="108"/>
      <c r="PEZ10" s="108"/>
      <c r="PFA10" s="108"/>
      <c r="PFB10" s="108"/>
      <c r="PFC10" s="108"/>
      <c r="PFD10" s="108"/>
      <c r="PFE10" s="108"/>
      <c r="PFF10" s="108"/>
      <c r="PFG10" s="108"/>
      <c r="PFH10" s="108"/>
      <c r="PFI10" s="108"/>
      <c r="PFJ10" s="108"/>
      <c r="PFK10" s="108"/>
      <c r="PFL10" s="108"/>
      <c r="PFM10" s="108"/>
      <c r="PFN10" s="108"/>
      <c r="PFO10" s="108"/>
      <c r="PFP10" s="108"/>
      <c r="PFQ10" s="108"/>
      <c r="PFR10" s="108"/>
      <c r="PFS10" s="108"/>
      <c r="PFT10" s="108"/>
      <c r="PFU10" s="108"/>
      <c r="PFV10" s="108"/>
      <c r="PFW10" s="108"/>
      <c r="PFX10" s="108"/>
      <c r="PFY10" s="108"/>
      <c r="PFZ10" s="108"/>
      <c r="PGA10" s="108"/>
      <c r="PGB10" s="108"/>
      <c r="PGC10" s="108"/>
      <c r="PGD10" s="108"/>
      <c r="PGE10" s="108"/>
      <c r="PGF10" s="108"/>
      <c r="PGG10" s="108"/>
      <c r="PGH10" s="108"/>
      <c r="PGI10" s="108"/>
      <c r="PGJ10" s="108"/>
      <c r="PGK10" s="108"/>
      <c r="PGL10" s="108"/>
      <c r="PGM10" s="108"/>
      <c r="PGN10" s="108"/>
      <c r="PGO10" s="108"/>
      <c r="PGP10" s="108"/>
      <c r="PGQ10" s="108"/>
      <c r="PGR10" s="108"/>
      <c r="PGS10" s="108"/>
      <c r="PGT10" s="108"/>
      <c r="PGU10" s="108"/>
      <c r="PGV10" s="108"/>
      <c r="PGW10" s="108"/>
      <c r="PGX10" s="108"/>
      <c r="PGY10" s="108"/>
      <c r="PGZ10" s="108"/>
      <c r="PHA10" s="108"/>
      <c r="PHB10" s="108"/>
      <c r="PHC10" s="108"/>
      <c r="PHD10" s="108"/>
      <c r="PHE10" s="108"/>
      <c r="PHF10" s="108"/>
      <c r="PHG10" s="108"/>
      <c r="PHH10" s="108"/>
      <c r="PHI10" s="108"/>
      <c r="PHJ10" s="108"/>
      <c r="PHK10" s="108"/>
      <c r="PHL10" s="108"/>
      <c r="PHM10" s="108"/>
      <c r="PHN10" s="108"/>
      <c r="PHO10" s="108"/>
      <c r="PHP10" s="108"/>
      <c r="PHQ10" s="108"/>
      <c r="PHR10" s="108"/>
      <c r="PHS10" s="108"/>
      <c r="PHT10" s="108"/>
      <c r="PHU10" s="108"/>
      <c r="PHV10" s="108"/>
      <c r="PHW10" s="108"/>
      <c r="PHX10" s="108"/>
      <c r="PHY10" s="108"/>
      <c r="PHZ10" s="108"/>
      <c r="PIA10" s="108"/>
      <c r="PIB10" s="108"/>
      <c r="PIC10" s="108"/>
      <c r="PID10" s="108"/>
      <c r="PIE10" s="108"/>
      <c r="PIF10" s="108"/>
      <c r="PIG10" s="108"/>
      <c r="PIH10" s="108"/>
      <c r="PII10" s="108"/>
      <c r="PIJ10" s="108"/>
      <c r="PIK10" s="108"/>
      <c r="PIL10" s="108"/>
      <c r="PIM10" s="108"/>
      <c r="PIN10" s="108"/>
      <c r="PIO10" s="108"/>
      <c r="PIP10" s="108"/>
      <c r="PIQ10" s="108"/>
      <c r="PIR10" s="108"/>
      <c r="PIS10" s="108"/>
      <c r="PIT10" s="108"/>
      <c r="PIU10" s="108"/>
      <c r="PIV10" s="108"/>
      <c r="PIW10" s="108"/>
      <c r="PIX10" s="108"/>
      <c r="PIY10" s="108"/>
      <c r="PIZ10" s="108"/>
      <c r="PJA10" s="108"/>
      <c r="PJB10" s="108"/>
      <c r="PJC10" s="108"/>
      <c r="PJD10" s="108"/>
      <c r="PJE10" s="108"/>
      <c r="PJF10" s="108"/>
      <c r="PJG10" s="108"/>
      <c r="PJH10" s="108"/>
      <c r="PJI10" s="108"/>
      <c r="PJJ10" s="108"/>
      <c r="PJK10" s="108"/>
      <c r="PJL10" s="108"/>
      <c r="PJM10" s="108"/>
      <c r="PJN10" s="108"/>
      <c r="PJO10" s="108"/>
      <c r="PJP10" s="108"/>
      <c r="PJQ10" s="108"/>
      <c r="PJR10" s="108"/>
      <c r="PJS10" s="108"/>
      <c r="PJT10" s="108"/>
      <c r="PJU10" s="108"/>
      <c r="PJV10" s="108"/>
      <c r="PJW10" s="108"/>
      <c r="PJX10" s="108"/>
      <c r="PJY10" s="108"/>
      <c r="PJZ10" s="108"/>
      <c r="PKA10" s="108"/>
      <c r="PKB10" s="108"/>
      <c r="PKC10" s="108"/>
      <c r="PKD10" s="108"/>
      <c r="PKE10" s="108"/>
      <c r="PKF10" s="108"/>
      <c r="PKG10" s="108"/>
      <c r="PKH10" s="108"/>
      <c r="PKI10" s="108"/>
      <c r="PKJ10" s="108"/>
      <c r="PKK10" s="108"/>
      <c r="PKL10" s="108"/>
      <c r="PKM10" s="108"/>
      <c r="PKN10" s="108"/>
      <c r="PKO10" s="108"/>
      <c r="PKP10" s="108"/>
      <c r="PKQ10" s="108"/>
      <c r="PKR10" s="108"/>
      <c r="PKS10" s="108"/>
      <c r="PKT10" s="108"/>
      <c r="PKU10" s="108"/>
      <c r="PKV10" s="108"/>
      <c r="PKW10" s="108"/>
      <c r="PKX10" s="108"/>
      <c r="PKY10" s="108"/>
      <c r="PKZ10" s="108"/>
      <c r="PLA10" s="108"/>
      <c r="PLB10" s="108"/>
      <c r="PLC10" s="108"/>
      <c r="PLD10" s="108"/>
      <c r="PLE10" s="108"/>
      <c r="PLF10" s="108"/>
      <c r="PLG10" s="108"/>
      <c r="PLH10" s="108"/>
      <c r="PLI10" s="108"/>
      <c r="PLJ10" s="108"/>
      <c r="PLK10" s="108"/>
      <c r="PLL10" s="108"/>
      <c r="PLM10" s="108"/>
      <c r="PLN10" s="108"/>
      <c r="PLO10" s="108"/>
      <c r="PLP10" s="108"/>
      <c r="PLQ10" s="108"/>
      <c r="PLR10" s="108"/>
      <c r="PLS10" s="108"/>
      <c r="PLT10" s="108"/>
      <c r="PLU10" s="108"/>
      <c r="PLV10" s="108"/>
      <c r="PLW10" s="108"/>
      <c r="PLX10" s="108"/>
      <c r="PLY10" s="108"/>
      <c r="PLZ10" s="108"/>
      <c r="PMA10" s="108"/>
      <c r="PMB10" s="108"/>
      <c r="PMC10" s="108"/>
      <c r="PMD10" s="108"/>
      <c r="PME10" s="108"/>
      <c r="PMF10" s="108"/>
      <c r="PMG10" s="108"/>
      <c r="PMH10" s="108"/>
      <c r="PMI10" s="108"/>
      <c r="PMJ10" s="108"/>
      <c r="PMK10" s="108"/>
      <c r="PML10" s="108"/>
      <c r="PMM10" s="108"/>
      <c r="PMN10" s="108"/>
      <c r="PMO10" s="108"/>
      <c r="PMP10" s="108"/>
      <c r="PMQ10" s="108"/>
      <c r="PMR10" s="108"/>
      <c r="PMS10" s="108"/>
      <c r="PMT10" s="108"/>
      <c r="PMU10" s="108"/>
      <c r="PMV10" s="108"/>
      <c r="PMW10" s="108"/>
      <c r="PMX10" s="108"/>
      <c r="PMY10" s="108"/>
      <c r="PMZ10" s="108"/>
      <c r="PNA10" s="108"/>
      <c r="PNB10" s="108"/>
      <c r="PNC10" s="108"/>
      <c r="PND10" s="108"/>
      <c r="PNE10" s="108"/>
      <c r="PNF10" s="108"/>
      <c r="PNG10" s="108"/>
      <c r="PNH10" s="108"/>
      <c r="PNI10" s="108"/>
      <c r="PNJ10" s="108"/>
      <c r="PNK10" s="108"/>
      <c r="PNL10" s="108"/>
      <c r="PNM10" s="108"/>
      <c r="PNN10" s="108"/>
      <c r="PNO10" s="108"/>
      <c r="PNP10" s="108"/>
      <c r="PNQ10" s="108"/>
      <c r="PNR10" s="108"/>
      <c r="PNS10" s="108"/>
      <c r="PNT10" s="108"/>
      <c r="PNU10" s="108"/>
      <c r="PNV10" s="108"/>
      <c r="PNW10" s="108"/>
      <c r="PNX10" s="108"/>
      <c r="PNY10" s="108"/>
      <c r="PNZ10" s="108"/>
      <c r="POA10" s="108"/>
      <c r="POB10" s="108"/>
      <c r="POC10" s="108"/>
      <c r="POD10" s="108"/>
      <c r="POE10" s="108"/>
      <c r="POF10" s="108"/>
      <c r="POG10" s="108"/>
      <c r="POH10" s="108"/>
      <c r="POI10" s="108"/>
      <c r="POJ10" s="108"/>
      <c r="POK10" s="108"/>
      <c r="POL10" s="108"/>
      <c r="POM10" s="108"/>
      <c r="PON10" s="108"/>
      <c r="POO10" s="108"/>
      <c r="POP10" s="108"/>
      <c r="POQ10" s="108"/>
      <c r="POR10" s="108"/>
      <c r="POS10" s="108"/>
      <c r="POT10" s="108"/>
      <c r="POU10" s="108"/>
      <c r="POV10" s="108"/>
      <c r="POW10" s="108"/>
      <c r="POX10" s="108"/>
      <c r="POY10" s="108"/>
      <c r="POZ10" s="108"/>
      <c r="PPA10" s="108"/>
      <c r="PPB10" s="108"/>
      <c r="PPC10" s="108"/>
      <c r="PPD10" s="108"/>
      <c r="PPE10" s="108"/>
      <c r="PPF10" s="108"/>
      <c r="PPG10" s="108"/>
      <c r="PPH10" s="108"/>
      <c r="PPI10" s="108"/>
      <c r="PPJ10" s="108"/>
      <c r="PPK10" s="108"/>
      <c r="PPL10" s="108"/>
      <c r="PPM10" s="108"/>
      <c r="PPN10" s="108"/>
      <c r="PPO10" s="108"/>
      <c r="PPP10" s="108"/>
      <c r="PPQ10" s="108"/>
      <c r="PPR10" s="108"/>
      <c r="PPS10" s="108"/>
      <c r="PPT10" s="108"/>
      <c r="PPU10" s="108"/>
      <c r="PPV10" s="108"/>
      <c r="PPW10" s="108"/>
      <c r="PPX10" s="108"/>
      <c r="PPY10" s="108"/>
      <c r="PPZ10" s="108"/>
      <c r="PQA10" s="108"/>
      <c r="PQB10" s="108"/>
      <c r="PQC10" s="108"/>
      <c r="PQD10" s="108"/>
      <c r="PQE10" s="108"/>
      <c r="PQF10" s="108"/>
      <c r="PQG10" s="108"/>
      <c r="PQH10" s="108"/>
      <c r="PQI10" s="108"/>
      <c r="PQJ10" s="108"/>
      <c r="PQK10" s="108"/>
      <c r="PQL10" s="108"/>
      <c r="PQM10" s="108"/>
      <c r="PQN10" s="108"/>
      <c r="PQO10" s="108"/>
      <c r="PQP10" s="108"/>
      <c r="PQQ10" s="108"/>
      <c r="PQR10" s="108"/>
      <c r="PQS10" s="108"/>
      <c r="PQT10" s="108"/>
      <c r="PQU10" s="108"/>
      <c r="PQV10" s="108"/>
      <c r="PQW10" s="108"/>
      <c r="PQX10" s="108"/>
      <c r="PQY10" s="108"/>
      <c r="PQZ10" s="108"/>
      <c r="PRA10" s="108"/>
      <c r="PRB10" s="108"/>
      <c r="PRC10" s="108"/>
      <c r="PRD10" s="108"/>
      <c r="PRE10" s="108"/>
      <c r="PRF10" s="108"/>
      <c r="PRG10" s="108"/>
      <c r="PRH10" s="108"/>
      <c r="PRI10" s="108"/>
      <c r="PRJ10" s="108"/>
      <c r="PRK10" s="108"/>
      <c r="PRL10" s="108"/>
      <c r="PRM10" s="108"/>
      <c r="PRN10" s="108"/>
      <c r="PRO10" s="108"/>
      <c r="PRP10" s="108"/>
      <c r="PRQ10" s="108"/>
      <c r="PRR10" s="108"/>
      <c r="PRS10" s="108"/>
      <c r="PRT10" s="108"/>
      <c r="PRU10" s="108"/>
      <c r="PRV10" s="108"/>
      <c r="PRW10" s="108"/>
      <c r="PRX10" s="108"/>
      <c r="PRY10" s="108"/>
      <c r="PRZ10" s="108"/>
      <c r="PSA10" s="108"/>
      <c r="PSB10" s="108"/>
      <c r="PSC10" s="108"/>
      <c r="PSD10" s="108"/>
      <c r="PSE10" s="108"/>
      <c r="PSF10" s="108"/>
      <c r="PSG10" s="108"/>
      <c r="PSH10" s="108"/>
      <c r="PSI10" s="108"/>
      <c r="PSJ10" s="108"/>
      <c r="PSK10" s="108"/>
      <c r="PSL10" s="108"/>
      <c r="PSM10" s="108"/>
      <c r="PSN10" s="108"/>
      <c r="PSO10" s="108"/>
      <c r="PSP10" s="108"/>
      <c r="PSQ10" s="108"/>
      <c r="PSR10" s="108"/>
      <c r="PSS10" s="108"/>
      <c r="PST10" s="108"/>
      <c r="PSU10" s="108"/>
      <c r="PSV10" s="108"/>
      <c r="PSW10" s="108"/>
      <c r="PSX10" s="108"/>
      <c r="PSY10" s="108"/>
      <c r="PSZ10" s="108"/>
      <c r="PTA10" s="108"/>
      <c r="PTB10" s="108"/>
      <c r="PTC10" s="108"/>
      <c r="PTD10" s="108"/>
      <c r="PTE10" s="108"/>
      <c r="PTF10" s="108"/>
      <c r="PTG10" s="108"/>
      <c r="PTH10" s="108"/>
      <c r="PTI10" s="108"/>
      <c r="PTJ10" s="108"/>
      <c r="PTK10" s="108"/>
      <c r="PTL10" s="108"/>
      <c r="PTM10" s="108"/>
      <c r="PTN10" s="108"/>
      <c r="PTO10" s="108"/>
      <c r="PTP10" s="108"/>
      <c r="PTQ10" s="108"/>
      <c r="PTR10" s="108"/>
      <c r="PTS10" s="108"/>
      <c r="PTT10" s="108"/>
      <c r="PTU10" s="108"/>
      <c r="PTV10" s="108"/>
      <c r="PTW10" s="108"/>
      <c r="PTX10" s="108"/>
      <c r="PTY10" s="108"/>
      <c r="PTZ10" s="108"/>
      <c r="PUA10" s="108"/>
      <c r="PUB10" s="108"/>
      <c r="PUC10" s="108"/>
      <c r="PUD10" s="108"/>
      <c r="PUE10" s="108"/>
      <c r="PUF10" s="108"/>
      <c r="PUG10" s="108"/>
      <c r="PUH10" s="108"/>
      <c r="PUI10" s="108"/>
      <c r="PUJ10" s="108"/>
      <c r="PUK10" s="108"/>
      <c r="PUL10" s="108"/>
      <c r="PUM10" s="108"/>
      <c r="PUN10" s="108"/>
      <c r="PUO10" s="108"/>
      <c r="PUP10" s="108"/>
      <c r="PUQ10" s="108"/>
      <c r="PUR10" s="108"/>
      <c r="PUS10" s="108"/>
      <c r="PUT10" s="108"/>
      <c r="PUU10" s="108"/>
      <c r="PUV10" s="108"/>
      <c r="PUW10" s="108"/>
      <c r="PUX10" s="108"/>
      <c r="PUY10" s="108"/>
      <c r="PUZ10" s="108"/>
      <c r="PVA10" s="108"/>
      <c r="PVB10" s="108"/>
      <c r="PVC10" s="108"/>
      <c r="PVD10" s="108"/>
      <c r="PVE10" s="108"/>
      <c r="PVF10" s="108"/>
      <c r="PVG10" s="108"/>
      <c r="PVH10" s="108"/>
      <c r="PVI10" s="108"/>
      <c r="PVJ10" s="108"/>
      <c r="PVK10" s="108"/>
      <c r="PVL10" s="108"/>
      <c r="PVM10" s="108"/>
      <c r="PVN10" s="108"/>
      <c r="PVO10" s="108"/>
      <c r="PVP10" s="108"/>
      <c r="PVQ10" s="108"/>
      <c r="PVR10" s="108"/>
      <c r="PVS10" s="108"/>
      <c r="PVT10" s="108"/>
      <c r="PVU10" s="108"/>
      <c r="PVV10" s="108"/>
      <c r="PVW10" s="108"/>
      <c r="PVX10" s="108"/>
      <c r="PVY10" s="108"/>
      <c r="PVZ10" s="108"/>
      <c r="PWA10" s="108"/>
      <c r="PWB10" s="108"/>
      <c r="PWC10" s="108"/>
      <c r="PWD10" s="108"/>
      <c r="PWE10" s="108"/>
      <c r="PWF10" s="108"/>
      <c r="PWG10" s="108"/>
      <c r="PWH10" s="108"/>
      <c r="PWI10" s="108"/>
      <c r="PWJ10" s="108"/>
      <c r="PWK10" s="108"/>
      <c r="PWL10" s="108"/>
      <c r="PWM10" s="108"/>
      <c r="PWN10" s="108"/>
      <c r="PWO10" s="108"/>
      <c r="PWP10" s="108"/>
      <c r="PWQ10" s="108"/>
      <c r="PWR10" s="108"/>
      <c r="PWS10" s="108"/>
      <c r="PWT10" s="108"/>
      <c r="PWU10" s="108"/>
      <c r="PWV10" s="108"/>
      <c r="PWW10" s="108"/>
      <c r="PWX10" s="108"/>
      <c r="PWY10" s="108"/>
      <c r="PWZ10" s="108"/>
      <c r="PXA10" s="108"/>
      <c r="PXB10" s="108"/>
      <c r="PXC10" s="108"/>
      <c r="PXD10" s="108"/>
      <c r="PXE10" s="108"/>
      <c r="PXF10" s="108"/>
      <c r="PXG10" s="108"/>
      <c r="PXH10" s="108"/>
      <c r="PXI10" s="108"/>
      <c r="PXJ10" s="108"/>
      <c r="PXK10" s="108"/>
      <c r="PXL10" s="108"/>
      <c r="PXM10" s="108"/>
      <c r="PXN10" s="108"/>
      <c r="PXO10" s="108"/>
      <c r="PXP10" s="108"/>
      <c r="PXQ10" s="108"/>
      <c r="PXR10" s="108"/>
      <c r="PXS10" s="108"/>
      <c r="PXT10" s="108"/>
      <c r="PXU10" s="108"/>
      <c r="PXV10" s="108"/>
      <c r="PXW10" s="108"/>
      <c r="PXX10" s="108"/>
      <c r="PXY10" s="108"/>
      <c r="PXZ10" s="108"/>
      <c r="PYA10" s="108"/>
      <c r="PYB10" s="108"/>
      <c r="PYC10" s="108"/>
      <c r="PYD10" s="108"/>
      <c r="PYE10" s="108"/>
      <c r="PYF10" s="108"/>
      <c r="PYG10" s="108"/>
      <c r="PYH10" s="108"/>
      <c r="PYI10" s="108"/>
      <c r="PYJ10" s="108"/>
      <c r="PYK10" s="108"/>
      <c r="PYL10" s="108"/>
      <c r="PYM10" s="108"/>
      <c r="PYN10" s="108"/>
      <c r="PYO10" s="108"/>
      <c r="PYP10" s="108"/>
      <c r="PYQ10" s="108"/>
      <c r="PYR10" s="108"/>
      <c r="PYS10" s="108"/>
      <c r="PYT10" s="108"/>
      <c r="PYU10" s="108"/>
      <c r="PYV10" s="108"/>
      <c r="PYW10" s="108"/>
      <c r="PYX10" s="108"/>
      <c r="PYY10" s="108"/>
      <c r="PYZ10" s="108"/>
      <c r="PZA10" s="108"/>
      <c r="PZB10" s="108"/>
      <c r="PZC10" s="108"/>
      <c r="PZD10" s="108"/>
      <c r="PZE10" s="108"/>
      <c r="PZF10" s="108"/>
      <c r="PZG10" s="108"/>
      <c r="PZH10" s="108"/>
      <c r="PZI10" s="108"/>
      <c r="PZJ10" s="108"/>
      <c r="PZK10" s="108"/>
      <c r="PZL10" s="108"/>
      <c r="PZM10" s="108"/>
      <c r="PZN10" s="108"/>
      <c r="PZO10" s="108"/>
      <c r="PZP10" s="108"/>
      <c r="PZQ10" s="108"/>
      <c r="PZR10" s="108"/>
      <c r="PZS10" s="108"/>
      <c r="PZT10" s="108"/>
      <c r="PZU10" s="108"/>
      <c r="PZV10" s="108"/>
      <c r="PZW10" s="108"/>
      <c r="PZX10" s="108"/>
      <c r="PZY10" s="108"/>
      <c r="PZZ10" s="108"/>
      <c r="QAA10" s="108"/>
      <c r="QAB10" s="108"/>
      <c r="QAC10" s="108"/>
      <c r="QAD10" s="108"/>
      <c r="QAE10" s="108"/>
      <c r="QAF10" s="108"/>
      <c r="QAG10" s="108"/>
      <c r="QAH10" s="108"/>
      <c r="QAI10" s="108"/>
      <c r="QAJ10" s="108"/>
      <c r="QAK10" s="108"/>
      <c r="QAL10" s="108"/>
      <c r="QAM10" s="108"/>
      <c r="QAN10" s="108"/>
      <c r="QAO10" s="108"/>
      <c r="QAP10" s="108"/>
      <c r="QAQ10" s="108"/>
      <c r="QAR10" s="108"/>
      <c r="QAS10" s="108"/>
      <c r="QAT10" s="108"/>
      <c r="QAU10" s="108"/>
      <c r="QAV10" s="108"/>
      <c r="QAW10" s="108"/>
      <c r="QAX10" s="108"/>
      <c r="QAY10" s="108"/>
      <c r="QAZ10" s="108"/>
      <c r="QBA10" s="108"/>
      <c r="QBB10" s="108"/>
      <c r="QBC10" s="108"/>
      <c r="QBD10" s="108"/>
      <c r="QBE10" s="108"/>
      <c r="QBF10" s="108"/>
      <c r="QBG10" s="108"/>
      <c r="QBH10" s="108"/>
      <c r="QBI10" s="108"/>
      <c r="QBJ10" s="108"/>
      <c r="QBK10" s="108"/>
      <c r="QBL10" s="108"/>
      <c r="QBM10" s="108"/>
      <c r="QBN10" s="108"/>
      <c r="QBO10" s="108"/>
      <c r="QBP10" s="108"/>
      <c r="QBQ10" s="108"/>
      <c r="QBR10" s="108"/>
      <c r="QBS10" s="108"/>
      <c r="QBT10" s="108"/>
      <c r="QBU10" s="108"/>
      <c r="QBV10" s="108"/>
      <c r="QBW10" s="108"/>
      <c r="QBX10" s="108"/>
      <c r="QBY10" s="108"/>
      <c r="QBZ10" s="108"/>
      <c r="QCA10" s="108"/>
      <c r="QCB10" s="108"/>
      <c r="QCC10" s="108"/>
      <c r="QCD10" s="108"/>
      <c r="QCE10" s="108"/>
      <c r="QCF10" s="108"/>
      <c r="QCG10" s="108"/>
      <c r="QCH10" s="108"/>
      <c r="QCI10" s="108"/>
      <c r="QCJ10" s="108"/>
      <c r="QCK10" s="108"/>
      <c r="QCL10" s="108"/>
      <c r="QCM10" s="108"/>
      <c r="QCN10" s="108"/>
      <c r="QCO10" s="108"/>
      <c r="QCP10" s="108"/>
      <c r="QCQ10" s="108"/>
      <c r="QCR10" s="108"/>
      <c r="QCS10" s="108"/>
      <c r="QCT10" s="108"/>
      <c r="QCU10" s="108"/>
      <c r="QCV10" s="108"/>
      <c r="QCW10" s="108"/>
      <c r="QCX10" s="108"/>
      <c r="QCY10" s="108"/>
      <c r="QCZ10" s="108"/>
      <c r="QDA10" s="108"/>
      <c r="QDB10" s="108"/>
      <c r="QDC10" s="108"/>
      <c r="QDD10" s="108"/>
      <c r="QDE10" s="108"/>
      <c r="QDF10" s="108"/>
      <c r="QDG10" s="108"/>
      <c r="QDH10" s="108"/>
      <c r="QDI10" s="108"/>
      <c r="QDJ10" s="108"/>
      <c r="QDK10" s="108"/>
      <c r="QDL10" s="108"/>
      <c r="QDM10" s="108"/>
      <c r="QDN10" s="108"/>
      <c r="QDO10" s="108"/>
      <c r="QDP10" s="108"/>
      <c r="QDQ10" s="108"/>
      <c r="QDR10" s="108"/>
      <c r="QDS10" s="108"/>
      <c r="QDT10" s="108"/>
      <c r="QDU10" s="108"/>
      <c r="QDV10" s="108"/>
      <c r="QDW10" s="108"/>
      <c r="QDX10" s="108"/>
      <c r="QDY10" s="108"/>
      <c r="QDZ10" s="108"/>
      <c r="QEA10" s="108"/>
      <c r="QEB10" s="108"/>
      <c r="QEC10" s="108"/>
      <c r="QED10" s="108"/>
      <c r="QEE10" s="108"/>
      <c r="QEF10" s="108"/>
      <c r="QEG10" s="108"/>
      <c r="QEH10" s="108"/>
      <c r="QEI10" s="108"/>
      <c r="QEJ10" s="108"/>
      <c r="QEK10" s="108"/>
      <c r="QEL10" s="108"/>
      <c r="QEM10" s="108"/>
      <c r="QEN10" s="108"/>
      <c r="QEO10" s="108"/>
      <c r="QEP10" s="108"/>
      <c r="QEQ10" s="108"/>
      <c r="QER10" s="108"/>
      <c r="QES10" s="108"/>
      <c r="QET10" s="108"/>
      <c r="QEU10" s="108"/>
      <c r="QEV10" s="108"/>
      <c r="QEW10" s="108"/>
      <c r="QEX10" s="108"/>
      <c r="QEY10" s="108"/>
      <c r="QEZ10" s="108"/>
      <c r="QFA10" s="108"/>
      <c r="QFB10" s="108"/>
      <c r="QFC10" s="108"/>
      <c r="QFD10" s="108"/>
      <c r="QFE10" s="108"/>
      <c r="QFF10" s="108"/>
      <c r="QFG10" s="108"/>
      <c r="QFH10" s="108"/>
      <c r="QFI10" s="108"/>
      <c r="QFJ10" s="108"/>
      <c r="QFK10" s="108"/>
      <c r="QFL10" s="108"/>
      <c r="QFM10" s="108"/>
      <c r="QFN10" s="108"/>
      <c r="QFO10" s="108"/>
      <c r="QFP10" s="108"/>
      <c r="QFQ10" s="108"/>
      <c r="QFR10" s="108"/>
      <c r="QFS10" s="108"/>
      <c r="QFT10" s="108"/>
      <c r="QFU10" s="108"/>
      <c r="QFV10" s="108"/>
      <c r="QFW10" s="108"/>
      <c r="QFX10" s="108"/>
      <c r="QFY10" s="108"/>
      <c r="QFZ10" s="108"/>
      <c r="QGA10" s="108"/>
      <c r="QGB10" s="108"/>
      <c r="QGC10" s="108"/>
      <c r="QGD10" s="108"/>
      <c r="QGE10" s="108"/>
      <c r="QGF10" s="108"/>
      <c r="QGG10" s="108"/>
      <c r="QGH10" s="108"/>
      <c r="QGI10" s="108"/>
      <c r="QGJ10" s="108"/>
      <c r="QGK10" s="108"/>
      <c r="QGL10" s="108"/>
      <c r="QGM10" s="108"/>
      <c r="QGN10" s="108"/>
      <c r="QGO10" s="108"/>
      <c r="QGP10" s="108"/>
      <c r="QGQ10" s="108"/>
      <c r="QGR10" s="108"/>
      <c r="QGS10" s="108"/>
      <c r="QGT10" s="108"/>
      <c r="QGU10" s="108"/>
      <c r="QGV10" s="108"/>
      <c r="QGW10" s="108"/>
      <c r="QGX10" s="108"/>
      <c r="QGY10" s="108"/>
      <c r="QGZ10" s="108"/>
      <c r="QHA10" s="108"/>
      <c r="QHB10" s="108"/>
      <c r="QHC10" s="108"/>
      <c r="QHD10" s="108"/>
      <c r="QHE10" s="108"/>
      <c r="QHF10" s="108"/>
      <c r="QHG10" s="108"/>
      <c r="QHH10" s="108"/>
      <c r="QHI10" s="108"/>
      <c r="QHJ10" s="108"/>
      <c r="QHK10" s="108"/>
      <c r="QHL10" s="108"/>
      <c r="QHM10" s="108"/>
      <c r="QHN10" s="108"/>
      <c r="QHO10" s="108"/>
      <c r="QHP10" s="108"/>
      <c r="QHQ10" s="108"/>
      <c r="QHR10" s="108"/>
      <c r="QHS10" s="108"/>
      <c r="QHT10" s="108"/>
      <c r="QHU10" s="108"/>
      <c r="QHV10" s="108"/>
      <c r="QHW10" s="108"/>
      <c r="QHX10" s="108"/>
      <c r="QHY10" s="108"/>
      <c r="QHZ10" s="108"/>
      <c r="QIA10" s="108"/>
      <c r="QIB10" s="108"/>
      <c r="QIC10" s="108"/>
      <c r="QID10" s="108"/>
      <c r="QIE10" s="108"/>
      <c r="QIF10" s="108"/>
      <c r="QIG10" s="108"/>
      <c r="QIH10" s="108"/>
      <c r="QII10" s="108"/>
      <c r="QIJ10" s="108"/>
      <c r="QIK10" s="108"/>
      <c r="QIL10" s="108"/>
      <c r="QIM10" s="108"/>
      <c r="QIN10" s="108"/>
      <c r="QIO10" s="108"/>
      <c r="QIP10" s="108"/>
      <c r="QIQ10" s="108"/>
      <c r="QIR10" s="108"/>
      <c r="QIS10" s="108"/>
      <c r="QIT10" s="108"/>
      <c r="QIU10" s="108"/>
      <c r="QIV10" s="108"/>
      <c r="QIW10" s="108"/>
      <c r="QIX10" s="108"/>
      <c r="QIY10" s="108"/>
      <c r="QIZ10" s="108"/>
      <c r="QJA10" s="108"/>
      <c r="QJB10" s="108"/>
      <c r="QJC10" s="108"/>
      <c r="QJD10" s="108"/>
      <c r="QJE10" s="108"/>
      <c r="QJF10" s="108"/>
      <c r="QJG10" s="108"/>
      <c r="QJH10" s="108"/>
      <c r="QJI10" s="108"/>
      <c r="QJJ10" s="108"/>
      <c r="QJK10" s="108"/>
      <c r="QJL10" s="108"/>
      <c r="QJM10" s="108"/>
      <c r="QJN10" s="108"/>
      <c r="QJO10" s="108"/>
      <c r="QJP10" s="108"/>
      <c r="QJQ10" s="108"/>
      <c r="QJR10" s="108"/>
      <c r="QJS10" s="108"/>
      <c r="QJT10" s="108"/>
      <c r="QJU10" s="108"/>
      <c r="QJV10" s="108"/>
      <c r="QJW10" s="108"/>
      <c r="QJX10" s="108"/>
      <c r="QJY10" s="108"/>
      <c r="QJZ10" s="108"/>
      <c r="QKA10" s="108"/>
      <c r="QKB10" s="108"/>
      <c r="QKC10" s="108"/>
      <c r="QKD10" s="108"/>
      <c r="QKE10" s="108"/>
      <c r="QKF10" s="108"/>
      <c r="QKG10" s="108"/>
      <c r="QKH10" s="108"/>
      <c r="QKI10" s="108"/>
      <c r="QKJ10" s="108"/>
      <c r="QKK10" s="108"/>
      <c r="QKL10" s="108"/>
      <c r="QKM10" s="108"/>
      <c r="QKN10" s="108"/>
      <c r="QKO10" s="108"/>
      <c r="QKP10" s="108"/>
      <c r="QKQ10" s="108"/>
      <c r="QKR10" s="108"/>
      <c r="QKS10" s="108"/>
      <c r="QKT10" s="108"/>
      <c r="QKU10" s="108"/>
      <c r="QKV10" s="108"/>
      <c r="QKW10" s="108"/>
      <c r="QKX10" s="108"/>
      <c r="QKY10" s="108"/>
      <c r="QKZ10" s="108"/>
      <c r="QLA10" s="108"/>
      <c r="QLB10" s="108"/>
      <c r="QLC10" s="108"/>
      <c r="QLD10" s="108"/>
      <c r="QLE10" s="108"/>
      <c r="QLF10" s="108"/>
      <c r="QLG10" s="108"/>
      <c r="QLH10" s="108"/>
      <c r="QLI10" s="108"/>
      <c r="QLJ10" s="108"/>
      <c r="QLK10" s="108"/>
      <c r="QLL10" s="108"/>
      <c r="QLM10" s="108"/>
      <c r="QLN10" s="108"/>
      <c r="QLO10" s="108"/>
      <c r="QLP10" s="108"/>
      <c r="QLQ10" s="108"/>
      <c r="QLR10" s="108"/>
      <c r="QLS10" s="108"/>
      <c r="QLT10" s="108"/>
      <c r="QLU10" s="108"/>
      <c r="QLV10" s="108"/>
      <c r="QLW10" s="108"/>
      <c r="QLX10" s="108"/>
      <c r="QLY10" s="108"/>
      <c r="QLZ10" s="108"/>
      <c r="QMA10" s="108"/>
      <c r="QMB10" s="108"/>
      <c r="QMC10" s="108"/>
      <c r="QMD10" s="108"/>
      <c r="QME10" s="108"/>
      <c r="QMF10" s="108"/>
      <c r="QMG10" s="108"/>
      <c r="QMH10" s="108"/>
      <c r="QMI10" s="108"/>
      <c r="QMJ10" s="108"/>
      <c r="QMK10" s="108"/>
      <c r="QML10" s="108"/>
      <c r="QMM10" s="108"/>
      <c r="QMN10" s="108"/>
      <c r="QMO10" s="108"/>
      <c r="QMP10" s="108"/>
      <c r="QMQ10" s="108"/>
      <c r="QMR10" s="108"/>
      <c r="QMS10" s="108"/>
      <c r="QMT10" s="108"/>
      <c r="QMU10" s="108"/>
      <c r="QMV10" s="108"/>
      <c r="QMW10" s="108"/>
      <c r="QMX10" s="108"/>
      <c r="QMY10" s="108"/>
      <c r="QMZ10" s="108"/>
      <c r="QNA10" s="108"/>
      <c r="QNB10" s="108"/>
      <c r="QNC10" s="108"/>
      <c r="QND10" s="108"/>
      <c r="QNE10" s="108"/>
      <c r="QNF10" s="108"/>
      <c r="QNG10" s="108"/>
      <c r="QNH10" s="108"/>
      <c r="QNI10" s="108"/>
      <c r="QNJ10" s="108"/>
      <c r="QNK10" s="108"/>
      <c r="QNL10" s="108"/>
      <c r="QNM10" s="108"/>
      <c r="QNN10" s="108"/>
      <c r="QNO10" s="108"/>
      <c r="QNP10" s="108"/>
      <c r="QNQ10" s="108"/>
      <c r="QNR10" s="108"/>
      <c r="QNS10" s="108"/>
      <c r="QNT10" s="108"/>
      <c r="QNU10" s="108"/>
      <c r="QNV10" s="108"/>
      <c r="QNW10" s="108"/>
      <c r="QNX10" s="108"/>
      <c r="QNY10" s="108"/>
      <c r="QNZ10" s="108"/>
      <c r="QOA10" s="108"/>
      <c r="QOB10" s="108"/>
      <c r="QOC10" s="108"/>
      <c r="QOD10" s="108"/>
      <c r="QOE10" s="108"/>
      <c r="QOF10" s="108"/>
      <c r="QOG10" s="108"/>
      <c r="QOH10" s="108"/>
      <c r="QOI10" s="108"/>
      <c r="QOJ10" s="108"/>
      <c r="QOK10" s="108"/>
      <c r="QOL10" s="108"/>
      <c r="QOM10" s="108"/>
      <c r="QON10" s="108"/>
      <c r="QOO10" s="108"/>
      <c r="QOP10" s="108"/>
      <c r="QOQ10" s="108"/>
      <c r="QOR10" s="108"/>
      <c r="QOS10" s="108"/>
      <c r="QOT10" s="108"/>
      <c r="QOU10" s="108"/>
      <c r="QOV10" s="108"/>
      <c r="QOW10" s="108"/>
      <c r="QOX10" s="108"/>
      <c r="QOY10" s="108"/>
      <c r="QOZ10" s="108"/>
      <c r="QPA10" s="108"/>
      <c r="QPB10" s="108"/>
      <c r="QPC10" s="108"/>
      <c r="QPD10" s="108"/>
      <c r="QPE10" s="108"/>
      <c r="QPF10" s="108"/>
      <c r="QPG10" s="108"/>
      <c r="QPH10" s="108"/>
      <c r="QPI10" s="108"/>
      <c r="QPJ10" s="108"/>
      <c r="QPK10" s="108"/>
      <c r="QPL10" s="108"/>
      <c r="QPM10" s="108"/>
      <c r="QPN10" s="108"/>
      <c r="QPO10" s="108"/>
      <c r="QPP10" s="108"/>
      <c r="QPQ10" s="108"/>
      <c r="QPR10" s="108"/>
      <c r="QPS10" s="108"/>
      <c r="QPT10" s="108"/>
      <c r="QPU10" s="108"/>
      <c r="QPV10" s="108"/>
      <c r="QPW10" s="108"/>
      <c r="QPX10" s="108"/>
      <c r="QPY10" s="108"/>
      <c r="QPZ10" s="108"/>
      <c r="QQA10" s="108"/>
      <c r="QQB10" s="108"/>
      <c r="QQC10" s="108"/>
      <c r="QQD10" s="108"/>
      <c r="QQE10" s="108"/>
      <c r="QQF10" s="108"/>
      <c r="QQG10" s="108"/>
      <c r="QQH10" s="108"/>
      <c r="QQI10" s="108"/>
      <c r="QQJ10" s="108"/>
      <c r="QQK10" s="108"/>
      <c r="QQL10" s="108"/>
      <c r="QQM10" s="108"/>
      <c r="QQN10" s="108"/>
      <c r="QQO10" s="108"/>
      <c r="QQP10" s="108"/>
      <c r="QQQ10" s="108"/>
      <c r="QQR10" s="108"/>
      <c r="QQS10" s="108"/>
      <c r="QQT10" s="108"/>
      <c r="QQU10" s="108"/>
      <c r="QQV10" s="108"/>
      <c r="QQW10" s="108"/>
      <c r="QQX10" s="108"/>
      <c r="QQY10" s="108"/>
      <c r="QQZ10" s="108"/>
      <c r="QRA10" s="108"/>
      <c r="QRB10" s="108"/>
      <c r="QRC10" s="108"/>
      <c r="QRD10" s="108"/>
      <c r="QRE10" s="108"/>
      <c r="QRF10" s="108"/>
      <c r="QRG10" s="108"/>
      <c r="QRH10" s="108"/>
      <c r="QRI10" s="108"/>
      <c r="QRJ10" s="108"/>
      <c r="QRK10" s="108"/>
      <c r="QRL10" s="108"/>
      <c r="QRM10" s="108"/>
      <c r="QRN10" s="108"/>
      <c r="QRO10" s="108"/>
      <c r="QRP10" s="108"/>
      <c r="QRQ10" s="108"/>
      <c r="QRR10" s="108"/>
      <c r="QRS10" s="108"/>
      <c r="QRT10" s="108"/>
      <c r="QRU10" s="108"/>
      <c r="QRV10" s="108"/>
      <c r="QRW10" s="108"/>
      <c r="QRX10" s="108"/>
      <c r="QRY10" s="108"/>
      <c r="QRZ10" s="108"/>
      <c r="QSA10" s="108"/>
      <c r="QSB10" s="108"/>
      <c r="QSC10" s="108"/>
      <c r="QSD10" s="108"/>
      <c r="QSE10" s="108"/>
      <c r="QSF10" s="108"/>
      <c r="QSG10" s="108"/>
      <c r="QSH10" s="108"/>
      <c r="QSI10" s="108"/>
      <c r="QSJ10" s="108"/>
      <c r="QSK10" s="108"/>
      <c r="QSL10" s="108"/>
      <c r="QSM10" s="108"/>
      <c r="QSN10" s="108"/>
      <c r="QSO10" s="108"/>
      <c r="QSP10" s="108"/>
      <c r="QSQ10" s="108"/>
      <c r="QSR10" s="108"/>
      <c r="QSS10" s="108"/>
      <c r="QST10" s="108"/>
      <c r="QSU10" s="108"/>
      <c r="QSV10" s="108"/>
      <c r="QSW10" s="108"/>
      <c r="QSX10" s="108"/>
      <c r="QSY10" s="108"/>
      <c r="QSZ10" s="108"/>
      <c r="QTA10" s="108"/>
      <c r="QTB10" s="108"/>
      <c r="QTC10" s="108"/>
      <c r="QTD10" s="108"/>
      <c r="QTE10" s="108"/>
      <c r="QTF10" s="108"/>
      <c r="QTG10" s="108"/>
      <c r="QTH10" s="108"/>
      <c r="QTI10" s="108"/>
      <c r="QTJ10" s="108"/>
      <c r="QTK10" s="108"/>
      <c r="QTL10" s="108"/>
      <c r="QTM10" s="108"/>
      <c r="QTN10" s="108"/>
      <c r="QTO10" s="108"/>
      <c r="QTP10" s="108"/>
      <c r="QTQ10" s="108"/>
      <c r="QTR10" s="108"/>
      <c r="QTS10" s="108"/>
      <c r="QTT10" s="108"/>
      <c r="QTU10" s="108"/>
      <c r="QTV10" s="108"/>
      <c r="QTW10" s="108"/>
      <c r="QTX10" s="108"/>
      <c r="QTY10" s="108"/>
      <c r="QTZ10" s="108"/>
      <c r="QUA10" s="108"/>
      <c r="QUB10" s="108"/>
      <c r="QUC10" s="108"/>
      <c r="QUD10" s="108"/>
      <c r="QUE10" s="108"/>
      <c r="QUF10" s="108"/>
      <c r="QUG10" s="108"/>
      <c r="QUH10" s="108"/>
      <c r="QUI10" s="108"/>
      <c r="QUJ10" s="108"/>
      <c r="QUK10" s="108"/>
      <c r="QUL10" s="108"/>
      <c r="QUM10" s="108"/>
      <c r="QUN10" s="108"/>
      <c r="QUO10" s="108"/>
      <c r="QUP10" s="108"/>
      <c r="QUQ10" s="108"/>
      <c r="QUR10" s="108"/>
      <c r="QUS10" s="108"/>
      <c r="QUT10" s="108"/>
      <c r="QUU10" s="108"/>
      <c r="QUV10" s="108"/>
      <c r="QUW10" s="108"/>
      <c r="QUX10" s="108"/>
      <c r="QUY10" s="108"/>
      <c r="QUZ10" s="108"/>
      <c r="QVA10" s="108"/>
      <c r="QVB10" s="108"/>
      <c r="QVC10" s="108"/>
      <c r="QVD10" s="108"/>
      <c r="QVE10" s="108"/>
      <c r="QVF10" s="108"/>
      <c r="QVG10" s="108"/>
      <c r="QVH10" s="108"/>
      <c r="QVI10" s="108"/>
      <c r="QVJ10" s="108"/>
      <c r="QVK10" s="108"/>
      <c r="QVL10" s="108"/>
      <c r="QVM10" s="108"/>
      <c r="QVN10" s="108"/>
      <c r="QVO10" s="108"/>
      <c r="QVP10" s="108"/>
      <c r="QVQ10" s="108"/>
      <c r="QVR10" s="108"/>
      <c r="QVS10" s="108"/>
      <c r="QVT10" s="108"/>
      <c r="QVU10" s="108"/>
      <c r="QVV10" s="108"/>
      <c r="QVW10" s="108"/>
      <c r="QVX10" s="108"/>
      <c r="QVY10" s="108"/>
      <c r="QVZ10" s="108"/>
      <c r="QWA10" s="108"/>
      <c r="QWB10" s="108"/>
      <c r="QWC10" s="108"/>
      <c r="QWD10" s="108"/>
      <c r="QWE10" s="108"/>
      <c r="QWF10" s="108"/>
      <c r="QWG10" s="108"/>
      <c r="QWH10" s="108"/>
      <c r="QWI10" s="108"/>
      <c r="QWJ10" s="108"/>
      <c r="QWK10" s="108"/>
      <c r="QWL10" s="108"/>
      <c r="QWM10" s="108"/>
      <c r="QWN10" s="108"/>
      <c r="QWO10" s="108"/>
      <c r="QWP10" s="108"/>
      <c r="QWQ10" s="108"/>
      <c r="QWR10" s="108"/>
      <c r="QWS10" s="108"/>
      <c r="QWT10" s="108"/>
      <c r="QWU10" s="108"/>
      <c r="QWV10" s="108"/>
      <c r="QWW10" s="108"/>
      <c r="QWX10" s="108"/>
      <c r="QWY10" s="108"/>
      <c r="QWZ10" s="108"/>
      <c r="QXA10" s="108"/>
      <c r="QXB10" s="108"/>
      <c r="QXC10" s="108"/>
      <c r="QXD10" s="108"/>
      <c r="QXE10" s="108"/>
      <c r="QXF10" s="108"/>
      <c r="QXG10" s="108"/>
      <c r="QXH10" s="108"/>
      <c r="QXI10" s="108"/>
      <c r="QXJ10" s="108"/>
      <c r="QXK10" s="108"/>
      <c r="QXL10" s="108"/>
      <c r="QXM10" s="108"/>
      <c r="QXN10" s="108"/>
      <c r="QXO10" s="108"/>
      <c r="QXP10" s="108"/>
      <c r="QXQ10" s="108"/>
      <c r="QXR10" s="108"/>
      <c r="QXS10" s="108"/>
      <c r="QXT10" s="108"/>
      <c r="QXU10" s="108"/>
      <c r="QXV10" s="108"/>
      <c r="QXW10" s="108"/>
      <c r="QXX10" s="108"/>
      <c r="QXY10" s="108"/>
      <c r="QXZ10" s="108"/>
      <c r="QYA10" s="108"/>
      <c r="QYB10" s="108"/>
      <c r="QYC10" s="108"/>
      <c r="QYD10" s="108"/>
      <c r="QYE10" s="108"/>
      <c r="QYF10" s="108"/>
      <c r="QYG10" s="108"/>
      <c r="QYH10" s="108"/>
      <c r="QYI10" s="108"/>
      <c r="QYJ10" s="108"/>
      <c r="QYK10" s="108"/>
      <c r="QYL10" s="108"/>
      <c r="QYM10" s="108"/>
      <c r="QYN10" s="108"/>
      <c r="QYO10" s="108"/>
      <c r="QYP10" s="108"/>
      <c r="QYQ10" s="108"/>
      <c r="QYR10" s="108"/>
      <c r="QYS10" s="108"/>
      <c r="QYT10" s="108"/>
      <c r="QYU10" s="108"/>
      <c r="QYV10" s="108"/>
      <c r="QYW10" s="108"/>
      <c r="QYX10" s="108"/>
      <c r="QYY10" s="108"/>
      <c r="QYZ10" s="108"/>
      <c r="QZA10" s="108"/>
      <c r="QZB10" s="108"/>
      <c r="QZC10" s="108"/>
      <c r="QZD10" s="108"/>
      <c r="QZE10" s="108"/>
      <c r="QZF10" s="108"/>
      <c r="QZG10" s="108"/>
      <c r="QZH10" s="108"/>
      <c r="QZI10" s="108"/>
      <c r="QZJ10" s="108"/>
      <c r="QZK10" s="108"/>
      <c r="QZL10" s="108"/>
      <c r="QZM10" s="108"/>
      <c r="QZN10" s="108"/>
      <c r="QZO10" s="108"/>
      <c r="QZP10" s="108"/>
      <c r="QZQ10" s="108"/>
      <c r="QZR10" s="108"/>
      <c r="QZS10" s="108"/>
      <c r="QZT10" s="108"/>
      <c r="QZU10" s="108"/>
      <c r="QZV10" s="108"/>
      <c r="QZW10" s="108"/>
      <c r="QZX10" s="108"/>
      <c r="QZY10" s="108"/>
      <c r="QZZ10" s="108"/>
      <c r="RAA10" s="108"/>
      <c r="RAB10" s="108"/>
      <c r="RAC10" s="108"/>
      <c r="RAD10" s="108"/>
      <c r="RAE10" s="108"/>
      <c r="RAF10" s="108"/>
      <c r="RAG10" s="108"/>
      <c r="RAH10" s="108"/>
      <c r="RAI10" s="108"/>
      <c r="RAJ10" s="108"/>
      <c r="RAK10" s="108"/>
      <c r="RAL10" s="108"/>
      <c r="RAM10" s="108"/>
      <c r="RAN10" s="108"/>
      <c r="RAO10" s="108"/>
      <c r="RAP10" s="108"/>
      <c r="RAQ10" s="108"/>
      <c r="RAR10" s="108"/>
      <c r="RAS10" s="108"/>
      <c r="RAT10" s="108"/>
      <c r="RAU10" s="108"/>
      <c r="RAV10" s="108"/>
      <c r="RAW10" s="108"/>
      <c r="RAX10" s="108"/>
      <c r="RAY10" s="108"/>
      <c r="RAZ10" s="108"/>
      <c r="RBA10" s="108"/>
      <c r="RBB10" s="108"/>
      <c r="RBC10" s="108"/>
      <c r="RBD10" s="108"/>
      <c r="RBE10" s="108"/>
      <c r="RBF10" s="108"/>
      <c r="RBG10" s="108"/>
      <c r="RBH10" s="108"/>
      <c r="RBI10" s="108"/>
      <c r="RBJ10" s="108"/>
      <c r="RBK10" s="108"/>
      <c r="RBL10" s="108"/>
      <c r="RBM10" s="108"/>
      <c r="RBN10" s="108"/>
      <c r="RBO10" s="108"/>
      <c r="RBP10" s="108"/>
      <c r="RBQ10" s="108"/>
      <c r="RBR10" s="108"/>
      <c r="RBS10" s="108"/>
      <c r="RBT10" s="108"/>
      <c r="RBU10" s="108"/>
      <c r="RBV10" s="108"/>
      <c r="RBW10" s="108"/>
      <c r="RBX10" s="108"/>
      <c r="RBY10" s="108"/>
      <c r="RBZ10" s="108"/>
      <c r="RCA10" s="108"/>
      <c r="RCB10" s="108"/>
      <c r="RCC10" s="108"/>
      <c r="RCD10" s="108"/>
      <c r="RCE10" s="108"/>
      <c r="RCF10" s="108"/>
      <c r="RCG10" s="108"/>
      <c r="RCH10" s="108"/>
      <c r="RCI10" s="108"/>
      <c r="RCJ10" s="108"/>
      <c r="RCK10" s="108"/>
      <c r="RCL10" s="108"/>
      <c r="RCM10" s="108"/>
      <c r="RCN10" s="108"/>
      <c r="RCO10" s="108"/>
      <c r="RCP10" s="108"/>
      <c r="RCQ10" s="108"/>
      <c r="RCR10" s="108"/>
      <c r="RCS10" s="108"/>
      <c r="RCT10" s="108"/>
      <c r="RCU10" s="108"/>
      <c r="RCV10" s="108"/>
      <c r="RCW10" s="108"/>
      <c r="RCX10" s="108"/>
      <c r="RCY10" s="108"/>
      <c r="RCZ10" s="108"/>
      <c r="RDA10" s="108"/>
      <c r="RDB10" s="108"/>
      <c r="RDC10" s="108"/>
      <c r="RDD10" s="108"/>
      <c r="RDE10" s="108"/>
      <c r="RDF10" s="108"/>
      <c r="RDG10" s="108"/>
      <c r="RDH10" s="108"/>
      <c r="RDI10" s="108"/>
      <c r="RDJ10" s="108"/>
      <c r="RDK10" s="108"/>
      <c r="RDL10" s="108"/>
      <c r="RDM10" s="108"/>
      <c r="RDN10" s="108"/>
      <c r="RDO10" s="108"/>
      <c r="RDP10" s="108"/>
      <c r="RDQ10" s="108"/>
      <c r="RDR10" s="108"/>
      <c r="RDS10" s="108"/>
      <c r="RDT10" s="108"/>
      <c r="RDU10" s="108"/>
      <c r="RDV10" s="108"/>
      <c r="RDW10" s="108"/>
      <c r="RDX10" s="108"/>
      <c r="RDY10" s="108"/>
      <c r="RDZ10" s="108"/>
      <c r="REA10" s="108"/>
      <c r="REB10" s="108"/>
      <c r="REC10" s="108"/>
      <c r="RED10" s="108"/>
      <c r="REE10" s="108"/>
      <c r="REF10" s="108"/>
      <c r="REG10" s="108"/>
      <c r="REH10" s="108"/>
      <c r="REI10" s="108"/>
      <c r="REJ10" s="108"/>
      <c r="REK10" s="108"/>
      <c r="REL10" s="108"/>
      <c r="REM10" s="108"/>
      <c r="REN10" s="108"/>
      <c r="REO10" s="108"/>
      <c r="REP10" s="108"/>
      <c r="REQ10" s="108"/>
      <c r="RER10" s="108"/>
      <c r="RES10" s="108"/>
      <c r="RET10" s="108"/>
      <c r="REU10" s="108"/>
      <c r="REV10" s="108"/>
      <c r="REW10" s="108"/>
      <c r="REX10" s="108"/>
      <c r="REY10" s="108"/>
      <c r="REZ10" s="108"/>
      <c r="RFA10" s="108"/>
      <c r="RFB10" s="108"/>
      <c r="RFC10" s="108"/>
      <c r="RFD10" s="108"/>
      <c r="RFE10" s="108"/>
      <c r="RFF10" s="108"/>
      <c r="RFG10" s="108"/>
      <c r="RFH10" s="108"/>
      <c r="RFI10" s="108"/>
      <c r="RFJ10" s="108"/>
      <c r="RFK10" s="108"/>
      <c r="RFL10" s="108"/>
      <c r="RFM10" s="108"/>
      <c r="RFN10" s="108"/>
      <c r="RFO10" s="108"/>
      <c r="RFP10" s="108"/>
      <c r="RFQ10" s="108"/>
      <c r="RFR10" s="108"/>
      <c r="RFS10" s="108"/>
      <c r="RFT10" s="108"/>
      <c r="RFU10" s="108"/>
      <c r="RFV10" s="108"/>
      <c r="RFW10" s="108"/>
      <c r="RFX10" s="108"/>
      <c r="RFY10" s="108"/>
      <c r="RFZ10" s="108"/>
      <c r="RGA10" s="108"/>
      <c r="RGB10" s="108"/>
      <c r="RGC10" s="108"/>
      <c r="RGD10" s="108"/>
      <c r="RGE10" s="108"/>
      <c r="RGF10" s="108"/>
      <c r="RGG10" s="108"/>
      <c r="RGH10" s="108"/>
      <c r="RGI10" s="108"/>
      <c r="RGJ10" s="108"/>
      <c r="RGK10" s="108"/>
      <c r="RGL10" s="108"/>
      <c r="RGM10" s="108"/>
      <c r="RGN10" s="108"/>
      <c r="RGO10" s="108"/>
      <c r="RGP10" s="108"/>
      <c r="RGQ10" s="108"/>
      <c r="RGR10" s="108"/>
      <c r="RGS10" s="108"/>
      <c r="RGT10" s="108"/>
      <c r="RGU10" s="108"/>
      <c r="RGV10" s="108"/>
      <c r="RGW10" s="108"/>
      <c r="RGX10" s="108"/>
      <c r="RGY10" s="108"/>
      <c r="RGZ10" s="108"/>
      <c r="RHA10" s="108"/>
      <c r="RHB10" s="108"/>
      <c r="RHC10" s="108"/>
      <c r="RHD10" s="108"/>
      <c r="RHE10" s="108"/>
      <c r="RHF10" s="108"/>
      <c r="RHG10" s="108"/>
      <c r="RHH10" s="108"/>
      <c r="RHI10" s="108"/>
      <c r="RHJ10" s="108"/>
      <c r="RHK10" s="108"/>
      <c r="RHL10" s="108"/>
      <c r="RHM10" s="108"/>
      <c r="RHN10" s="108"/>
      <c r="RHO10" s="108"/>
      <c r="RHP10" s="108"/>
      <c r="RHQ10" s="108"/>
      <c r="RHR10" s="108"/>
      <c r="RHS10" s="108"/>
      <c r="RHT10" s="108"/>
      <c r="RHU10" s="108"/>
      <c r="RHV10" s="108"/>
      <c r="RHW10" s="108"/>
      <c r="RHX10" s="108"/>
      <c r="RHY10" s="108"/>
      <c r="RHZ10" s="108"/>
      <c r="RIA10" s="108"/>
      <c r="RIB10" s="108"/>
      <c r="RIC10" s="108"/>
      <c r="RID10" s="108"/>
      <c r="RIE10" s="108"/>
      <c r="RIF10" s="108"/>
      <c r="RIG10" s="108"/>
      <c r="RIH10" s="108"/>
      <c r="RII10" s="108"/>
      <c r="RIJ10" s="108"/>
      <c r="RIK10" s="108"/>
      <c r="RIL10" s="108"/>
      <c r="RIM10" s="108"/>
      <c r="RIN10" s="108"/>
      <c r="RIO10" s="108"/>
      <c r="RIP10" s="108"/>
      <c r="RIQ10" s="108"/>
      <c r="RIR10" s="108"/>
      <c r="RIS10" s="108"/>
      <c r="RIT10" s="108"/>
      <c r="RIU10" s="108"/>
      <c r="RIV10" s="108"/>
      <c r="RIW10" s="108"/>
      <c r="RIX10" s="108"/>
      <c r="RIY10" s="108"/>
      <c r="RIZ10" s="108"/>
      <c r="RJA10" s="108"/>
      <c r="RJB10" s="108"/>
      <c r="RJC10" s="108"/>
      <c r="RJD10" s="108"/>
      <c r="RJE10" s="108"/>
      <c r="RJF10" s="108"/>
      <c r="RJG10" s="108"/>
      <c r="RJH10" s="108"/>
      <c r="RJI10" s="108"/>
      <c r="RJJ10" s="108"/>
      <c r="RJK10" s="108"/>
      <c r="RJL10" s="108"/>
      <c r="RJM10" s="108"/>
      <c r="RJN10" s="108"/>
      <c r="RJO10" s="108"/>
      <c r="RJP10" s="108"/>
      <c r="RJQ10" s="108"/>
      <c r="RJR10" s="108"/>
      <c r="RJS10" s="108"/>
      <c r="RJT10" s="108"/>
      <c r="RJU10" s="108"/>
      <c r="RJV10" s="108"/>
      <c r="RJW10" s="108"/>
      <c r="RJX10" s="108"/>
      <c r="RJY10" s="108"/>
      <c r="RJZ10" s="108"/>
      <c r="RKA10" s="108"/>
      <c r="RKB10" s="108"/>
      <c r="RKC10" s="108"/>
      <c r="RKD10" s="108"/>
      <c r="RKE10" s="108"/>
      <c r="RKF10" s="108"/>
      <c r="RKG10" s="108"/>
      <c r="RKH10" s="108"/>
      <c r="RKI10" s="108"/>
      <c r="RKJ10" s="108"/>
      <c r="RKK10" s="108"/>
      <c r="RKL10" s="108"/>
      <c r="RKM10" s="108"/>
      <c r="RKN10" s="108"/>
      <c r="RKO10" s="108"/>
      <c r="RKP10" s="108"/>
      <c r="RKQ10" s="108"/>
      <c r="RKR10" s="108"/>
      <c r="RKS10" s="108"/>
      <c r="RKT10" s="108"/>
      <c r="RKU10" s="108"/>
      <c r="RKV10" s="108"/>
      <c r="RKW10" s="108"/>
      <c r="RKX10" s="108"/>
      <c r="RKY10" s="108"/>
      <c r="RKZ10" s="108"/>
      <c r="RLA10" s="108"/>
      <c r="RLB10" s="108"/>
      <c r="RLC10" s="108"/>
      <c r="RLD10" s="108"/>
      <c r="RLE10" s="108"/>
      <c r="RLF10" s="108"/>
      <c r="RLG10" s="108"/>
      <c r="RLH10" s="108"/>
      <c r="RLI10" s="108"/>
      <c r="RLJ10" s="108"/>
      <c r="RLK10" s="108"/>
      <c r="RLL10" s="108"/>
      <c r="RLM10" s="108"/>
      <c r="RLN10" s="108"/>
      <c r="RLO10" s="108"/>
      <c r="RLP10" s="108"/>
      <c r="RLQ10" s="108"/>
      <c r="RLR10" s="108"/>
      <c r="RLS10" s="108"/>
      <c r="RLT10" s="108"/>
      <c r="RLU10" s="108"/>
      <c r="RLV10" s="108"/>
      <c r="RLW10" s="108"/>
      <c r="RLX10" s="108"/>
      <c r="RLY10" s="108"/>
      <c r="RLZ10" s="108"/>
      <c r="RMA10" s="108"/>
      <c r="RMB10" s="108"/>
      <c r="RMC10" s="108"/>
      <c r="RMD10" s="108"/>
      <c r="RME10" s="108"/>
      <c r="RMF10" s="108"/>
      <c r="RMG10" s="108"/>
      <c r="RMH10" s="108"/>
      <c r="RMI10" s="108"/>
      <c r="RMJ10" s="108"/>
      <c r="RMK10" s="108"/>
      <c r="RML10" s="108"/>
      <c r="RMM10" s="108"/>
      <c r="RMN10" s="108"/>
      <c r="RMO10" s="108"/>
      <c r="RMP10" s="108"/>
      <c r="RMQ10" s="108"/>
      <c r="RMR10" s="108"/>
      <c r="RMS10" s="108"/>
      <c r="RMT10" s="108"/>
      <c r="RMU10" s="108"/>
      <c r="RMV10" s="108"/>
      <c r="RMW10" s="108"/>
      <c r="RMX10" s="108"/>
      <c r="RMY10" s="108"/>
      <c r="RMZ10" s="108"/>
      <c r="RNA10" s="108"/>
      <c r="RNB10" s="108"/>
      <c r="RNC10" s="108"/>
      <c r="RND10" s="108"/>
      <c r="RNE10" s="108"/>
      <c r="RNF10" s="108"/>
      <c r="RNG10" s="108"/>
      <c r="RNH10" s="108"/>
      <c r="RNI10" s="108"/>
      <c r="RNJ10" s="108"/>
      <c r="RNK10" s="108"/>
      <c r="RNL10" s="108"/>
      <c r="RNM10" s="108"/>
      <c r="RNN10" s="108"/>
      <c r="RNO10" s="108"/>
      <c r="RNP10" s="108"/>
      <c r="RNQ10" s="108"/>
      <c r="RNR10" s="108"/>
      <c r="RNS10" s="108"/>
      <c r="RNT10" s="108"/>
      <c r="RNU10" s="108"/>
      <c r="RNV10" s="108"/>
      <c r="RNW10" s="108"/>
      <c r="RNX10" s="108"/>
      <c r="RNY10" s="108"/>
      <c r="RNZ10" s="108"/>
      <c r="ROA10" s="108"/>
      <c r="ROB10" s="108"/>
      <c r="ROC10" s="108"/>
      <c r="ROD10" s="108"/>
      <c r="ROE10" s="108"/>
      <c r="ROF10" s="108"/>
      <c r="ROG10" s="108"/>
      <c r="ROH10" s="108"/>
      <c r="ROI10" s="108"/>
      <c r="ROJ10" s="108"/>
      <c r="ROK10" s="108"/>
      <c r="ROL10" s="108"/>
      <c r="ROM10" s="108"/>
      <c r="RON10" s="108"/>
      <c r="ROO10" s="108"/>
      <c r="ROP10" s="108"/>
      <c r="ROQ10" s="108"/>
      <c r="ROR10" s="108"/>
      <c r="ROS10" s="108"/>
      <c r="ROT10" s="108"/>
      <c r="ROU10" s="108"/>
      <c r="ROV10" s="108"/>
      <c r="ROW10" s="108"/>
      <c r="ROX10" s="108"/>
      <c r="ROY10" s="108"/>
      <c r="ROZ10" s="108"/>
      <c r="RPA10" s="108"/>
      <c r="RPB10" s="108"/>
      <c r="RPC10" s="108"/>
      <c r="RPD10" s="108"/>
      <c r="RPE10" s="108"/>
      <c r="RPF10" s="108"/>
      <c r="RPG10" s="108"/>
      <c r="RPH10" s="108"/>
      <c r="RPI10" s="108"/>
      <c r="RPJ10" s="108"/>
      <c r="RPK10" s="108"/>
      <c r="RPL10" s="108"/>
      <c r="RPM10" s="108"/>
      <c r="RPN10" s="108"/>
      <c r="RPO10" s="108"/>
      <c r="RPP10" s="108"/>
      <c r="RPQ10" s="108"/>
      <c r="RPR10" s="108"/>
      <c r="RPS10" s="108"/>
      <c r="RPT10" s="108"/>
      <c r="RPU10" s="108"/>
      <c r="RPV10" s="108"/>
      <c r="RPW10" s="108"/>
      <c r="RPX10" s="108"/>
      <c r="RPY10" s="108"/>
      <c r="RPZ10" s="108"/>
      <c r="RQA10" s="108"/>
      <c r="RQB10" s="108"/>
      <c r="RQC10" s="108"/>
      <c r="RQD10" s="108"/>
      <c r="RQE10" s="108"/>
      <c r="RQF10" s="108"/>
      <c r="RQG10" s="108"/>
      <c r="RQH10" s="108"/>
      <c r="RQI10" s="108"/>
      <c r="RQJ10" s="108"/>
      <c r="RQK10" s="108"/>
      <c r="RQL10" s="108"/>
      <c r="RQM10" s="108"/>
      <c r="RQN10" s="108"/>
      <c r="RQO10" s="108"/>
      <c r="RQP10" s="108"/>
      <c r="RQQ10" s="108"/>
      <c r="RQR10" s="108"/>
      <c r="RQS10" s="108"/>
      <c r="RQT10" s="108"/>
      <c r="RQU10" s="108"/>
      <c r="RQV10" s="108"/>
      <c r="RQW10" s="108"/>
      <c r="RQX10" s="108"/>
      <c r="RQY10" s="108"/>
      <c r="RQZ10" s="108"/>
      <c r="RRA10" s="108"/>
      <c r="RRB10" s="108"/>
      <c r="RRC10" s="108"/>
      <c r="RRD10" s="108"/>
      <c r="RRE10" s="108"/>
      <c r="RRF10" s="108"/>
      <c r="RRG10" s="108"/>
      <c r="RRH10" s="108"/>
      <c r="RRI10" s="108"/>
      <c r="RRJ10" s="108"/>
      <c r="RRK10" s="108"/>
      <c r="RRL10" s="108"/>
      <c r="RRM10" s="108"/>
      <c r="RRN10" s="108"/>
      <c r="RRO10" s="108"/>
      <c r="RRP10" s="108"/>
      <c r="RRQ10" s="108"/>
      <c r="RRR10" s="108"/>
      <c r="RRS10" s="108"/>
      <c r="RRT10" s="108"/>
      <c r="RRU10" s="108"/>
      <c r="RRV10" s="108"/>
      <c r="RRW10" s="108"/>
      <c r="RRX10" s="108"/>
      <c r="RRY10" s="108"/>
      <c r="RRZ10" s="108"/>
      <c r="RSA10" s="108"/>
      <c r="RSB10" s="108"/>
      <c r="RSC10" s="108"/>
      <c r="RSD10" s="108"/>
      <c r="RSE10" s="108"/>
      <c r="RSF10" s="108"/>
      <c r="RSG10" s="108"/>
      <c r="RSH10" s="108"/>
      <c r="RSI10" s="108"/>
      <c r="RSJ10" s="108"/>
      <c r="RSK10" s="108"/>
      <c r="RSL10" s="108"/>
      <c r="RSM10" s="108"/>
      <c r="RSN10" s="108"/>
      <c r="RSO10" s="108"/>
      <c r="RSP10" s="108"/>
      <c r="RSQ10" s="108"/>
      <c r="RSR10" s="108"/>
      <c r="RSS10" s="108"/>
      <c r="RST10" s="108"/>
      <c r="RSU10" s="108"/>
      <c r="RSV10" s="108"/>
      <c r="RSW10" s="108"/>
      <c r="RSX10" s="108"/>
      <c r="RSY10" s="108"/>
      <c r="RSZ10" s="108"/>
      <c r="RTA10" s="108"/>
      <c r="RTB10" s="108"/>
      <c r="RTC10" s="108"/>
      <c r="RTD10" s="108"/>
      <c r="RTE10" s="108"/>
      <c r="RTF10" s="108"/>
      <c r="RTG10" s="108"/>
      <c r="RTH10" s="108"/>
      <c r="RTI10" s="108"/>
      <c r="RTJ10" s="108"/>
      <c r="RTK10" s="108"/>
      <c r="RTL10" s="108"/>
      <c r="RTM10" s="108"/>
      <c r="RTN10" s="108"/>
      <c r="RTO10" s="108"/>
      <c r="RTP10" s="108"/>
      <c r="RTQ10" s="108"/>
      <c r="RTR10" s="108"/>
      <c r="RTS10" s="108"/>
      <c r="RTT10" s="108"/>
      <c r="RTU10" s="108"/>
      <c r="RTV10" s="108"/>
      <c r="RTW10" s="108"/>
      <c r="RTX10" s="108"/>
      <c r="RTY10" s="108"/>
      <c r="RTZ10" s="108"/>
      <c r="RUA10" s="108"/>
      <c r="RUB10" s="108"/>
      <c r="RUC10" s="108"/>
      <c r="RUD10" s="108"/>
      <c r="RUE10" s="108"/>
      <c r="RUF10" s="108"/>
      <c r="RUG10" s="108"/>
      <c r="RUH10" s="108"/>
      <c r="RUI10" s="108"/>
      <c r="RUJ10" s="108"/>
      <c r="RUK10" s="108"/>
      <c r="RUL10" s="108"/>
      <c r="RUM10" s="108"/>
      <c r="RUN10" s="108"/>
      <c r="RUO10" s="108"/>
      <c r="RUP10" s="108"/>
      <c r="RUQ10" s="108"/>
      <c r="RUR10" s="108"/>
      <c r="RUS10" s="108"/>
      <c r="RUT10" s="108"/>
      <c r="RUU10" s="108"/>
      <c r="RUV10" s="108"/>
      <c r="RUW10" s="108"/>
      <c r="RUX10" s="108"/>
      <c r="RUY10" s="108"/>
      <c r="RUZ10" s="108"/>
      <c r="RVA10" s="108"/>
      <c r="RVB10" s="108"/>
      <c r="RVC10" s="108"/>
      <c r="RVD10" s="108"/>
      <c r="RVE10" s="108"/>
      <c r="RVF10" s="108"/>
      <c r="RVG10" s="108"/>
      <c r="RVH10" s="108"/>
      <c r="RVI10" s="108"/>
      <c r="RVJ10" s="108"/>
      <c r="RVK10" s="108"/>
      <c r="RVL10" s="108"/>
      <c r="RVM10" s="108"/>
      <c r="RVN10" s="108"/>
      <c r="RVO10" s="108"/>
      <c r="RVP10" s="108"/>
      <c r="RVQ10" s="108"/>
      <c r="RVR10" s="108"/>
      <c r="RVS10" s="108"/>
      <c r="RVT10" s="108"/>
      <c r="RVU10" s="108"/>
      <c r="RVV10" s="108"/>
      <c r="RVW10" s="108"/>
      <c r="RVX10" s="108"/>
      <c r="RVY10" s="108"/>
      <c r="RVZ10" s="108"/>
      <c r="RWA10" s="108"/>
      <c r="RWB10" s="108"/>
      <c r="RWC10" s="108"/>
      <c r="RWD10" s="108"/>
      <c r="RWE10" s="108"/>
      <c r="RWF10" s="108"/>
      <c r="RWG10" s="108"/>
      <c r="RWH10" s="108"/>
      <c r="RWI10" s="108"/>
      <c r="RWJ10" s="108"/>
      <c r="RWK10" s="108"/>
      <c r="RWL10" s="108"/>
      <c r="RWM10" s="108"/>
      <c r="RWN10" s="108"/>
      <c r="RWO10" s="108"/>
      <c r="RWP10" s="108"/>
      <c r="RWQ10" s="108"/>
      <c r="RWR10" s="108"/>
      <c r="RWS10" s="108"/>
      <c r="RWT10" s="108"/>
      <c r="RWU10" s="108"/>
      <c r="RWV10" s="108"/>
      <c r="RWW10" s="108"/>
      <c r="RWX10" s="108"/>
      <c r="RWY10" s="108"/>
      <c r="RWZ10" s="108"/>
      <c r="RXA10" s="108"/>
      <c r="RXB10" s="108"/>
      <c r="RXC10" s="108"/>
      <c r="RXD10" s="108"/>
      <c r="RXE10" s="108"/>
      <c r="RXF10" s="108"/>
      <c r="RXG10" s="108"/>
      <c r="RXH10" s="108"/>
      <c r="RXI10" s="108"/>
      <c r="RXJ10" s="108"/>
      <c r="RXK10" s="108"/>
      <c r="RXL10" s="108"/>
      <c r="RXM10" s="108"/>
      <c r="RXN10" s="108"/>
      <c r="RXO10" s="108"/>
      <c r="RXP10" s="108"/>
      <c r="RXQ10" s="108"/>
      <c r="RXR10" s="108"/>
      <c r="RXS10" s="108"/>
      <c r="RXT10" s="108"/>
      <c r="RXU10" s="108"/>
      <c r="RXV10" s="108"/>
      <c r="RXW10" s="108"/>
      <c r="RXX10" s="108"/>
      <c r="RXY10" s="108"/>
      <c r="RXZ10" s="108"/>
      <c r="RYA10" s="108"/>
      <c r="RYB10" s="108"/>
      <c r="RYC10" s="108"/>
      <c r="RYD10" s="108"/>
      <c r="RYE10" s="108"/>
      <c r="RYF10" s="108"/>
      <c r="RYG10" s="108"/>
      <c r="RYH10" s="108"/>
      <c r="RYI10" s="108"/>
      <c r="RYJ10" s="108"/>
      <c r="RYK10" s="108"/>
      <c r="RYL10" s="108"/>
      <c r="RYM10" s="108"/>
      <c r="RYN10" s="108"/>
      <c r="RYO10" s="108"/>
      <c r="RYP10" s="108"/>
      <c r="RYQ10" s="108"/>
      <c r="RYR10" s="108"/>
      <c r="RYS10" s="108"/>
      <c r="RYT10" s="108"/>
      <c r="RYU10" s="108"/>
      <c r="RYV10" s="108"/>
      <c r="RYW10" s="108"/>
      <c r="RYX10" s="108"/>
      <c r="RYY10" s="108"/>
      <c r="RYZ10" s="108"/>
      <c r="RZA10" s="108"/>
      <c r="RZB10" s="108"/>
      <c r="RZC10" s="108"/>
      <c r="RZD10" s="108"/>
      <c r="RZE10" s="108"/>
      <c r="RZF10" s="108"/>
      <c r="RZG10" s="108"/>
      <c r="RZH10" s="108"/>
      <c r="RZI10" s="108"/>
      <c r="RZJ10" s="108"/>
      <c r="RZK10" s="108"/>
      <c r="RZL10" s="108"/>
      <c r="RZM10" s="108"/>
      <c r="RZN10" s="108"/>
      <c r="RZO10" s="108"/>
      <c r="RZP10" s="108"/>
      <c r="RZQ10" s="108"/>
      <c r="RZR10" s="108"/>
      <c r="RZS10" s="108"/>
      <c r="RZT10" s="108"/>
      <c r="RZU10" s="108"/>
      <c r="RZV10" s="108"/>
      <c r="RZW10" s="108"/>
      <c r="RZX10" s="108"/>
      <c r="RZY10" s="108"/>
      <c r="RZZ10" s="108"/>
      <c r="SAA10" s="108"/>
      <c r="SAB10" s="108"/>
      <c r="SAC10" s="108"/>
      <c r="SAD10" s="108"/>
      <c r="SAE10" s="108"/>
      <c r="SAF10" s="108"/>
      <c r="SAG10" s="108"/>
      <c r="SAH10" s="108"/>
      <c r="SAI10" s="108"/>
      <c r="SAJ10" s="108"/>
      <c r="SAK10" s="108"/>
      <c r="SAL10" s="108"/>
      <c r="SAM10" s="108"/>
      <c r="SAN10" s="108"/>
      <c r="SAO10" s="108"/>
      <c r="SAP10" s="108"/>
      <c r="SAQ10" s="108"/>
      <c r="SAR10" s="108"/>
      <c r="SAS10" s="108"/>
      <c r="SAT10" s="108"/>
      <c r="SAU10" s="108"/>
      <c r="SAV10" s="108"/>
      <c r="SAW10" s="108"/>
      <c r="SAX10" s="108"/>
      <c r="SAY10" s="108"/>
      <c r="SAZ10" s="108"/>
      <c r="SBA10" s="108"/>
      <c r="SBB10" s="108"/>
      <c r="SBC10" s="108"/>
      <c r="SBD10" s="108"/>
      <c r="SBE10" s="108"/>
      <c r="SBF10" s="108"/>
      <c r="SBG10" s="108"/>
      <c r="SBH10" s="108"/>
      <c r="SBI10" s="108"/>
      <c r="SBJ10" s="108"/>
      <c r="SBK10" s="108"/>
      <c r="SBL10" s="108"/>
      <c r="SBM10" s="108"/>
      <c r="SBN10" s="108"/>
      <c r="SBO10" s="108"/>
      <c r="SBP10" s="108"/>
      <c r="SBQ10" s="108"/>
      <c r="SBR10" s="108"/>
      <c r="SBS10" s="108"/>
      <c r="SBT10" s="108"/>
      <c r="SBU10" s="108"/>
      <c r="SBV10" s="108"/>
      <c r="SBW10" s="108"/>
      <c r="SBX10" s="108"/>
      <c r="SBY10" s="108"/>
      <c r="SBZ10" s="108"/>
      <c r="SCA10" s="108"/>
      <c r="SCB10" s="108"/>
      <c r="SCC10" s="108"/>
      <c r="SCD10" s="108"/>
      <c r="SCE10" s="108"/>
      <c r="SCF10" s="108"/>
      <c r="SCG10" s="108"/>
      <c r="SCH10" s="108"/>
      <c r="SCI10" s="108"/>
      <c r="SCJ10" s="108"/>
      <c r="SCK10" s="108"/>
      <c r="SCL10" s="108"/>
      <c r="SCM10" s="108"/>
      <c r="SCN10" s="108"/>
      <c r="SCO10" s="108"/>
      <c r="SCP10" s="108"/>
      <c r="SCQ10" s="108"/>
      <c r="SCR10" s="108"/>
      <c r="SCS10" s="108"/>
      <c r="SCT10" s="108"/>
      <c r="SCU10" s="108"/>
      <c r="SCV10" s="108"/>
      <c r="SCW10" s="108"/>
      <c r="SCX10" s="108"/>
      <c r="SCY10" s="108"/>
      <c r="SCZ10" s="108"/>
      <c r="SDA10" s="108"/>
      <c r="SDB10" s="108"/>
      <c r="SDC10" s="108"/>
      <c r="SDD10" s="108"/>
      <c r="SDE10" s="108"/>
      <c r="SDF10" s="108"/>
      <c r="SDG10" s="108"/>
      <c r="SDH10" s="108"/>
      <c r="SDI10" s="108"/>
      <c r="SDJ10" s="108"/>
      <c r="SDK10" s="108"/>
      <c r="SDL10" s="108"/>
      <c r="SDM10" s="108"/>
      <c r="SDN10" s="108"/>
      <c r="SDO10" s="108"/>
      <c r="SDP10" s="108"/>
      <c r="SDQ10" s="108"/>
      <c r="SDR10" s="108"/>
      <c r="SDS10" s="108"/>
      <c r="SDT10" s="108"/>
      <c r="SDU10" s="108"/>
      <c r="SDV10" s="108"/>
      <c r="SDW10" s="108"/>
      <c r="SDX10" s="108"/>
      <c r="SDY10" s="108"/>
      <c r="SDZ10" s="108"/>
      <c r="SEA10" s="108"/>
      <c r="SEB10" s="108"/>
      <c r="SEC10" s="108"/>
      <c r="SED10" s="108"/>
      <c r="SEE10" s="108"/>
      <c r="SEF10" s="108"/>
      <c r="SEG10" s="108"/>
      <c r="SEH10" s="108"/>
      <c r="SEI10" s="108"/>
      <c r="SEJ10" s="108"/>
      <c r="SEK10" s="108"/>
      <c r="SEL10" s="108"/>
      <c r="SEM10" s="108"/>
      <c r="SEN10" s="108"/>
      <c r="SEO10" s="108"/>
      <c r="SEP10" s="108"/>
      <c r="SEQ10" s="108"/>
      <c r="SER10" s="108"/>
      <c r="SES10" s="108"/>
      <c r="SET10" s="108"/>
      <c r="SEU10" s="108"/>
      <c r="SEV10" s="108"/>
      <c r="SEW10" s="108"/>
      <c r="SEX10" s="108"/>
      <c r="SEY10" s="108"/>
      <c r="SEZ10" s="108"/>
      <c r="SFA10" s="108"/>
      <c r="SFB10" s="108"/>
      <c r="SFC10" s="108"/>
      <c r="SFD10" s="108"/>
      <c r="SFE10" s="108"/>
      <c r="SFF10" s="108"/>
      <c r="SFG10" s="108"/>
      <c r="SFH10" s="108"/>
      <c r="SFI10" s="108"/>
      <c r="SFJ10" s="108"/>
      <c r="SFK10" s="108"/>
      <c r="SFL10" s="108"/>
      <c r="SFM10" s="108"/>
      <c r="SFN10" s="108"/>
      <c r="SFO10" s="108"/>
      <c r="SFP10" s="108"/>
      <c r="SFQ10" s="108"/>
      <c r="SFR10" s="108"/>
      <c r="SFS10" s="108"/>
      <c r="SFT10" s="108"/>
      <c r="SFU10" s="108"/>
      <c r="SFV10" s="108"/>
      <c r="SFW10" s="108"/>
      <c r="SFX10" s="108"/>
      <c r="SFY10" s="108"/>
      <c r="SFZ10" s="108"/>
      <c r="SGA10" s="108"/>
      <c r="SGB10" s="108"/>
      <c r="SGC10" s="108"/>
      <c r="SGD10" s="108"/>
      <c r="SGE10" s="108"/>
      <c r="SGF10" s="108"/>
      <c r="SGG10" s="108"/>
      <c r="SGH10" s="108"/>
      <c r="SGI10" s="108"/>
      <c r="SGJ10" s="108"/>
      <c r="SGK10" s="108"/>
      <c r="SGL10" s="108"/>
      <c r="SGM10" s="108"/>
      <c r="SGN10" s="108"/>
      <c r="SGO10" s="108"/>
      <c r="SGP10" s="108"/>
      <c r="SGQ10" s="108"/>
      <c r="SGR10" s="108"/>
      <c r="SGS10" s="108"/>
      <c r="SGT10" s="108"/>
      <c r="SGU10" s="108"/>
      <c r="SGV10" s="108"/>
      <c r="SGW10" s="108"/>
      <c r="SGX10" s="108"/>
      <c r="SGY10" s="108"/>
      <c r="SGZ10" s="108"/>
      <c r="SHA10" s="108"/>
      <c r="SHB10" s="108"/>
      <c r="SHC10" s="108"/>
      <c r="SHD10" s="108"/>
      <c r="SHE10" s="108"/>
      <c r="SHF10" s="108"/>
      <c r="SHG10" s="108"/>
      <c r="SHH10" s="108"/>
      <c r="SHI10" s="108"/>
      <c r="SHJ10" s="108"/>
      <c r="SHK10" s="108"/>
      <c r="SHL10" s="108"/>
      <c r="SHM10" s="108"/>
      <c r="SHN10" s="108"/>
      <c r="SHO10" s="108"/>
      <c r="SHP10" s="108"/>
      <c r="SHQ10" s="108"/>
      <c r="SHR10" s="108"/>
      <c r="SHS10" s="108"/>
      <c r="SHT10" s="108"/>
      <c r="SHU10" s="108"/>
      <c r="SHV10" s="108"/>
      <c r="SHW10" s="108"/>
      <c r="SHX10" s="108"/>
      <c r="SHY10" s="108"/>
      <c r="SHZ10" s="108"/>
      <c r="SIA10" s="108"/>
      <c r="SIB10" s="108"/>
      <c r="SIC10" s="108"/>
      <c r="SID10" s="108"/>
      <c r="SIE10" s="108"/>
      <c r="SIF10" s="108"/>
      <c r="SIG10" s="108"/>
      <c r="SIH10" s="108"/>
      <c r="SII10" s="108"/>
      <c r="SIJ10" s="108"/>
      <c r="SIK10" s="108"/>
      <c r="SIL10" s="108"/>
      <c r="SIM10" s="108"/>
      <c r="SIN10" s="108"/>
      <c r="SIO10" s="108"/>
      <c r="SIP10" s="108"/>
      <c r="SIQ10" s="108"/>
      <c r="SIR10" s="108"/>
      <c r="SIS10" s="108"/>
      <c r="SIT10" s="108"/>
      <c r="SIU10" s="108"/>
      <c r="SIV10" s="108"/>
      <c r="SIW10" s="108"/>
      <c r="SIX10" s="108"/>
      <c r="SIY10" s="108"/>
      <c r="SIZ10" s="108"/>
      <c r="SJA10" s="108"/>
      <c r="SJB10" s="108"/>
      <c r="SJC10" s="108"/>
      <c r="SJD10" s="108"/>
      <c r="SJE10" s="108"/>
      <c r="SJF10" s="108"/>
      <c r="SJG10" s="108"/>
      <c r="SJH10" s="108"/>
      <c r="SJI10" s="108"/>
      <c r="SJJ10" s="108"/>
      <c r="SJK10" s="108"/>
      <c r="SJL10" s="108"/>
      <c r="SJM10" s="108"/>
      <c r="SJN10" s="108"/>
      <c r="SJO10" s="108"/>
      <c r="SJP10" s="108"/>
      <c r="SJQ10" s="108"/>
      <c r="SJR10" s="108"/>
      <c r="SJS10" s="108"/>
      <c r="SJT10" s="108"/>
      <c r="SJU10" s="108"/>
      <c r="SJV10" s="108"/>
      <c r="SJW10" s="108"/>
      <c r="SJX10" s="108"/>
      <c r="SJY10" s="108"/>
      <c r="SJZ10" s="108"/>
      <c r="SKA10" s="108"/>
      <c r="SKB10" s="108"/>
      <c r="SKC10" s="108"/>
      <c r="SKD10" s="108"/>
      <c r="SKE10" s="108"/>
      <c r="SKF10" s="108"/>
      <c r="SKG10" s="108"/>
      <c r="SKH10" s="108"/>
      <c r="SKI10" s="108"/>
      <c r="SKJ10" s="108"/>
      <c r="SKK10" s="108"/>
      <c r="SKL10" s="108"/>
      <c r="SKM10" s="108"/>
      <c r="SKN10" s="108"/>
      <c r="SKO10" s="108"/>
      <c r="SKP10" s="108"/>
      <c r="SKQ10" s="108"/>
      <c r="SKR10" s="108"/>
      <c r="SKS10" s="108"/>
      <c r="SKT10" s="108"/>
      <c r="SKU10" s="108"/>
      <c r="SKV10" s="108"/>
      <c r="SKW10" s="108"/>
      <c r="SKX10" s="108"/>
      <c r="SKY10" s="108"/>
      <c r="SKZ10" s="108"/>
      <c r="SLA10" s="108"/>
      <c r="SLB10" s="108"/>
      <c r="SLC10" s="108"/>
      <c r="SLD10" s="108"/>
      <c r="SLE10" s="108"/>
      <c r="SLF10" s="108"/>
      <c r="SLG10" s="108"/>
      <c r="SLH10" s="108"/>
      <c r="SLI10" s="108"/>
      <c r="SLJ10" s="108"/>
      <c r="SLK10" s="108"/>
      <c r="SLL10" s="108"/>
      <c r="SLM10" s="108"/>
      <c r="SLN10" s="108"/>
      <c r="SLO10" s="108"/>
      <c r="SLP10" s="108"/>
      <c r="SLQ10" s="108"/>
      <c r="SLR10" s="108"/>
      <c r="SLS10" s="108"/>
      <c r="SLT10" s="108"/>
      <c r="SLU10" s="108"/>
      <c r="SLV10" s="108"/>
      <c r="SLW10" s="108"/>
      <c r="SLX10" s="108"/>
      <c r="SLY10" s="108"/>
      <c r="SLZ10" s="108"/>
      <c r="SMA10" s="108"/>
      <c r="SMB10" s="108"/>
      <c r="SMC10" s="108"/>
      <c r="SMD10" s="108"/>
      <c r="SME10" s="108"/>
      <c r="SMF10" s="108"/>
      <c r="SMG10" s="108"/>
      <c r="SMH10" s="108"/>
      <c r="SMI10" s="108"/>
      <c r="SMJ10" s="108"/>
      <c r="SMK10" s="108"/>
      <c r="SML10" s="108"/>
      <c r="SMM10" s="108"/>
      <c r="SMN10" s="108"/>
      <c r="SMO10" s="108"/>
      <c r="SMP10" s="108"/>
      <c r="SMQ10" s="108"/>
      <c r="SMR10" s="108"/>
      <c r="SMS10" s="108"/>
      <c r="SMT10" s="108"/>
      <c r="SMU10" s="108"/>
      <c r="SMV10" s="108"/>
      <c r="SMW10" s="108"/>
      <c r="SMX10" s="108"/>
      <c r="SMY10" s="108"/>
      <c r="SMZ10" s="108"/>
      <c r="SNA10" s="108"/>
      <c r="SNB10" s="108"/>
      <c r="SNC10" s="108"/>
      <c r="SND10" s="108"/>
      <c r="SNE10" s="108"/>
      <c r="SNF10" s="108"/>
      <c r="SNG10" s="108"/>
      <c r="SNH10" s="108"/>
      <c r="SNI10" s="108"/>
      <c r="SNJ10" s="108"/>
      <c r="SNK10" s="108"/>
      <c r="SNL10" s="108"/>
      <c r="SNM10" s="108"/>
      <c r="SNN10" s="108"/>
      <c r="SNO10" s="108"/>
      <c r="SNP10" s="108"/>
      <c r="SNQ10" s="108"/>
      <c r="SNR10" s="108"/>
      <c r="SNS10" s="108"/>
      <c r="SNT10" s="108"/>
      <c r="SNU10" s="108"/>
      <c r="SNV10" s="108"/>
      <c r="SNW10" s="108"/>
      <c r="SNX10" s="108"/>
      <c r="SNY10" s="108"/>
      <c r="SNZ10" s="108"/>
      <c r="SOA10" s="108"/>
      <c r="SOB10" s="108"/>
      <c r="SOC10" s="108"/>
      <c r="SOD10" s="108"/>
      <c r="SOE10" s="108"/>
      <c r="SOF10" s="108"/>
      <c r="SOG10" s="108"/>
      <c r="SOH10" s="108"/>
      <c r="SOI10" s="108"/>
      <c r="SOJ10" s="108"/>
      <c r="SOK10" s="108"/>
      <c r="SOL10" s="108"/>
      <c r="SOM10" s="108"/>
      <c r="SON10" s="108"/>
      <c r="SOO10" s="108"/>
      <c r="SOP10" s="108"/>
      <c r="SOQ10" s="108"/>
      <c r="SOR10" s="108"/>
      <c r="SOS10" s="108"/>
      <c r="SOT10" s="108"/>
      <c r="SOU10" s="108"/>
      <c r="SOV10" s="108"/>
      <c r="SOW10" s="108"/>
      <c r="SOX10" s="108"/>
      <c r="SOY10" s="108"/>
      <c r="SOZ10" s="108"/>
      <c r="SPA10" s="108"/>
      <c r="SPB10" s="108"/>
      <c r="SPC10" s="108"/>
      <c r="SPD10" s="108"/>
      <c r="SPE10" s="108"/>
      <c r="SPF10" s="108"/>
      <c r="SPG10" s="108"/>
      <c r="SPH10" s="108"/>
      <c r="SPI10" s="108"/>
      <c r="SPJ10" s="108"/>
      <c r="SPK10" s="108"/>
      <c r="SPL10" s="108"/>
      <c r="SPM10" s="108"/>
      <c r="SPN10" s="108"/>
      <c r="SPO10" s="108"/>
      <c r="SPP10" s="108"/>
      <c r="SPQ10" s="108"/>
      <c r="SPR10" s="108"/>
      <c r="SPS10" s="108"/>
      <c r="SPT10" s="108"/>
      <c r="SPU10" s="108"/>
      <c r="SPV10" s="108"/>
      <c r="SPW10" s="108"/>
      <c r="SPX10" s="108"/>
      <c r="SPY10" s="108"/>
      <c r="SPZ10" s="108"/>
      <c r="SQA10" s="108"/>
      <c r="SQB10" s="108"/>
      <c r="SQC10" s="108"/>
      <c r="SQD10" s="108"/>
      <c r="SQE10" s="108"/>
      <c r="SQF10" s="108"/>
      <c r="SQG10" s="108"/>
      <c r="SQH10" s="108"/>
      <c r="SQI10" s="108"/>
      <c r="SQJ10" s="108"/>
      <c r="SQK10" s="108"/>
      <c r="SQL10" s="108"/>
      <c r="SQM10" s="108"/>
      <c r="SQN10" s="108"/>
      <c r="SQO10" s="108"/>
      <c r="SQP10" s="108"/>
      <c r="SQQ10" s="108"/>
      <c r="SQR10" s="108"/>
      <c r="SQS10" s="108"/>
      <c r="SQT10" s="108"/>
      <c r="SQU10" s="108"/>
      <c r="SQV10" s="108"/>
      <c r="SQW10" s="108"/>
      <c r="SQX10" s="108"/>
      <c r="SQY10" s="108"/>
      <c r="SQZ10" s="108"/>
      <c r="SRA10" s="108"/>
      <c r="SRB10" s="108"/>
      <c r="SRC10" s="108"/>
      <c r="SRD10" s="108"/>
      <c r="SRE10" s="108"/>
      <c r="SRF10" s="108"/>
      <c r="SRG10" s="108"/>
      <c r="SRH10" s="108"/>
      <c r="SRI10" s="108"/>
      <c r="SRJ10" s="108"/>
      <c r="SRK10" s="108"/>
      <c r="SRL10" s="108"/>
      <c r="SRM10" s="108"/>
      <c r="SRN10" s="108"/>
      <c r="SRO10" s="108"/>
      <c r="SRP10" s="108"/>
      <c r="SRQ10" s="108"/>
      <c r="SRR10" s="108"/>
      <c r="SRS10" s="108"/>
      <c r="SRT10" s="108"/>
      <c r="SRU10" s="108"/>
      <c r="SRV10" s="108"/>
      <c r="SRW10" s="108"/>
      <c r="SRX10" s="108"/>
      <c r="SRY10" s="108"/>
      <c r="SRZ10" s="108"/>
      <c r="SSA10" s="108"/>
      <c r="SSB10" s="108"/>
      <c r="SSC10" s="108"/>
      <c r="SSD10" s="108"/>
      <c r="SSE10" s="108"/>
      <c r="SSF10" s="108"/>
      <c r="SSG10" s="108"/>
      <c r="SSH10" s="108"/>
      <c r="SSI10" s="108"/>
      <c r="SSJ10" s="108"/>
      <c r="SSK10" s="108"/>
      <c r="SSL10" s="108"/>
      <c r="SSM10" s="108"/>
      <c r="SSN10" s="108"/>
      <c r="SSO10" s="108"/>
      <c r="SSP10" s="108"/>
      <c r="SSQ10" s="108"/>
      <c r="SSR10" s="108"/>
      <c r="SSS10" s="108"/>
      <c r="SST10" s="108"/>
      <c r="SSU10" s="108"/>
      <c r="SSV10" s="108"/>
      <c r="SSW10" s="108"/>
      <c r="SSX10" s="108"/>
      <c r="SSY10" s="108"/>
      <c r="SSZ10" s="108"/>
      <c r="STA10" s="108"/>
      <c r="STB10" s="108"/>
      <c r="STC10" s="108"/>
      <c r="STD10" s="108"/>
      <c r="STE10" s="108"/>
      <c r="STF10" s="108"/>
      <c r="STG10" s="108"/>
      <c r="STH10" s="108"/>
      <c r="STI10" s="108"/>
      <c r="STJ10" s="108"/>
      <c r="STK10" s="108"/>
      <c r="STL10" s="108"/>
      <c r="STM10" s="108"/>
      <c r="STN10" s="108"/>
      <c r="STO10" s="108"/>
      <c r="STP10" s="108"/>
      <c r="STQ10" s="108"/>
      <c r="STR10" s="108"/>
      <c r="STS10" s="108"/>
      <c r="STT10" s="108"/>
      <c r="STU10" s="108"/>
      <c r="STV10" s="108"/>
      <c r="STW10" s="108"/>
      <c r="STX10" s="108"/>
      <c r="STY10" s="108"/>
      <c r="STZ10" s="108"/>
      <c r="SUA10" s="108"/>
      <c r="SUB10" s="108"/>
      <c r="SUC10" s="108"/>
      <c r="SUD10" s="108"/>
      <c r="SUE10" s="108"/>
      <c r="SUF10" s="108"/>
      <c r="SUG10" s="108"/>
      <c r="SUH10" s="108"/>
      <c r="SUI10" s="108"/>
      <c r="SUJ10" s="108"/>
      <c r="SUK10" s="108"/>
      <c r="SUL10" s="108"/>
      <c r="SUM10" s="108"/>
      <c r="SUN10" s="108"/>
      <c r="SUO10" s="108"/>
      <c r="SUP10" s="108"/>
      <c r="SUQ10" s="108"/>
      <c r="SUR10" s="108"/>
      <c r="SUS10" s="108"/>
      <c r="SUT10" s="108"/>
      <c r="SUU10" s="108"/>
      <c r="SUV10" s="108"/>
      <c r="SUW10" s="108"/>
      <c r="SUX10" s="108"/>
      <c r="SUY10" s="108"/>
      <c r="SUZ10" s="108"/>
      <c r="SVA10" s="108"/>
      <c r="SVB10" s="108"/>
      <c r="SVC10" s="108"/>
      <c r="SVD10" s="108"/>
      <c r="SVE10" s="108"/>
      <c r="SVF10" s="108"/>
      <c r="SVG10" s="108"/>
      <c r="SVH10" s="108"/>
      <c r="SVI10" s="108"/>
      <c r="SVJ10" s="108"/>
      <c r="SVK10" s="108"/>
      <c r="SVL10" s="108"/>
      <c r="SVM10" s="108"/>
      <c r="SVN10" s="108"/>
      <c r="SVO10" s="108"/>
      <c r="SVP10" s="108"/>
      <c r="SVQ10" s="108"/>
      <c r="SVR10" s="108"/>
      <c r="SVS10" s="108"/>
      <c r="SVT10" s="108"/>
      <c r="SVU10" s="108"/>
      <c r="SVV10" s="108"/>
      <c r="SVW10" s="108"/>
      <c r="SVX10" s="108"/>
      <c r="SVY10" s="108"/>
      <c r="SVZ10" s="108"/>
      <c r="SWA10" s="108"/>
      <c r="SWB10" s="108"/>
      <c r="SWC10" s="108"/>
      <c r="SWD10" s="108"/>
      <c r="SWE10" s="108"/>
      <c r="SWF10" s="108"/>
      <c r="SWG10" s="108"/>
      <c r="SWH10" s="108"/>
      <c r="SWI10" s="108"/>
      <c r="SWJ10" s="108"/>
      <c r="SWK10" s="108"/>
      <c r="SWL10" s="108"/>
      <c r="SWM10" s="108"/>
      <c r="SWN10" s="108"/>
      <c r="SWO10" s="108"/>
      <c r="SWP10" s="108"/>
      <c r="SWQ10" s="108"/>
      <c r="SWR10" s="108"/>
      <c r="SWS10" s="108"/>
      <c r="SWT10" s="108"/>
      <c r="SWU10" s="108"/>
      <c r="SWV10" s="108"/>
      <c r="SWW10" s="108"/>
      <c r="SWX10" s="108"/>
      <c r="SWY10" s="108"/>
      <c r="SWZ10" s="108"/>
      <c r="SXA10" s="108"/>
      <c r="SXB10" s="108"/>
      <c r="SXC10" s="108"/>
      <c r="SXD10" s="108"/>
      <c r="SXE10" s="108"/>
      <c r="SXF10" s="108"/>
      <c r="SXG10" s="108"/>
      <c r="SXH10" s="108"/>
      <c r="SXI10" s="108"/>
      <c r="SXJ10" s="108"/>
      <c r="SXK10" s="108"/>
      <c r="SXL10" s="108"/>
      <c r="SXM10" s="108"/>
      <c r="SXN10" s="108"/>
      <c r="SXO10" s="108"/>
      <c r="SXP10" s="108"/>
      <c r="SXQ10" s="108"/>
      <c r="SXR10" s="108"/>
      <c r="SXS10" s="108"/>
      <c r="SXT10" s="108"/>
      <c r="SXU10" s="108"/>
      <c r="SXV10" s="108"/>
      <c r="SXW10" s="108"/>
      <c r="SXX10" s="108"/>
      <c r="SXY10" s="108"/>
      <c r="SXZ10" s="108"/>
      <c r="SYA10" s="108"/>
      <c r="SYB10" s="108"/>
      <c r="SYC10" s="108"/>
      <c r="SYD10" s="108"/>
      <c r="SYE10" s="108"/>
      <c r="SYF10" s="108"/>
      <c r="SYG10" s="108"/>
      <c r="SYH10" s="108"/>
      <c r="SYI10" s="108"/>
      <c r="SYJ10" s="108"/>
      <c r="SYK10" s="108"/>
      <c r="SYL10" s="108"/>
      <c r="SYM10" s="108"/>
      <c r="SYN10" s="108"/>
      <c r="SYO10" s="108"/>
      <c r="SYP10" s="108"/>
      <c r="SYQ10" s="108"/>
      <c r="SYR10" s="108"/>
      <c r="SYS10" s="108"/>
      <c r="SYT10" s="108"/>
      <c r="SYU10" s="108"/>
      <c r="SYV10" s="108"/>
      <c r="SYW10" s="108"/>
      <c r="SYX10" s="108"/>
      <c r="SYY10" s="108"/>
      <c r="SYZ10" s="108"/>
      <c r="SZA10" s="108"/>
      <c r="SZB10" s="108"/>
      <c r="SZC10" s="108"/>
      <c r="SZD10" s="108"/>
      <c r="SZE10" s="108"/>
      <c r="SZF10" s="108"/>
      <c r="SZG10" s="108"/>
      <c r="SZH10" s="108"/>
      <c r="SZI10" s="108"/>
      <c r="SZJ10" s="108"/>
      <c r="SZK10" s="108"/>
      <c r="SZL10" s="108"/>
      <c r="SZM10" s="108"/>
      <c r="SZN10" s="108"/>
      <c r="SZO10" s="108"/>
      <c r="SZP10" s="108"/>
      <c r="SZQ10" s="108"/>
      <c r="SZR10" s="108"/>
      <c r="SZS10" s="108"/>
      <c r="SZT10" s="108"/>
      <c r="SZU10" s="108"/>
      <c r="SZV10" s="108"/>
      <c r="SZW10" s="108"/>
      <c r="SZX10" s="108"/>
      <c r="SZY10" s="108"/>
      <c r="SZZ10" s="108"/>
      <c r="TAA10" s="108"/>
      <c r="TAB10" s="108"/>
      <c r="TAC10" s="108"/>
      <c r="TAD10" s="108"/>
      <c r="TAE10" s="108"/>
      <c r="TAF10" s="108"/>
      <c r="TAG10" s="108"/>
      <c r="TAH10" s="108"/>
      <c r="TAI10" s="108"/>
      <c r="TAJ10" s="108"/>
      <c r="TAK10" s="108"/>
      <c r="TAL10" s="108"/>
      <c r="TAM10" s="108"/>
      <c r="TAN10" s="108"/>
      <c r="TAO10" s="108"/>
      <c r="TAP10" s="108"/>
      <c r="TAQ10" s="108"/>
      <c r="TAR10" s="108"/>
      <c r="TAS10" s="108"/>
      <c r="TAT10" s="108"/>
      <c r="TAU10" s="108"/>
      <c r="TAV10" s="108"/>
      <c r="TAW10" s="108"/>
      <c r="TAX10" s="108"/>
      <c r="TAY10" s="108"/>
      <c r="TAZ10" s="108"/>
      <c r="TBA10" s="108"/>
      <c r="TBB10" s="108"/>
      <c r="TBC10" s="108"/>
      <c r="TBD10" s="108"/>
      <c r="TBE10" s="108"/>
      <c r="TBF10" s="108"/>
      <c r="TBG10" s="108"/>
      <c r="TBH10" s="108"/>
      <c r="TBI10" s="108"/>
      <c r="TBJ10" s="108"/>
      <c r="TBK10" s="108"/>
      <c r="TBL10" s="108"/>
      <c r="TBM10" s="108"/>
      <c r="TBN10" s="108"/>
      <c r="TBO10" s="108"/>
      <c r="TBP10" s="108"/>
      <c r="TBQ10" s="108"/>
      <c r="TBR10" s="108"/>
      <c r="TBS10" s="108"/>
      <c r="TBT10" s="108"/>
      <c r="TBU10" s="108"/>
      <c r="TBV10" s="108"/>
      <c r="TBW10" s="108"/>
      <c r="TBX10" s="108"/>
      <c r="TBY10" s="108"/>
      <c r="TBZ10" s="108"/>
      <c r="TCA10" s="108"/>
      <c r="TCB10" s="108"/>
      <c r="TCC10" s="108"/>
      <c r="TCD10" s="108"/>
      <c r="TCE10" s="108"/>
      <c r="TCF10" s="108"/>
      <c r="TCG10" s="108"/>
      <c r="TCH10" s="108"/>
      <c r="TCI10" s="108"/>
      <c r="TCJ10" s="108"/>
      <c r="TCK10" s="108"/>
      <c r="TCL10" s="108"/>
      <c r="TCM10" s="108"/>
      <c r="TCN10" s="108"/>
      <c r="TCO10" s="108"/>
      <c r="TCP10" s="108"/>
      <c r="TCQ10" s="108"/>
      <c r="TCR10" s="108"/>
      <c r="TCS10" s="108"/>
      <c r="TCT10" s="108"/>
      <c r="TCU10" s="108"/>
      <c r="TCV10" s="108"/>
      <c r="TCW10" s="108"/>
      <c r="TCX10" s="108"/>
      <c r="TCY10" s="108"/>
      <c r="TCZ10" s="108"/>
      <c r="TDA10" s="108"/>
      <c r="TDB10" s="108"/>
      <c r="TDC10" s="108"/>
      <c r="TDD10" s="108"/>
      <c r="TDE10" s="108"/>
      <c r="TDF10" s="108"/>
      <c r="TDG10" s="108"/>
      <c r="TDH10" s="108"/>
      <c r="TDI10" s="108"/>
      <c r="TDJ10" s="108"/>
      <c r="TDK10" s="108"/>
      <c r="TDL10" s="108"/>
      <c r="TDM10" s="108"/>
      <c r="TDN10" s="108"/>
      <c r="TDO10" s="108"/>
      <c r="TDP10" s="108"/>
      <c r="TDQ10" s="108"/>
      <c r="TDR10" s="108"/>
      <c r="TDS10" s="108"/>
      <c r="TDT10" s="108"/>
      <c r="TDU10" s="108"/>
      <c r="TDV10" s="108"/>
      <c r="TDW10" s="108"/>
      <c r="TDX10" s="108"/>
      <c r="TDY10" s="108"/>
      <c r="TDZ10" s="108"/>
      <c r="TEA10" s="108"/>
      <c r="TEB10" s="108"/>
      <c r="TEC10" s="108"/>
      <c r="TED10" s="108"/>
      <c r="TEE10" s="108"/>
      <c r="TEF10" s="108"/>
      <c r="TEG10" s="108"/>
      <c r="TEH10" s="108"/>
      <c r="TEI10" s="108"/>
      <c r="TEJ10" s="108"/>
      <c r="TEK10" s="108"/>
      <c r="TEL10" s="108"/>
      <c r="TEM10" s="108"/>
      <c r="TEN10" s="108"/>
      <c r="TEO10" s="108"/>
      <c r="TEP10" s="108"/>
      <c r="TEQ10" s="108"/>
      <c r="TER10" s="108"/>
      <c r="TES10" s="108"/>
      <c r="TET10" s="108"/>
      <c r="TEU10" s="108"/>
      <c r="TEV10" s="108"/>
      <c r="TEW10" s="108"/>
      <c r="TEX10" s="108"/>
      <c r="TEY10" s="108"/>
      <c r="TEZ10" s="108"/>
      <c r="TFA10" s="108"/>
      <c r="TFB10" s="108"/>
      <c r="TFC10" s="108"/>
      <c r="TFD10" s="108"/>
      <c r="TFE10" s="108"/>
      <c r="TFF10" s="108"/>
      <c r="TFG10" s="108"/>
      <c r="TFH10" s="108"/>
      <c r="TFI10" s="108"/>
      <c r="TFJ10" s="108"/>
      <c r="TFK10" s="108"/>
      <c r="TFL10" s="108"/>
      <c r="TFM10" s="108"/>
      <c r="TFN10" s="108"/>
      <c r="TFO10" s="108"/>
      <c r="TFP10" s="108"/>
      <c r="TFQ10" s="108"/>
      <c r="TFR10" s="108"/>
      <c r="TFS10" s="108"/>
      <c r="TFT10" s="108"/>
      <c r="TFU10" s="108"/>
      <c r="TFV10" s="108"/>
      <c r="TFW10" s="108"/>
      <c r="TFX10" s="108"/>
      <c r="TFY10" s="108"/>
      <c r="TFZ10" s="108"/>
      <c r="TGA10" s="108"/>
      <c r="TGB10" s="108"/>
      <c r="TGC10" s="108"/>
      <c r="TGD10" s="108"/>
      <c r="TGE10" s="108"/>
      <c r="TGF10" s="108"/>
      <c r="TGG10" s="108"/>
      <c r="TGH10" s="108"/>
      <c r="TGI10" s="108"/>
      <c r="TGJ10" s="108"/>
      <c r="TGK10" s="108"/>
      <c r="TGL10" s="108"/>
      <c r="TGM10" s="108"/>
      <c r="TGN10" s="108"/>
      <c r="TGO10" s="108"/>
      <c r="TGP10" s="108"/>
      <c r="TGQ10" s="108"/>
      <c r="TGR10" s="108"/>
      <c r="TGS10" s="108"/>
      <c r="TGT10" s="108"/>
      <c r="TGU10" s="108"/>
      <c r="TGV10" s="108"/>
      <c r="TGW10" s="108"/>
      <c r="TGX10" s="108"/>
      <c r="TGY10" s="108"/>
      <c r="TGZ10" s="108"/>
      <c r="THA10" s="108"/>
      <c r="THB10" s="108"/>
      <c r="THC10" s="108"/>
      <c r="THD10" s="108"/>
      <c r="THE10" s="108"/>
      <c r="THF10" s="108"/>
      <c r="THG10" s="108"/>
      <c r="THH10" s="108"/>
      <c r="THI10" s="108"/>
      <c r="THJ10" s="108"/>
      <c r="THK10" s="108"/>
      <c r="THL10" s="108"/>
      <c r="THM10" s="108"/>
      <c r="THN10" s="108"/>
      <c r="THO10" s="108"/>
      <c r="THP10" s="108"/>
      <c r="THQ10" s="108"/>
      <c r="THR10" s="108"/>
      <c r="THS10" s="108"/>
      <c r="THT10" s="108"/>
      <c r="THU10" s="108"/>
      <c r="THV10" s="108"/>
      <c r="THW10" s="108"/>
      <c r="THX10" s="108"/>
      <c r="THY10" s="108"/>
      <c r="THZ10" s="108"/>
      <c r="TIA10" s="108"/>
      <c r="TIB10" s="108"/>
      <c r="TIC10" s="108"/>
      <c r="TID10" s="108"/>
      <c r="TIE10" s="108"/>
      <c r="TIF10" s="108"/>
      <c r="TIG10" s="108"/>
      <c r="TIH10" s="108"/>
      <c r="TII10" s="108"/>
      <c r="TIJ10" s="108"/>
      <c r="TIK10" s="108"/>
      <c r="TIL10" s="108"/>
      <c r="TIM10" s="108"/>
      <c r="TIN10" s="108"/>
      <c r="TIO10" s="108"/>
      <c r="TIP10" s="108"/>
      <c r="TIQ10" s="108"/>
      <c r="TIR10" s="108"/>
      <c r="TIS10" s="108"/>
      <c r="TIT10" s="108"/>
      <c r="TIU10" s="108"/>
      <c r="TIV10" s="108"/>
      <c r="TIW10" s="108"/>
      <c r="TIX10" s="108"/>
      <c r="TIY10" s="108"/>
      <c r="TIZ10" s="108"/>
      <c r="TJA10" s="108"/>
      <c r="TJB10" s="108"/>
      <c r="TJC10" s="108"/>
      <c r="TJD10" s="108"/>
      <c r="TJE10" s="108"/>
      <c r="TJF10" s="108"/>
      <c r="TJG10" s="108"/>
      <c r="TJH10" s="108"/>
      <c r="TJI10" s="108"/>
      <c r="TJJ10" s="108"/>
      <c r="TJK10" s="108"/>
      <c r="TJL10" s="108"/>
      <c r="TJM10" s="108"/>
      <c r="TJN10" s="108"/>
      <c r="TJO10" s="108"/>
      <c r="TJP10" s="108"/>
      <c r="TJQ10" s="108"/>
      <c r="TJR10" s="108"/>
      <c r="TJS10" s="108"/>
      <c r="TJT10" s="108"/>
      <c r="TJU10" s="108"/>
      <c r="TJV10" s="108"/>
      <c r="TJW10" s="108"/>
      <c r="TJX10" s="108"/>
      <c r="TJY10" s="108"/>
      <c r="TJZ10" s="108"/>
      <c r="TKA10" s="108"/>
      <c r="TKB10" s="108"/>
      <c r="TKC10" s="108"/>
      <c r="TKD10" s="108"/>
      <c r="TKE10" s="108"/>
      <c r="TKF10" s="108"/>
      <c r="TKG10" s="108"/>
      <c r="TKH10" s="108"/>
      <c r="TKI10" s="108"/>
      <c r="TKJ10" s="108"/>
      <c r="TKK10" s="108"/>
      <c r="TKL10" s="108"/>
      <c r="TKM10" s="108"/>
      <c r="TKN10" s="108"/>
      <c r="TKO10" s="108"/>
      <c r="TKP10" s="108"/>
      <c r="TKQ10" s="108"/>
      <c r="TKR10" s="108"/>
      <c r="TKS10" s="108"/>
      <c r="TKT10" s="108"/>
      <c r="TKU10" s="108"/>
      <c r="TKV10" s="108"/>
      <c r="TKW10" s="108"/>
      <c r="TKX10" s="108"/>
      <c r="TKY10" s="108"/>
      <c r="TKZ10" s="108"/>
      <c r="TLA10" s="108"/>
      <c r="TLB10" s="108"/>
      <c r="TLC10" s="108"/>
      <c r="TLD10" s="108"/>
      <c r="TLE10" s="108"/>
      <c r="TLF10" s="108"/>
      <c r="TLG10" s="108"/>
      <c r="TLH10" s="108"/>
      <c r="TLI10" s="108"/>
      <c r="TLJ10" s="108"/>
      <c r="TLK10" s="108"/>
      <c r="TLL10" s="108"/>
      <c r="TLM10" s="108"/>
      <c r="TLN10" s="108"/>
      <c r="TLO10" s="108"/>
      <c r="TLP10" s="108"/>
      <c r="TLQ10" s="108"/>
      <c r="TLR10" s="108"/>
      <c r="TLS10" s="108"/>
      <c r="TLT10" s="108"/>
      <c r="TLU10" s="108"/>
      <c r="TLV10" s="108"/>
      <c r="TLW10" s="108"/>
      <c r="TLX10" s="108"/>
      <c r="TLY10" s="108"/>
      <c r="TLZ10" s="108"/>
      <c r="TMA10" s="108"/>
      <c r="TMB10" s="108"/>
      <c r="TMC10" s="108"/>
      <c r="TMD10" s="108"/>
      <c r="TME10" s="108"/>
      <c r="TMF10" s="108"/>
      <c r="TMG10" s="108"/>
      <c r="TMH10" s="108"/>
      <c r="TMI10" s="108"/>
      <c r="TMJ10" s="108"/>
      <c r="TMK10" s="108"/>
      <c r="TML10" s="108"/>
      <c r="TMM10" s="108"/>
      <c r="TMN10" s="108"/>
      <c r="TMO10" s="108"/>
      <c r="TMP10" s="108"/>
      <c r="TMQ10" s="108"/>
      <c r="TMR10" s="108"/>
      <c r="TMS10" s="108"/>
      <c r="TMT10" s="108"/>
      <c r="TMU10" s="108"/>
      <c r="TMV10" s="108"/>
      <c r="TMW10" s="108"/>
      <c r="TMX10" s="108"/>
      <c r="TMY10" s="108"/>
      <c r="TMZ10" s="108"/>
      <c r="TNA10" s="108"/>
      <c r="TNB10" s="108"/>
      <c r="TNC10" s="108"/>
      <c r="TND10" s="108"/>
      <c r="TNE10" s="108"/>
      <c r="TNF10" s="108"/>
      <c r="TNG10" s="108"/>
      <c r="TNH10" s="108"/>
      <c r="TNI10" s="108"/>
      <c r="TNJ10" s="108"/>
      <c r="TNK10" s="108"/>
      <c r="TNL10" s="108"/>
      <c r="TNM10" s="108"/>
      <c r="TNN10" s="108"/>
      <c r="TNO10" s="108"/>
      <c r="TNP10" s="108"/>
      <c r="TNQ10" s="108"/>
      <c r="TNR10" s="108"/>
      <c r="TNS10" s="108"/>
      <c r="TNT10" s="108"/>
      <c r="TNU10" s="108"/>
      <c r="TNV10" s="108"/>
      <c r="TNW10" s="108"/>
      <c r="TNX10" s="108"/>
      <c r="TNY10" s="108"/>
      <c r="TNZ10" s="108"/>
      <c r="TOA10" s="108"/>
      <c r="TOB10" s="108"/>
      <c r="TOC10" s="108"/>
      <c r="TOD10" s="108"/>
      <c r="TOE10" s="108"/>
      <c r="TOF10" s="108"/>
      <c r="TOG10" s="108"/>
      <c r="TOH10" s="108"/>
      <c r="TOI10" s="108"/>
      <c r="TOJ10" s="108"/>
      <c r="TOK10" s="108"/>
      <c r="TOL10" s="108"/>
      <c r="TOM10" s="108"/>
      <c r="TON10" s="108"/>
      <c r="TOO10" s="108"/>
      <c r="TOP10" s="108"/>
      <c r="TOQ10" s="108"/>
      <c r="TOR10" s="108"/>
      <c r="TOS10" s="108"/>
      <c r="TOT10" s="108"/>
      <c r="TOU10" s="108"/>
      <c r="TOV10" s="108"/>
      <c r="TOW10" s="108"/>
      <c r="TOX10" s="108"/>
      <c r="TOY10" s="108"/>
      <c r="TOZ10" s="108"/>
      <c r="TPA10" s="108"/>
      <c r="TPB10" s="108"/>
      <c r="TPC10" s="108"/>
      <c r="TPD10" s="108"/>
      <c r="TPE10" s="108"/>
      <c r="TPF10" s="108"/>
      <c r="TPG10" s="108"/>
      <c r="TPH10" s="108"/>
      <c r="TPI10" s="108"/>
      <c r="TPJ10" s="108"/>
      <c r="TPK10" s="108"/>
      <c r="TPL10" s="108"/>
      <c r="TPM10" s="108"/>
      <c r="TPN10" s="108"/>
      <c r="TPO10" s="108"/>
      <c r="TPP10" s="108"/>
      <c r="TPQ10" s="108"/>
      <c r="TPR10" s="108"/>
      <c r="TPS10" s="108"/>
      <c r="TPT10" s="108"/>
      <c r="TPU10" s="108"/>
      <c r="TPV10" s="108"/>
      <c r="TPW10" s="108"/>
      <c r="TPX10" s="108"/>
      <c r="TPY10" s="108"/>
      <c r="TPZ10" s="108"/>
      <c r="TQA10" s="108"/>
      <c r="TQB10" s="108"/>
      <c r="TQC10" s="108"/>
      <c r="TQD10" s="108"/>
      <c r="TQE10" s="108"/>
      <c r="TQF10" s="108"/>
      <c r="TQG10" s="108"/>
      <c r="TQH10" s="108"/>
      <c r="TQI10" s="108"/>
      <c r="TQJ10" s="108"/>
      <c r="TQK10" s="108"/>
      <c r="TQL10" s="108"/>
      <c r="TQM10" s="108"/>
      <c r="TQN10" s="108"/>
      <c r="TQO10" s="108"/>
      <c r="TQP10" s="108"/>
      <c r="TQQ10" s="108"/>
      <c r="TQR10" s="108"/>
      <c r="TQS10" s="108"/>
      <c r="TQT10" s="108"/>
      <c r="TQU10" s="108"/>
      <c r="TQV10" s="108"/>
      <c r="TQW10" s="108"/>
      <c r="TQX10" s="108"/>
      <c r="TQY10" s="108"/>
      <c r="TQZ10" s="108"/>
      <c r="TRA10" s="108"/>
      <c r="TRB10" s="108"/>
      <c r="TRC10" s="108"/>
      <c r="TRD10" s="108"/>
      <c r="TRE10" s="108"/>
      <c r="TRF10" s="108"/>
      <c r="TRG10" s="108"/>
      <c r="TRH10" s="108"/>
      <c r="TRI10" s="108"/>
      <c r="TRJ10" s="108"/>
      <c r="TRK10" s="108"/>
      <c r="TRL10" s="108"/>
      <c r="TRM10" s="108"/>
      <c r="TRN10" s="108"/>
      <c r="TRO10" s="108"/>
      <c r="TRP10" s="108"/>
      <c r="TRQ10" s="108"/>
      <c r="TRR10" s="108"/>
      <c r="TRS10" s="108"/>
      <c r="TRT10" s="108"/>
      <c r="TRU10" s="108"/>
      <c r="TRV10" s="108"/>
      <c r="TRW10" s="108"/>
      <c r="TRX10" s="108"/>
      <c r="TRY10" s="108"/>
      <c r="TRZ10" s="108"/>
      <c r="TSA10" s="108"/>
      <c r="TSB10" s="108"/>
      <c r="TSC10" s="108"/>
      <c r="TSD10" s="108"/>
      <c r="TSE10" s="108"/>
      <c r="TSF10" s="108"/>
      <c r="TSG10" s="108"/>
      <c r="TSH10" s="108"/>
      <c r="TSI10" s="108"/>
      <c r="TSJ10" s="108"/>
      <c r="TSK10" s="108"/>
      <c r="TSL10" s="108"/>
      <c r="TSM10" s="108"/>
      <c r="TSN10" s="108"/>
      <c r="TSO10" s="108"/>
      <c r="TSP10" s="108"/>
      <c r="TSQ10" s="108"/>
      <c r="TSR10" s="108"/>
      <c r="TSS10" s="108"/>
      <c r="TST10" s="108"/>
      <c r="TSU10" s="108"/>
      <c r="TSV10" s="108"/>
      <c r="TSW10" s="108"/>
      <c r="TSX10" s="108"/>
      <c r="TSY10" s="108"/>
      <c r="TSZ10" s="108"/>
      <c r="TTA10" s="108"/>
      <c r="TTB10" s="108"/>
      <c r="TTC10" s="108"/>
      <c r="TTD10" s="108"/>
      <c r="TTE10" s="108"/>
      <c r="TTF10" s="108"/>
      <c r="TTG10" s="108"/>
      <c r="TTH10" s="108"/>
      <c r="TTI10" s="108"/>
      <c r="TTJ10" s="108"/>
      <c r="TTK10" s="108"/>
      <c r="TTL10" s="108"/>
      <c r="TTM10" s="108"/>
      <c r="TTN10" s="108"/>
      <c r="TTO10" s="108"/>
      <c r="TTP10" s="108"/>
      <c r="TTQ10" s="108"/>
      <c r="TTR10" s="108"/>
      <c r="TTS10" s="108"/>
      <c r="TTT10" s="108"/>
      <c r="TTU10" s="108"/>
      <c r="TTV10" s="108"/>
      <c r="TTW10" s="108"/>
      <c r="TTX10" s="108"/>
      <c r="TTY10" s="108"/>
      <c r="TTZ10" s="108"/>
      <c r="TUA10" s="108"/>
      <c r="TUB10" s="108"/>
      <c r="TUC10" s="108"/>
      <c r="TUD10" s="108"/>
      <c r="TUE10" s="108"/>
      <c r="TUF10" s="108"/>
      <c r="TUG10" s="108"/>
      <c r="TUH10" s="108"/>
      <c r="TUI10" s="108"/>
      <c r="TUJ10" s="108"/>
      <c r="TUK10" s="108"/>
      <c r="TUL10" s="108"/>
      <c r="TUM10" s="108"/>
      <c r="TUN10" s="108"/>
      <c r="TUO10" s="108"/>
      <c r="TUP10" s="108"/>
      <c r="TUQ10" s="108"/>
      <c r="TUR10" s="108"/>
      <c r="TUS10" s="108"/>
      <c r="TUT10" s="108"/>
      <c r="TUU10" s="108"/>
      <c r="TUV10" s="108"/>
      <c r="TUW10" s="108"/>
      <c r="TUX10" s="108"/>
      <c r="TUY10" s="108"/>
      <c r="TUZ10" s="108"/>
      <c r="TVA10" s="108"/>
      <c r="TVB10" s="108"/>
      <c r="TVC10" s="108"/>
      <c r="TVD10" s="108"/>
      <c r="TVE10" s="108"/>
      <c r="TVF10" s="108"/>
      <c r="TVG10" s="108"/>
      <c r="TVH10" s="108"/>
      <c r="TVI10" s="108"/>
      <c r="TVJ10" s="108"/>
      <c r="TVK10" s="108"/>
      <c r="TVL10" s="108"/>
      <c r="TVM10" s="108"/>
      <c r="TVN10" s="108"/>
      <c r="TVO10" s="108"/>
      <c r="TVP10" s="108"/>
      <c r="TVQ10" s="108"/>
      <c r="TVR10" s="108"/>
      <c r="TVS10" s="108"/>
      <c r="TVT10" s="108"/>
      <c r="TVU10" s="108"/>
      <c r="TVV10" s="108"/>
      <c r="TVW10" s="108"/>
      <c r="TVX10" s="108"/>
      <c r="TVY10" s="108"/>
      <c r="TVZ10" s="108"/>
      <c r="TWA10" s="108"/>
      <c r="TWB10" s="108"/>
      <c r="TWC10" s="108"/>
      <c r="TWD10" s="108"/>
      <c r="TWE10" s="108"/>
      <c r="TWF10" s="108"/>
      <c r="TWG10" s="108"/>
      <c r="TWH10" s="108"/>
      <c r="TWI10" s="108"/>
      <c r="TWJ10" s="108"/>
      <c r="TWK10" s="108"/>
      <c r="TWL10" s="108"/>
      <c r="TWM10" s="108"/>
      <c r="TWN10" s="108"/>
      <c r="TWO10" s="108"/>
      <c r="TWP10" s="108"/>
      <c r="TWQ10" s="108"/>
      <c r="TWR10" s="108"/>
      <c r="TWS10" s="108"/>
      <c r="TWT10" s="108"/>
      <c r="TWU10" s="108"/>
      <c r="TWV10" s="108"/>
      <c r="TWW10" s="108"/>
      <c r="TWX10" s="108"/>
      <c r="TWY10" s="108"/>
      <c r="TWZ10" s="108"/>
      <c r="TXA10" s="108"/>
      <c r="TXB10" s="108"/>
      <c r="TXC10" s="108"/>
      <c r="TXD10" s="108"/>
      <c r="TXE10" s="108"/>
      <c r="TXF10" s="108"/>
      <c r="TXG10" s="108"/>
      <c r="TXH10" s="108"/>
      <c r="TXI10" s="108"/>
      <c r="TXJ10" s="108"/>
      <c r="TXK10" s="108"/>
      <c r="TXL10" s="108"/>
      <c r="TXM10" s="108"/>
      <c r="TXN10" s="108"/>
      <c r="TXO10" s="108"/>
      <c r="TXP10" s="108"/>
      <c r="TXQ10" s="108"/>
      <c r="TXR10" s="108"/>
      <c r="TXS10" s="108"/>
      <c r="TXT10" s="108"/>
      <c r="TXU10" s="108"/>
      <c r="TXV10" s="108"/>
      <c r="TXW10" s="108"/>
      <c r="TXX10" s="108"/>
      <c r="TXY10" s="108"/>
      <c r="TXZ10" s="108"/>
      <c r="TYA10" s="108"/>
      <c r="TYB10" s="108"/>
      <c r="TYC10" s="108"/>
      <c r="TYD10" s="108"/>
      <c r="TYE10" s="108"/>
      <c r="TYF10" s="108"/>
      <c r="TYG10" s="108"/>
      <c r="TYH10" s="108"/>
      <c r="TYI10" s="108"/>
      <c r="TYJ10" s="108"/>
      <c r="TYK10" s="108"/>
      <c r="TYL10" s="108"/>
      <c r="TYM10" s="108"/>
      <c r="TYN10" s="108"/>
      <c r="TYO10" s="108"/>
      <c r="TYP10" s="108"/>
      <c r="TYQ10" s="108"/>
      <c r="TYR10" s="108"/>
      <c r="TYS10" s="108"/>
      <c r="TYT10" s="108"/>
      <c r="TYU10" s="108"/>
      <c r="TYV10" s="108"/>
      <c r="TYW10" s="108"/>
      <c r="TYX10" s="108"/>
      <c r="TYY10" s="108"/>
      <c r="TYZ10" s="108"/>
      <c r="TZA10" s="108"/>
      <c r="TZB10" s="108"/>
      <c r="TZC10" s="108"/>
      <c r="TZD10" s="108"/>
      <c r="TZE10" s="108"/>
      <c r="TZF10" s="108"/>
      <c r="TZG10" s="108"/>
      <c r="TZH10" s="108"/>
      <c r="TZI10" s="108"/>
      <c r="TZJ10" s="108"/>
      <c r="TZK10" s="108"/>
      <c r="TZL10" s="108"/>
      <c r="TZM10" s="108"/>
      <c r="TZN10" s="108"/>
      <c r="TZO10" s="108"/>
      <c r="TZP10" s="108"/>
      <c r="TZQ10" s="108"/>
      <c r="TZR10" s="108"/>
      <c r="TZS10" s="108"/>
      <c r="TZT10" s="108"/>
      <c r="TZU10" s="108"/>
      <c r="TZV10" s="108"/>
      <c r="TZW10" s="108"/>
      <c r="TZX10" s="108"/>
      <c r="TZY10" s="108"/>
      <c r="TZZ10" s="108"/>
      <c r="UAA10" s="108"/>
      <c r="UAB10" s="108"/>
      <c r="UAC10" s="108"/>
      <c r="UAD10" s="108"/>
      <c r="UAE10" s="108"/>
      <c r="UAF10" s="108"/>
      <c r="UAG10" s="108"/>
      <c r="UAH10" s="108"/>
      <c r="UAI10" s="108"/>
      <c r="UAJ10" s="108"/>
      <c r="UAK10" s="108"/>
      <c r="UAL10" s="108"/>
      <c r="UAM10" s="108"/>
      <c r="UAN10" s="108"/>
      <c r="UAO10" s="108"/>
      <c r="UAP10" s="108"/>
      <c r="UAQ10" s="108"/>
      <c r="UAR10" s="108"/>
      <c r="UAS10" s="108"/>
      <c r="UAT10" s="108"/>
      <c r="UAU10" s="108"/>
      <c r="UAV10" s="108"/>
      <c r="UAW10" s="108"/>
      <c r="UAX10" s="108"/>
      <c r="UAY10" s="108"/>
      <c r="UAZ10" s="108"/>
      <c r="UBA10" s="108"/>
      <c r="UBB10" s="108"/>
      <c r="UBC10" s="108"/>
      <c r="UBD10" s="108"/>
      <c r="UBE10" s="108"/>
      <c r="UBF10" s="108"/>
      <c r="UBG10" s="108"/>
      <c r="UBH10" s="108"/>
      <c r="UBI10" s="108"/>
      <c r="UBJ10" s="108"/>
      <c r="UBK10" s="108"/>
      <c r="UBL10" s="108"/>
      <c r="UBM10" s="108"/>
      <c r="UBN10" s="108"/>
      <c r="UBO10" s="108"/>
      <c r="UBP10" s="108"/>
      <c r="UBQ10" s="108"/>
      <c r="UBR10" s="108"/>
      <c r="UBS10" s="108"/>
      <c r="UBT10" s="108"/>
      <c r="UBU10" s="108"/>
      <c r="UBV10" s="108"/>
      <c r="UBW10" s="108"/>
      <c r="UBX10" s="108"/>
      <c r="UBY10" s="108"/>
      <c r="UBZ10" s="108"/>
      <c r="UCA10" s="108"/>
      <c r="UCB10" s="108"/>
      <c r="UCC10" s="108"/>
      <c r="UCD10" s="108"/>
      <c r="UCE10" s="108"/>
      <c r="UCF10" s="108"/>
      <c r="UCG10" s="108"/>
      <c r="UCH10" s="108"/>
      <c r="UCI10" s="108"/>
      <c r="UCJ10" s="108"/>
      <c r="UCK10" s="108"/>
      <c r="UCL10" s="108"/>
      <c r="UCM10" s="108"/>
      <c r="UCN10" s="108"/>
      <c r="UCO10" s="108"/>
      <c r="UCP10" s="108"/>
      <c r="UCQ10" s="108"/>
      <c r="UCR10" s="108"/>
      <c r="UCS10" s="108"/>
      <c r="UCT10" s="108"/>
      <c r="UCU10" s="108"/>
      <c r="UCV10" s="108"/>
      <c r="UCW10" s="108"/>
      <c r="UCX10" s="108"/>
      <c r="UCY10" s="108"/>
      <c r="UCZ10" s="108"/>
      <c r="UDA10" s="108"/>
      <c r="UDB10" s="108"/>
      <c r="UDC10" s="108"/>
      <c r="UDD10" s="108"/>
      <c r="UDE10" s="108"/>
      <c r="UDF10" s="108"/>
      <c r="UDG10" s="108"/>
      <c r="UDH10" s="108"/>
      <c r="UDI10" s="108"/>
      <c r="UDJ10" s="108"/>
      <c r="UDK10" s="108"/>
      <c r="UDL10" s="108"/>
      <c r="UDM10" s="108"/>
      <c r="UDN10" s="108"/>
      <c r="UDO10" s="108"/>
      <c r="UDP10" s="108"/>
      <c r="UDQ10" s="108"/>
      <c r="UDR10" s="108"/>
      <c r="UDS10" s="108"/>
      <c r="UDT10" s="108"/>
      <c r="UDU10" s="108"/>
      <c r="UDV10" s="108"/>
      <c r="UDW10" s="108"/>
      <c r="UDX10" s="108"/>
      <c r="UDY10" s="108"/>
      <c r="UDZ10" s="108"/>
      <c r="UEA10" s="108"/>
      <c r="UEB10" s="108"/>
      <c r="UEC10" s="108"/>
      <c r="UED10" s="108"/>
      <c r="UEE10" s="108"/>
      <c r="UEF10" s="108"/>
      <c r="UEG10" s="108"/>
      <c r="UEH10" s="108"/>
      <c r="UEI10" s="108"/>
      <c r="UEJ10" s="108"/>
      <c r="UEK10" s="108"/>
      <c r="UEL10" s="108"/>
      <c r="UEM10" s="108"/>
      <c r="UEN10" s="108"/>
      <c r="UEO10" s="108"/>
      <c r="UEP10" s="108"/>
      <c r="UEQ10" s="108"/>
      <c r="UER10" s="108"/>
      <c r="UES10" s="108"/>
      <c r="UET10" s="108"/>
      <c r="UEU10" s="108"/>
      <c r="UEV10" s="108"/>
      <c r="UEW10" s="108"/>
      <c r="UEX10" s="108"/>
      <c r="UEY10" s="108"/>
      <c r="UEZ10" s="108"/>
      <c r="UFA10" s="108"/>
      <c r="UFB10" s="108"/>
      <c r="UFC10" s="108"/>
      <c r="UFD10" s="108"/>
      <c r="UFE10" s="108"/>
      <c r="UFF10" s="108"/>
      <c r="UFG10" s="108"/>
      <c r="UFH10" s="108"/>
      <c r="UFI10" s="108"/>
      <c r="UFJ10" s="108"/>
      <c r="UFK10" s="108"/>
      <c r="UFL10" s="108"/>
      <c r="UFM10" s="108"/>
      <c r="UFN10" s="108"/>
      <c r="UFO10" s="108"/>
      <c r="UFP10" s="108"/>
      <c r="UFQ10" s="108"/>
      <c r="UFR10" s="108"/>
      <c r="UFS10" s="108"/>
      <c r="UFT10" s="108"/>
      <c r="UFU10" s="108"/>
      <c r="UFV10" s="108"/>
      <c r="UFW10" s="108"/>
      <c r="UFX10" s="108"/>
      <c r="UFY10" s="108"/>
      <c r="UFZ10" s="108"/>
      <c r="UGA10" s="108"/>
      <c r="UGB10" s="108"/>
      <c r="UGC10" s="108"/>
      <c r="UGD10" s="108"/>
      <c r="UGE10" s="108"/>
      <c r="UGF10" s="108"/>
      <c r="UGG10" s="108"/>
      <c r="UGH10" s="108"/>
      <c r="UGI10" s="108"/>
      <c r="UGJ10" s="108"/>
      <c r="UGK10" s="108"/>
      <c r="UGL10" s="108"/>
      <c r="UGM10" s="108"/>
      <c r="UGN10" s="108"/>
      <c r="UGO10" s="108"/>
      <c r="UGP10" s="108"/>
      <c r="UGQ10" s="108"/>
      <c r="UGR10" s="108"/>
      <c r="UGS10" s="108"/>
      <c r="UGT10" s="108"/>
      <c r="UGU10" s="108"/>
      <c r="UGV10" s="108"/>
      <c r="UGW10" s="108"/>
      <c r="UGX10" s="108"/>
      <c r="UGY10" s="108"/>
      <c r="UGZ10" s="108"/>
      <c r="UHA10" s="108"/>
      <c r="UHB10" s="108"/>
      <c r="UHC10" s="108"/>
      <c r="UHD10" s="108"/>
      <c r="UHE10" s="108"/>
      <c r="UHF10" s="108"/>
      <c r="UHG10" s="108"/>
      <c r="UHH10" s="108"/>
      <c r="UHI10" s="108"/>
      <c r="UHJ10" s="108"/>
      <c r="UHK10" s="108"/>
      <c r="UHL10" s="108"/>
      <c r="UHM10" s="108"/>
      <c r="UHN10" s="108"/>
      <c r="UHO10" s="108"/>
      <c r="UHP10" s="108"/>
      <c r="UHQ10" s="108"/>
      <c r="UHR10" s="108"/>
      <c r="UHS10" s="108"/>
      <c r="UHT10" s="108"/>
      <c r="UHU10" s="108"/>
      <c r="UHV10" s="108"/>
      <c r="UHW10" s="108"/>
      <c r="UHX10" s="108"/>
      <c r="UHY10" s="108"/>
      <c r="UHZ10" s="108"/>
      <c r="UIA10" s="108"/>
      <c r="UIB10" s="108"/>
      <c r="UIC10" s="108"/>
      <c r="UID10" s="108"/>
      <c r="UIE10" s="108"/>
      <c r="UIF10" s="108"/>
      <c r="UIG10" s="108"/>
      <c r="UIH10" s="108"/>
      <c r="UII10" s="108"/>
      <c r="UIJ10" s="108"/>
      <c r="UIK10" s="108"/>
      <c r="UIL10" s="108"/>
      <c r="UIM10" s="108"/>
      <c r="UIN10" s="108"/>
      <c r="UIO10" s="108"/>
      <c r="UIP10" s="108"/>
      <c r="UIQ10" s="108"/>
      <c r="UIR10" s="108"/>
      <c r="UIS10" s="108"/>
      <c r="UIT10" s="108"/>
      <c r="UIU10" s="108"/>
      <c r="UIV10" s="108"/>
      <c r="UIW10" s="108"/>
      <c r="UIX10" s="108"/>
      <c r="UIY10" s="108"/>
      <c r="UIZ10" s="108"/>
      <c r="UJA10" s="108"/>
      <c r="UJB10" s="108"/>
      <c r="UJC10" s="108"/>
      <c r="UJD10" s="108"/>
      <c r="UJE10" s="108"/>
      <c r="UJF10" s="108"/>
      <c r="UJG10" s="108"/>
      <c r="UJH10" s="108"/>
      <c r="UJI10" s="108"/>
      <c r="UJJ10" s="108"/>
      <c r="UJK10" s="108"/>
      <c r="UJL10" s="108"/>
      <c r="UJM10" s="108"/>
      <c r="UJN10" s="108"/>
      <c r="UJO10" s="108"/>
      <c r="UJP10" s="108"/>
      <c r="UJQ10" s="108"/>
      <c r="UJR10" s="108"/>
      <c r="UJS10" s="108"/>
      <c r="UJT10" s="108"/>
      <c r="UJU10" s="108"/>
      <c r="UJV10" s="108"/>
      <c r="UJW10" s="108"/>
      <c r="UJX10" s="108"/>
      <c r="UJY10" s="108"/>
      <c r="UJZ10" s="108"/>
      <c r="UKA10" s="108"/>
      <c r="UKB10" s="108"/>
      <c r="UKC10" s="108"/>
      <c r="UKD10" s="108"/>
      <c r="UKE10" s="108"/>
      <c r="UKF10" s="108"/>
      <c r="UKG10" s="108"/>
      <c r="UKH10" s="108"/>
      <c r="UKI10" s="108"/>
      <c r="UKJ10" s="108"/>
      <c r="UKK10" s="108"/>
      <c r="UKL10" s="108"/>
      <c r="UKM10" s="108"/>
      <c r="UKN10" s="108"/>
      <c r="UKO10" s="108"/>
      <c r="UKP10" s="108"/>
      <c r="UKQ10" s="108"/>
      <c r="UKR10" s="108"/>
      <c r="UKS10" s="108"/>
      <c r="UKT10" s="108"/>
      <c r="UKU10" s="108"/>
      <c r="UKV10" s="108"/>
      <c r="UKW10" s="108"/>
      <c r="UKX10" s="108"/>
      <c r="UKY10" s="108"/>
      <c r="UKZ10" s="108"/>
      <c r="ULA10" s="108"/>
      <c r="ULB10" s="108"/>
      <c r="ULC10" s="108"/>
      <c r="ULD10" s="108"/>
      <c r="ULE10" s="108"/>
      <c r="ULF10" s="108"/>
      <c r="ULG10" s="108"/>
      <c r="ULH10" s="108"/>
      <c r="ULI10" s="108"/>
      <c r="ULJ10" s="108"/>
      <c r="ULK10" s="108"/>
      <c r="ULL10" s="108"/>
      <c r="ULM10" s="108"/>
      <c r="ULN10" s="108"/>
      <c r="ULO10" s="108"/>
      <c r="ULP10" s="108"/>
      <c r="ULQ10" s="108"/>
      <c r="ULR10" s="108"/>
      <c r="ULS10" s="108"/>
      <c r="ULT10" s="108"/>
      <c r="ULU10" s="108"/>
      <c r="ULV10" s="108"/>
      <c r="ULW10" s="108"/>
      <c r="ULX10" s="108"/>
      <c r="ULY10" s="108"/>
      <c r="ULZ10" s="108"/>
      <c r="UMA10" s="108"/>
      <c r="UMB10" s="108"/>
      <c r="UMC10" s="108"/>
      <c r="UMD10" s="108"/>
      <c r="UME10" s="108"/>
      <c r="UMF10" s="108"/>
      <c r="UMG10" s="108"/>
      <c r="UMH10" s="108"/>
      <c r="UMI10" s="108"/>
      <c r="UMJ10" s="108"/>
      <c r="UMK10" s="108"/>
      <c r="UML10" s="108"/>
      <c r="UMM10" s="108"/>
      <c r="UMN10" s="108"/>
      <c r="UMO10" s="108"/>
      <c r="UMP10" s="108"/>
      <c r="UMQ10" s="108"/>
      <c r="UMR10" s="108"/>
      <c r="UMS10" s="108"/>
      <c r="UMT10" s="108"/>
      <c r="UMU10" s="108"/>
      <c r="UMV10" s="108"/>
      <c r="UMW10" s="108"/>
      <c r="UMX10" s="108"/>
      <c r="UMY10" s="108"/>
      <c r="UMZ10" s="108"/>
      <c r="UNA10" s="108"/>
      <c r="UNB10" s="108"/>
      <c r="UNC10" s="108"/>
      <c r="UND10" s="108"/>
      <c r="UNE10" s="108"/>
      <c r="UNF10" s="108"/>
      <c r="UNG10" s="108"/>
      <c r="UNH10" s="108"/>
      <c r="UNI10" s="108"/>
      <c r="UNJ10" s="108"/>
      <c r="UNK10" s="108"/>
      <c r="UNL10" s="108"/>
      <c r="UNM10" s="108"/>
      <c r="UNN10" s="108"/>
      <c r="UNO10" s="108"/>
      <c r="UNP10" s="108"/>
      <c r="UNQ10" s="108"/>
      <c r="UNR10" s="108"/>
      <c r="UNS10" s="108"/>
      <c r="UNT10" s="108"/>
      <c r="UNU10" s="108"/>
      <c r="UNV10" s="108"/>
      <c r="UNW10" s="108"/>
      <c r="UNX10" s="108"/>
      <c r="UNY10" s="108"/>
      <c r="UNZ10" s="108"/>
      <c r="UOA10" s="108"/>
      <c r="UOB10" s="108"/>
      <c r="UOC10" s="108"/>
      <c r="UOD10" s="108"/>
      <c r="UOE10" s="108"/>
      <c r="UOF10" s="108"/>
      <c r="UOG10" s="108"/>
      <c r="UOH10" s="108"/>
      <c r="UOI10" s="108"/>
      <c r="UOJ10" s="108"/>
      <c r="UOK10" s="108"/>
      <c r="UOL10" s="108"/>
      <c r="UOM10" s="108"/>
      <c r="UON10" s="108"/>
      <c r="UOO10" s="108"/>
      <c r="UOP10" s="108"/>
      <c r="UOQ10" s="108"/>
      <c r="UOR10" s="108"/>
      <c r="UOS10" s="108"/>
      <c r="UOT10" s="108"/>
      <c r="UOU10" s="108"/>
      <c r="UOV10" s="108"/>
      <c r="UOW10" s="108"/>
      <c r="UOX10" s="108"/>
      <c r="UOY10" s="108"/>
      <c r="UOZ10" s="108"/>
      <c r="UPA10" s="108"/>
      <c r="UPB10" s="108"/>
      <c r="UPC10" s="108"/>
      <c r="UPD10" s="108"/>
      <c r="UPE10" s="108"/>
      <c r="UPF10" s="108"/>
      <c r="UPG10" s="108"/>
      <c r="UPH10" s="108"/>
      <c r="UPI10" s="108"/>
      <c r="UPJ10" s="108"/>
      <c r="UPK10" s="108"/>
      <c r="UPL10" s="108"/>
      <c r="UPM10" s="108"/>
      <c r="UPN10" s="108"/>
      <c r="UPO10" s="108"/>
      <c r="UPP10" s="108"/>
      <c r="UPQ10" s="108"/>
      <c r="UPR10" s="108"/>
      <c r="UPS10" s="108"/>
      <c r="UPT10" s="108"/>
      <c r="UPU10" s="108"/>
      <c r="UPV10" s="108"/>
      <c r="UPW10" s="108"/>
      <c r="UPX10" s="108"/>
      <c r="UPY10" s="108"/>
      <c r="UPZ10" s="108"/>
      <c r="UQA10" s="108"/>
      <c r="UQB10" s="108"/>
      <c r="UQC10" s="108"/>
      <c r="UQD10" s="108"/>
      <c r="UQE10" s="108"/>
      <c r="UQF10" s="108"/>
      <c r="UQG10" s="108"/>
      <c r="UQH10" s="108"/>
      <c r="UQI10" s="108"/>
      <c r="UQJ10" s="108"/>
      <c r="UQK10" s="108"/>
      <c r="UQL10" s="108"/>
      <c r="UQM10" s="108"/>
      <c r="UQN10" s="108"/>
      <c r="UQO10" s="108"/>
      <c r="UQP10" s="108"/>
      <c r="UQQ10" s="108"/>
      <c r="UQR10" s="108"/>
      <c r="UQS10" s="108"/>
      <c r="UQT10" s="108"/>
      <c r="UQU10" s="108"/>
      <c r="UQV10" s="108"/>
      <c r="UQW10" s="108"/>
      <c r="UQX10" s="108"/>
      <c r="UQY10" s="108"/>
      <c r="UQZ10" s="108"/>
      <c r="URA10" s="108"/>
      <c r="URB10" s="108"/>
      <c r="URC10" s="108"/>
      <c r="URD10" s="108"/>
      <c r="URE10" s="108"/>
      <c r="URF10" s="108"/>
      <c r="URG10" s="108"/>
      <c r="URH10" s="108"/>
      <c r="URI10" s="108"/>
      <c r="URJ10" s="108"/>
      <c r="URK10" s="108"/>
      <c r="URL10" s="108"/>
      <c r="URM10" s="108"/>
      <c r="URN10" s="108"/>
      <c r="URO10" s="108"/>
      <c r="URP10" s="108"/>
      <c r="URQ10" s="108"/>
      <c r="URR10" s="108"/>
      <c r="URS10" s="108"/>
      <c r="URT10" s="108"/>
      <c r="URU10" s="108"/>
      <c r="URV10" s="108"/>
      <c r="URW10" s="108"/>
      <c r="URX10" s="108"/>
      <c r="URY10" s="108"/>
      <c r="URZ10" s="108"/>
      <c r="USA10" s="108"/>
      <c r="USB10" s="108"/>
      <c r="USC10" s="108"/>
      <c r="USD10" s="108"/>
      <c r="USE10" s="108"/>
      <c r="USF10" s="108"/>
      <c r="USG10" s="108"/>
      <c r="USH10" s="108"/>
      <c r="USI10" s="108"/>
      <c r="USJ10" s="108"/>
      <c r="USK10" s="108"/>
      <c r="USL10" s="108"/>
      <c r="USM10" s="108"/>
      <c r="USN10" s="108"/>
      <c r="USO10" s="108"/>
      <c r="USP10" s="108"/>
      <c r="USQ10" s="108"/>
      <c r="USR10" s="108"/>
      <c r="USS10" s="108"/>
      <c r="UST10" s="108"/>
      <c r="USU10" s="108"/>
      <c r="USV10" s="108"/>
      <c r="USW10" s="108"/>
      <c r="USX10" s="108"/>
      <c r="USY10" s="108"/>
      <c r="USZ10" s="108"/>
      <c r="UTA10" s="108"/>
      <c r="UTB10" s="108"/>
      <c r="UTC10" s="108"/>
      <c r="UTD10" s="108"/>
      <c r="UTE10" s="108"/>
      <c r="UTF10" s="108"/>
      <c r="UTG10" s="108"/>
      <c r="UTH10" s="108"/>
      <c r="UTI10" s="108"/>
      <c r="UTJ10" s="108"/>
      <c r="UTK10" s="108"/>
      <c r="UTL10" s="108"/>
      <c r="UTM10" s="108"/>
      <c r="UTN10" s="108"/>
      <c r="UTO10" s="108"/>
      <c r="UTP10" s="108"/>
      <c r="UTQ10" s="108"/>
      <c r="UTR10" s="108"/>
      <c r="UTS10" s="108"/>
      <c r="UTT10" s="108"/>
      <c r="UTU10" s="108"/>
      <c r="UTV10" s="108"/>
      <c r="UTW10" s="108"/>
      <c r="UTX10" s="108"/>
      <c r="UTY10" s="108"/>
      <c r="UTZ10" s="108"/>
      <c r="UUA10" s="108"/>
      <c r="UUB10" s="108"/>
      <c r="UUC10" s="108"/>
      <c r="UUD10" s="108"/>
      <c r="UUE10" s="108"/>
      <c r="UUF10" s="108"/>
      <c r="UUG10" s="108"/>
      <c r="UUH10" s="108"/>
      <c r="UUI10" s="108"/>
      <c r="UUJ10" s="108"/>
      <c r="UUK10" s="108"/>
      <c r="UUL10" s="108"/>
      <c r="UUM10" s="108"/>
      <c r="UUN10" s="108"/>
      <c r="UUO10" s="108"/>
      <c r="UUP10" s="108"/>
      <c r="UUQ10" s="108"/>
      <c r="UUR10" s="108"/>
      <c r="UUS10" s="108"/>
      <c r="UUT10" s="108"/>
      <c r="UUU10" s="108"/>
      <c r="UUV10" s="108"/>
      <c r="UUW10" s="108"/>
      <c r="UUX10" s="108"/>
      <c r="UUY10" s="108"/>
      <c r="UUZ10" s="108"/>
      <c r="UVA10" s="108"/>
      <c r="UVB10" s="108"/>
      <c r="UVC10" s="108"/>
      <c r="UVD10" s="108"/>
      <c r="UVE10" s="108"/>
      <c r="UVF10" s="108"/>
      <c r="UVG10" s="108"/>
      <c r="UVH10" s="108"/>
      <c r="UVI10" s="108"/>
      <c r="UVJ10" s="108"/>
      <c r="UVK10" s="108"/>
      <c r="UVL10" s="108"/>
      <c r="UVM10" s="108"/>
      <c r="UVN10" s="108"/>
      <c r="UVO10" s="108"/>
      <c r="UVP10" s="108"/>
      <c r="UVQ10" s="108"/>
      <c r="UVR10" s="108"/>
      <c r="UVS10" s="108"/>
      <c r="UVT10" s="108"/>
      <c r="UVU10" s="108"/>
      <c r="UVV10" s="108"/>
      <c r="UVW10" s="108"/>
      <c r="UVX10" s="108"/>
      <c r="UVY10" s="108"/>
      <c r="UVZ10" s="108"/>
      <c r="UWA10" s="108"/>
      <c r="UWB10" s="108"/>
      <c r="UWC10" s="108"/>
      <c r="UWD10" s="108"/>
      <c r="UWE10" s="108"/>
      <c r="UWF10" s="108"/>
      <c r="UWG10" s="108"/>
      <c r="UWH10" s="108"/>
      <c r="UWI10" s="108"/>
      <c r="UWJ10" s="108"/>
      <c r="UWK10" s="108"/>
      <c r="UWL10" s="108"/>
      <c r="UWM10" s="108"/>
      <c r="UWN10" s="108"/>
      <c r="UWO10" s="108"/>
      <c r="UWP10" s="108"/>
      <c r="UWQ10" s="108"/>
      <c r="UWR10" s="108"/>
      <c r="UWS10" s="108"/>
      <c r="UWT10" s="108"/>
      <c r="UWU10" s="108"/>
      <c r="UWV10" s="108"/>
      <c r="UWW10" s="108"/>
      <c r="UWX10" s="108"/>
      <c r="UWY10" s="108"/>
      <c r="UWZ10" s="108"/>
      <c r="UXA10" s="108"/>
      <c r="UXB10" s="108"/>
      <c r="UXC10" s="108"/>
      <c r="UXD10" s="108"/>
      <c r="UXE10" s="108"/>
      <c r="UXF10" s="108"/>
      <c r="UXG10" s="108"/>
      <c r="UXH10" s="108"/>
      <c r="UXI10" s="108"/>
      <c r="UXJ10" s="108"/>
      <c r="UXK10" s="108"/>
      <c r="UXL10" s="108"/>
      <c r="UXM10" s="108"/>
      <c r="UXN10" s="108"/>
      <c r="UXO10" s="108"/>
      <c r="UXP10" s="108"/>
      <c r="UXQ10" s="108"/>
      <c r="UXR10" s="108"/>
      <c r="UXS10" s="108"/>
      <c r="UXT10" s="108"/>
      <c r="UXU10" s="108"/>
      <c r="UXV10" s="108"/>
      <c r="UXW10" s="108"/>
      <c r="UXX10" s="108"/>
      <c r="UXY10" s="108"/>
      <c r="UXZ10" s="108"/>
      <c r="UYA10" s="108"/>
      <c r="UYB10" s="108"/>
      <c r="UYC10" s="108"/>
      <c r="UYD10" s="108"/>
      <c r="UYE10" s="108"/>
      <c r="UYF10" s="108"/>
      <c r="UYG10" s="108"/>
      <c r="UYH10" s="108"/>
      <c r="UYI10" s="108"/>
      <c r="UYJ10" s="108"/>
      <c r="UYK10" s="108"/>
      <c r="UYL10" s="108"/>
      <c r="UYM10" s="108"/>
      <c r="UYN10" s="108"/>
      <c r="UYO10" s="108"/>
      <c r="UYP10" s="108"/>
      <c r="UYQ10" s="108"/>
      <c r="UYR10" s="108"/>
      <c r="UYS10" s="108"/>
      <c r="UYT10" s="108"/>
      <c r="UYU10" s="108"/>
      <c r="UYV10" s="108"/>
      <c r="UYW10" s="108"/>
      <c r="UYX10" s="108"/>
      <c r="UYY10" s="108"/>
      <c r="UYZ10" s="108"/>
      <c r="UZA10" s="108"/>
      <c r="UZB10" s="108"/>
      <c r="UZC10" s="108"/>
      <c r="UZD10" s="108"/>
      <c r="UZE10" s="108"/>
      <c r="UZF10" s="108"/>
      <c r="UZG10" s="108"/>
      <c r="UZH10" s="108"/>
      <c r="UZI10" s="108"/>
      <c r="UZJ10" s="108"/>
      <c r="UZK10" s="108"/>
      <c r="UZL10" s="108"/>
      <c r="UZM10" s="108"/>
      <c r="UZN10" s="108"/>
      <c r="UZO10" s="108"/>
      <c r="UZP10" s="108"/>
      <c r="UZQ10" s="108"/>
      <c r="UZR10" s="108"/>
      <c r="UZS10" s="108"/>
      <c r="UZT10" s="108"/>
      <c r="UZU10" s="108"/>
      <c r="UZV10" s="108"/>
      <c r="UZW10" s="108"/>
      <c r="UZX10" s="108"/>
      <c r="UZY10" s="108"/>
      <c r="UZZ10" s="108"/>
      <c r="VAA10" s="108"/>
      <c r="VAB10" s="108"/>
      <c r="VAC10" s="108"/>
      <c r="VAD10" s="108"/>
      <c r="VAE10" s="108"/>
      <c r="VAF10" s="108"/>
      <c r="VAG10" s="108"/>
      <c r="VAH10" s="108"/>
      <c r="VAI10" s="108"/>
      <c r="VAJ10" s="108"/>
      <c r="VAK10" s="108"/>
      <c r="VAL10" s="108"/>
      <c r="VAM10" s="108"/>
      <c r="VAN10" s="108"/>
      <c r="VAO10" s="108"/>
      <c r="VAP10" s="108"/>
      <c r="VAQ10" s="108"/>
      <c r="VAR10" s="108"/>
      <c r="VAS10" s="108"/>
      <c r="VAT10" s="108"/>
      <c r="VAU10" s="108"/>
      <c r="VAV10" s="108"/>
      <c r="VAW10" s="108"/>
      <c r="VAX10" s="108"/>
      <c r="VAY10" s="108"/>
      <c r="VAZ10" s="108"/>
      <c r="VBA10" s="108"/>
      <c r="VBB10" s="108"/>
      <c r="VBC10" s="108"/>
      <c r="VBD10" s="108"/>
      <c r="VBE10" s="108"/>
      <c r="VBF10" s="108"/>
      <c r="VBG10" s="108"/>
      <c r="VBH10" s="108"/>
      <c r="VBI10" s="108"/>
      <c r="VBJ10" s="108"/>
      <c r="VBK10" s="108"/>
      <c r="VBL10" s="108"/>
      <c r="VBM10" s="108"/>
      <c r="VBN10" s="108"/>
      <c r="VBO10" s="108"/>
      <c r="VBP10" s="108"/>
      <c r="VBQ10" s="108"/>
      <c r="VBR10" s="108"/>
      <c r="VBS10" s="108"/>
      <c r="VBT10" s="108"/>
      <c r="VBU10" s="108"/>
      <c r="VBV10" s="108"/>
      <c r="VBW10" s="108"/>
      <c r="VBX10" s="108"/>
      <c r="VBY10" s="108"/>
      <c r="VBZ10" s="108"/>
      <c r="VCA10" s="108"/>
      <c r="VCB10" s="108"/>
      <c r="VCC10" s="108"/>
      <c r="VCD10" s="108"/>
      <c r="VCE10" s="108"/>
      <c r="VCF10" s="108"/>
      <c r="VCG10" s="108"/>
      <c r="VCH10" s="108"/>
      <c r="VCI10" s="108"/>
      <c r="VCJ10" s="108"/>
      <c r="VCK10" s="108"/>
      <c r="VCL10" s="108"/>
      <c r="VCM10" s="108"/>
      <c r="VCN10" s="108"/>
      <c r="VCO10" s="108"/>
      <c r="VCP10" s="108"/>
      <c r="VCQ10" s="108"/>
      <c r="VCR10" s="108"/>
      <c r="VCS10" s="108"/>
      <c r="VCT10" s="108"/>
      <c r="VCU10" s="108"/>
      <c r="VCV10" s="108"/>
      <c r="VCW10" s="108"/>
      <c r="VCX10" s="108"/>
      <c r="VCY10" s="108"/>
      <c r="VCZ10" s="108"/>
      <c r="VDA10" s="108"/>
      <c r="VDB10" s="108"/>
      <c r="VDC10" s="108"/>
      <c r="VDD10" s="108"/>
      <c r="VDE10" s="108"/>
      <c r="VDF10" s="108"/>
      <c r="VDG10" s="108"/>
      <c r="VDH10" s="108"/>
      <c r="VDI10" s="108"/>
      <c r="VDJ10" s="108"/>
      <c r="VDK10" s="108"/>
      <c r="VDL10" s="108"/>
      <c r="VDM10" s="108"/>
      <c r="VDN10" s="108"/>
      <c r="VDO10" s="108"/>
      <c r="VDP10" s="108"/>
      <c r="VDQ10" s="108"/>
      <c r="VDR10" s="108"/>
      <c r="VDS10" s="108"/>
      <c r="VDT10" s="108"/>
      <c r="VDU10" s="108"/>
      <c r="VDV10" s="108"/>
      <c r="VDW10" s="108"/>
      <c r="VDX10" s="108"/>
      <c r="VDY10" s="108"/>
      <c r="VDZ10" s="108"/>
      <c r="VEA10" s="108"/>
      <c r="VEB10" s="108"/>
      <c r="VEC10" s="108"/>
      <c r="VED10" s="108"/>
      <c r="VEE10" s="108"/>
      <c r="VEF10" s="108"/>
      <c r="VEG10" s="108"/>
      <c r="VEH10" s="108"/>
      <c r="VEI10" s="108"/>
      <c r="VEJ10" s="108"/>
      <c r="VEK10" s="108"/>
      <c r="VEL10" s="108"/>
      <c r="VEM10" s="108"/>
      <c r="VEN10" s="108"/>
      <c r="VEO10" s="108"/>
      <c r="VEP10" s="108"/>
      <c r="VEQ10" s="108"/>
      <c r="VER10" s="108"/>
      <c r="VES10" s="108"/>
      <c r="VET10" s="108"/>
      <c r="VEU10" s="108"/>
      <c r="VEV10" s="108"/>
      <c r="VEW10" s="108"/>
      <c r="VEX10" s="108"/>
      <c r="VEY10" s="108"/>
      <c r="VEZ10" s="108"/>
      <c r="VFA10" s="108"/>
      <c r="VFB10" s="108"/>
      <c r="VFC10" s="108"/>
      <c r="VFD10" s="108"/>
      <c r="VFE10" s="108"/>
      <c r="VFF10" s="108"/>
      <c r="VFG10" s="108"/>
      <c r="VFH10" s="108"/>
      <c r="VFI10" s="108"/>
      <c r="VFJ10" s="108"/>
      <c r="VFK10" s="108"/>
      <c r="VFL10" s="108"/>
      <c r="VFM10" s="108"/>
      <c r="VFN10" s="108"/>
      <c r="VFO10" s="108"/>
      <c r="VFP10" s="108"/>
      <c r="VFQ10" s="108"/>
      <c r="VFR10" s="108"/>
      <c r="VFS10" s="108"/>
      <c r="VFT10" s="108"/>
      <c r="VFU10" s="108"/>
      <c r="VFV10" s="108"/>
      <c r="VFW10" s="108"/>
      <c r="VFX10" s="108"/>
      <c r="VFY10" s="108"/>
      <c r="VFZ10" s="108"/>
      <c r="VGA10" s="108"/>
      <c r="VGB10" s="108"/>
      <c r="VGC10" s="108"/>
      <c r="VGD10" s="108"/>
      <c r="VGE10" s="108"/>
      <c r="VGF10" s="108"/>
      <c r="VGG10" s="108"/>
      <c r="VGH10" s="108"/>
      <c r="VGI10" s="108"/>
      <c r="VGJ10" s="108"/>
      <c r="VGK10" s="108"/>
      <c r="VGL10" s="108"/>
      <c r="VGM10" s="108"/>
      <c r="VGN10" s="108"/>
      <c r="VGO10" s="108"/>
      <c r="VGP10" s="108"/>
      <c r="VGQ10" s="108"/>
      <c r="VGR10" s="108"/>
      <c r="VGS10" s="108"/>
      <c r="VGT10" s="108"/>
      <c r="VGU10" s="108"/>
      <c r="VGV10" s="108"/>
      <c r="VGW10" s="108"/>
      <c r="VGX10" s="108"/>
      <c r="VGY10" s="108"/>
      <c r="VGZ10" s="108"/>
      <c r="VHA10" s="108"/>
      <c r="VHB10" s="108"/>
      <c r="VHC10" s="108"/>
      <c r="VHD10" s="108"/>
      <c r="VHE10" s="108"/>
      <c r="VHF10" s="108"/>
      <c r="VHG10" s="108"/>
      <c r="VHH10" s="108"/>
      <c r="VHI10" s="108"/>
      <c r="VHJ10" s="108"/>
      <c r="VHK10" s="108"/>
      <c r="VHL10" s="108"/>
      <c r="VHM10" s="108"/>
      <c r="VHN10" s="108"/>
      <c r="VHO10" s="108"/>
      <c r="VHP10" s="108"/>
      <c r="VHQ10" s="108"/>
      <c r="VHR10" s="108"/>
      <c r="VHS10" s="108"/>
      <c r="VHT10" s="108"/>
      <c r="VHU10" s="108"/>
      <c r="VHV10" s="108"/>
      <c r="VHW10" s="108"/>
      <c r="VHX10" s="108"/>
      <c r="VHY10" s="108"/>
      <c r="VHZ10" s="108"/>
      <c r="VIA10" s="108"/>
      <c r="VIB10" s="108"/>
      <c r="VIC10" s="108"/>
      <c r="VID10" s="108"/>
      <c r="VIE10" s="108"/>
      <c r="VIF10" s="108"/>
      <c r="VIG10" s="108"/>
      <c r="VIH10" s="108"/>
      <c r="VII10" s="108"/>
      <c r="VIJ10" s="108"/>
      <c r="VIK10" s="108"/>
      <c r="VIL10" s="108"/>
      <c r="VIM10" s="108"/>
      <c r="VIN10" s="108"/>
      <c r="VIO10" s="108"/>
      <c r="VIP10" s="108"/>
      <c r="VIQ10" s="108"/>
      <c r="VIR10" s="108"/>
      <c r="VIS10" s="108"/>
      <c r="VIT10" s="108"/>
      <c r="VIU10" s="108"/>
      <c r="VIV10" s="108"/>
      <c r="VIW10" s="108"/>
      <c r="VIX10" s="108"/>
      <c r="VIY10" s="108"/>
      <c r="VIZ10" s="108"/>
      <c r="VJA10" s="108"/>
      <c r="VJB10" s="108"/>
      <c r="VJC10" s="108"/>
      <c r="VJD10" s="108"/>
      <c r="VJE10" s="108"/>
      <c r="VJF10" s="108"/>
      <c r="VJG10" s="108"/>
      <c r="VJH10" s="108"/>
      <c r="VJI10" s="108"/>
      <c r="VJJ10" s="108"/>
      <c r="VJK10" s="108"/>
      <c r="VJL10" s="108"/>
      <c r="VJM10" s="108"/>
      <c r="VJN10" s="108"/>
      <c r="VJO10" s="108"/>
      <c r="VJP10" s="108"/>
      <c r="VJQ10" s="108"/>
      <c r="VJR10" s="108"/>
      <c r="VJS10" s="108"/>
      <c r="VJT10" s="108"/>
      <c r="VJU10" s="108"/>
      <c r="VJV10" s="108"/>
      <c r="VJW10" s="108"/>
      <c r="VJX10" s="108"/>
      <c r="VJY10" s="108"/>
      <c r="VJZ10" s="108"/>
      <c r="VKA10" s="108"/>
      <c r="VKB10" s="108"/>
      <c r="VKC10" s="108"/>
      <c r="VKD10" s="108"/>
      <c r="VKE10" s="108"/>
      <c r="VKF10" s="108"/>
      <c r="VKG10" s="108"/>
      <c r="VKH10" s="108"/>
      <c r="VKI10" s="108"/>
      <c r="VKJ10" s="108"/>
      <c r="VKK10" s="108"/>
      <c r="VKL10" s="108"/>
      <c r="VKM10" s="108"/>
      <c r="VKN10" s="108"/>
      <c r="VKO10" s="108"/>
      <c r="VKP10" s="108"/>
      <c r="VKQ10" s="108"/>
      <c r="VKR10" s="108"/>
      <c r="VKS10" s="108"/>
      <c r="VKT10" s="108"/>
      <c r="VKU10" s="108"/>
      <c r="VKV10" s="108"/>
      <c r="VKW10" s="108"/>
      <c r="VKX10" s="108"/>
      <c r="VKY10" s="108"/>
      <c r="VKZ10" s="108"/>
      <c r="VLA10" s="108"/>
      <c r="VLB10" s="108"/>
      <c r="VLC10" s="108"/>
      <c r="VLD10" s="108"/>
      <c r="VLE10" s="108"/>
      <c r="VLF10" s="108"/>
      <c r="VLG10" s="108"/>
      <c r="VLH10" s="108"/>
      <c r="VLI10" s="108"/>
      <c r="VLJ10" s="108"/>
      <c r="VLK10" s="108"/>
      <c r="VLL10" s="108"/>
      <c r="VLM10" s="108"/>
      <c r="VLN10" s="108"/>
      <c r="VLO10" s="108"/>
      <c r="VLP10" s="108"/>
      <c r="VLQ10" s="108"/>
      <c r="VLR10" s="108"/>
      <c r="VLS10" s="108"/>
      <c r="VLT10" s="108"/>
      <c r="VLU10" s="108"/>
      <c r="VLV10" s="108"/>
      <c r="VLW10" s="108"/>
      <c r="VLX10" s="108"/>
      <c r="VLY10" s="108"/>
      <c r="VLZ10" s="108"/>
      <c r="VMA10" s="108"/>
      <c r="VMB10" s="108"/>
      <c r="VMC10" s="108"/>
      <c r="VMD10" s="108"/>
      <c r="VME10" s="108"/>
      <c r="VMF10" s="108"/>
      <c r="VMG10" s="108"/>
      <c r="VMH10" s="108"/>
      <c r="VMI10" s="108"/>
      <c r="VMJ10" s="108"/>
      <c r="VMK10" s="108"/>
      <c r="VML10" s="108"/>
      <c r="VMM10" s="108"/>
      <c r="VMN10" s="108"/>
      <c r="VMO10" s="108"/>
      <c r="VMP10" s="108"/>
      <c r="VMQ10" s="108"/>
      <c r="VMR10" s="108"/>
      <c r="VMS10" s="108"/>
      <c r="VMT10" s="108"/>
      <c r="VMU10" s="108"/>
      <c r="VMV10" s="108"/>
      <c r="VMW10" s="108"/>
      <c r="VMX10" s="108"/>
      <c r="VMY10" s="108"/>
      <c r="VMZ10" s="108"/>
      <c r="VNA10" s="108"/>
      <c r="VNB10" s="108"/>
      <c r="VNC10" s="108"/>
      <c r="VND10" s="108"/>
      <c r="VNE10" s="108"/>
      <c r="VNF10" s="108"/>
      <c r="VNG10" s="108"/>
      <c r="VNH10" s="108"/>
      <c r="VNI10" s="108"/>
      <c r="VNJ10" s="108"/>
      <c r="VNK10" s="108"/>
      <c r="VNL10" s="108"/>
      <c r="VNM10" s="108"/>
      <c r="VNN10" s="108"/>
      <c r="VNO10" s="108"/>
      <c r="VNP10" s="108"/>
      <c r="VNQ10" s="108"/>
      <c r="VNR10" s="108"/>
      <c r="VNS10" s="108"/>
      <c r="VNT10" s="108"/>
      <c r="VNU10" s="108"/>
      <c r="VNV10" s="108"/>
      <c r="VNW10" s="108"/>
      <c r="VNX10" s="108"/>
      <c r="VNY10" s="108"/>
      <c r="VNZ10" s="108"/>
      <c r="VOA10" s="108"/>
      <c r="VOB10" s="108"/>
      <c r="VOC10" s="108"/>
      <c r="VOD10" s="108"/>
      <c r="VOE10" s="108"/>
      <c r="VOF10" s="108"/>
      <c r="VOG10" s="108"/>
      <c r="VOH10" s="108"/>
      <c r="VOI10" s="108"/>
      <c r="VOJ10" s="108"/>
      <c r="VOK10" s="108"/>
      <c r="VOL10" s="108"/>
      <c r="VOM10" s="108"/>
      <c r="VON10" s="108"/>
      <c r="VOO10" s="108"/>
      <c r="VOP10" s="108"/>
      <c r="VOQ10" s="108"/>
      <c r="VOR10" s="108"/>
      <c r="VOS10" s="108"/>
      <c r="VOT10" s="108"/>
      <c r="VOU10" s="108"/>
      <c r="VOV10" s="108"/>
      <c r="VOW10" s="108"/>
      <c r="VOX10" s="108"/>
      <c r="VOY10" s="108"/>
      <c r="VOZ10" s="108"/>
      <c r="VPA10" s="108"/>
      <c r="VPB10" s="108"/>
      <c r="VPC10" s="108"/>
      <c r="VPD10" s="108"/>
      <c r="VPE10" s="108"/>
      <c r="VPF10" s="108"/>
      <c r="VPG10" s="108"/>
      <c r="VPH10" s="108"/>
      <c r="VPI10" s="108"/>
      <c r="VPJ10" s="108"/>
      <c r="VPK10" s="108"/>
      <c r="VPL10" s="108"/>
      <c r="VPM10" s="108"/>
      <c r="VPN10" s="108"/>
      <c r="VPO10" s="108"/>
      <c r="VPP10" s="108"/>
      <c r="VPQ10" s="108"/>
      <c r="VPR10" s="108"/>
      <c r="VPS10" s="108"/>
      <c r="VPT10" s="108"/>
      <c r="VPU10" s="108"/>
      <c r="VPV10" s="108"/>
      <c r="VPW10" s="108"/>
      <c r="VPX10" s="108"/>
      <c r="VPY10" s="108"/>
      <c r="VPZ10" s="108"/>
      <c r="VQA10" s="108"/>
      <c r="VQB10" s="108"/>
      <c r="VQC10" s="108"/>
      <c r="VQD10" s="108"/>
      <c r="VQE10" s="108"/>
      <c r="VQF10" s="108"/>
      <c r="VQG10" s="108"/>
      <c r="VQH10" s="108"/>
      <c r="VQI10" s="108"/>
      <c r="VQJ10" s="108"/>
      <c r="VQK10" s="108"/>
      <c r="VQL10" s="108"/>
      <c r="VQM10" s="108"/>
      <c r="VQN10" s="108"/>
      <c r="VQO10" s="108"/>
      <c r="VQP10" s="108"/>
      <c r="VQQ10" s="108"/>
      <c r="VQR10" s="108"/>
      <c r="VQS10" s="108"/>
      <c r="VQT10" s="108"/>
      <c r="VQU10" s="108"/>
      <c r="VQV10" s="108"/>
      <c r="VQW10" s="108"/>
      <c r="VQX10" s="108"/>
      <c r="VQY10" s="108"/>
      <c r="VQZ10" s="108"/>
      <c r="VRA10" s="108"/>
      <c r="VRB10" s="108"/>
      <c r="VRC10" s="108"/>
      <c r="VRD10" s="108"/>
      <c r="VRE10" s="108"/>
      <c r="VRF10" s="108"/>
      <c r="VRG10" s="108"/>
      <c r="VRH10" s="108"/>
      <c r="VRI10" s="108"/>
      <c r="VRJ10" s="108"/>
      <c r="VRK10" s="108"/>
      <c r="VRL10" s="108"/>
      <c r="VRM10" s="108"/>
      <c r="VRN10" s="108"/>
      <c r="VRO10" s="108"/>
      <c r="VRP10" s="108"/>
      <c r="VRQ10" s="108"/>
      <c r="VRR10" s="108"/>
      <c r="VRS10" s="108"/>
      <c r="VRT10" s="108"/>
      <c r="VRU10" s="108"/>
      <c r="VRV10" s="108"/>
      <c r="VRW10" s="108"/>
      <c r="VRX10" s="108"/>
      <c r="VRY10" s="108"/>
      <c r="VRZ10" s="108"/>
      <c r="VSA10" s="108"/>
      <c r="VSB10" s="108"/>
      <c r="VSC10" s="108"/>
      <c r="VSD10" s="108"/>
      <c r="VSE10" s="108"/>
      <c r="VSF10" s="108"/>
      <c r="VSG10" s="108"/>
      <c r="VSH10" s="108"/>
      <c r="VSI10" s="108"/>
      <c r="VSJ10" s="108"/>
      <c r="VSK10" s="108"/>
      <c r="VSL10" s="108"/>
      <c r="VSM10" s="108"/>
      <c r="VSN10" s="108"/>
      <c r="VSO10" s="108"/>
      <c r="VSP10" s="108"/>
      <c r="VSQ10" s="108"/>
      <c r="VSR10" s="108"/>
      <c r="VSS10" s="108"/>
      <c r="VST10" s="108"/>
      <c r="VSU10" s="108"/>
      <c r="VSV10" s="108"/>
      <c r="VSW10" s="108"/>
      <c r="VSX10" s="108"/>
      <c r="VSY10" s="108"/>
      <c r="VSZ10" s="108"/>
      <c r="VTA10" s="108"/>
      <c r="VTB10" s="108"/>
      <c r="VTC10" s="108"/>
      <c r="VTD10" s="108"/>
      <c r="VTE10" s="108"/>
      <c r="VTF10" s="108"/>
      <c r="VTG10" s="108"/>
      <c r="VTH10" s="108"/>
      <c r="VTI10" s="108"/>
      <c r="VTJ10" s="108"/>
      <c r="VTK10" s="108"/>
      <c r="VTL10" s="108"/>
      <c r="VTM10" s="108"/>
      <c r="VTN10" s="108"/>
      <c r="VTO10" s="108"/>
      <c r="VTP10" s="108"/>
      <c r="VTQ10" s="108"/>
      <c r="VTR10" s="108"/>
      <c r="VTS10" s="108"/>
      <c r="VTT10" s="108"/>
      <c r="VTU10" s="108"/>
      <c r="VTV10" s="108"/>
      <c r="VTW10" s="108"/>
      <c r="VTX10" s="108"/>
      <c r="VTY10" s="108"/>
      <c r="VTZ10" s="108"/>
      <c r="VUA10" s="108"/>
      <c r="VUB10" s="108"/>
      <c r="VUC10" s="108"/>
      <c r="VUD10" s="108"/>
      <c r="VUE10" s="108"/>
      <c r="VUF10" s="108"/>
      <c r="VUG10" s="108"/>
      <c r="VUH10" s="108"/>
      <c r="VUI10" s="108"/>
      <c r="VUJ10" s="108"/>
      <c r="VUK10" s="108"/>
      <c r="VUL10" s="108"/>
      <c r="VUM10" s="108"/>
      <c r="VUN10" s="108"/>
      <c r="VUO10" s="108"/>
      <c r="VUP10" s="108"/>
      <c r="VUQ10" s="108"/>
      <c r="VUR10" s="108"/>
      <c r="VUS10" s="108"/>
      <c r="VUT10" s="108"/>
      <c r="VUU10" s="108"/>
      <c r="VUV10" s="108"/>
      <c r="VUW10" s="108"/>
      <c r="VUX10" s="108"/>
      <c r="VUY10" s="108"/>
      <c r="VUZ10" s="108"/>
      <c r="VVA10" s="108"/>
      <c r="VVB10" s="108"/>
      <c r="VVC10" s="108"/>
      <c r="VVD10" s="108"/>
      <c r="VVE10" s="108"/>
      <c r="VVF10" s="108"/>
      <c r="VVG10" s="108"/>
      <c r="VVH10" s="108"/>
      <c r="VVI10" s="108"/>
      <c r="VVJ10" s="108"/>
      <c r="VVK10" s="108"/>
      <c r="VVL10" s="108"/>
      <c r="VVM10" s="108"/>
      <c r="VVN10" s="108"/>
      <c r="VVO10" s="108"/>
      <c r="VVP10" s="108"/>
      <c r="VVQ10" s="108"/>
      <c r="VVR10" s="108"/>
      <c r="VVS10" s="108"/>
      <c r="VVT10" s="108"/>
      <c r="VVU10" s="108"/>
      <c r="VVV10" s="108"/>
      <c r="VVW10" s="108"/>
      <c r="VVX10" s="108"/>
      <c r="VVY10" s="108"/>
      <c r="VVZ10" s="108"/>
      <c r="VWA10" s="108"/>
      <c r="VWB10" s="108"/>
      <c r="VWC10" s="108"/>
      <c r="VWD10" s="108"/>
      <c r="VWE10" s="108"/>
      <c r="VWF10" s="108"/>
      <c r="VWG10" s="108"/>
      <c r="VWH10" s="108"/>
      <c r="VWI10" s="108"/>
      <c r="VWJ10" s="108"/>
      <c r="VWK10" s="108"/>
      <c r="VWL10" s="108"/>
      <c r="VWM10" s="108"/>
      <c r="VWN10" s="108"/>
      <c r="VWO10" s="108"/>
      <c r="VWP10" s="108"/>
      <c r="VWQ10" s="108"/>
      <c r="VWR10" s="108"/>
      <c r="VWS10" s="108"/>
      <c r="VWT10" s="108"/>
      <c r="VWU10" s="108"/>
      <c r="VWV10" s="108"/>
      <c r="VWW10" s="108"/>
      <c r="VWX10" s="108"/>
      <c r="VWY10" s="108"/>
      <c r="VWZ10" s="108"/>
      <c r="VXA10" s="108"/>
      <c r="VXB10" s="108"/>
      <c r="VXC10" s="108"/>
      <c r="VXD10" s="108"/>
      <c r="VXE10" s="108"/>
      <c r="VXF10" s="108"/>
      <c r="VXG10" s="108"/>
      <c r="VXH10" s="108"/>
      <c r="VXI10" s="108"/>
      <c r="VXJ10" s="108"/>
      <c r="VXK10" s="108"/>
      <c r="VXL10" s="108"/>
      <c r="VXM10" s="108"/>
      <c r="VXN10" s="108"/>
      <c r="VXO10" s="108"/>
      <c r="VXP10" s="108"/>
      <c r="VXQ10" s="108"/>
      <c r="VXR10" s="108"/>
      <c r="VXS10" s="108"/>
      <c r="VXT10" s="108"/>
      <c r="VXU10" s="108"/>
      <c r="VXV10" s="108"/>
      <c r="VXW10" s="108"/>
      <c r="VXX10" s="108"/>
      <c r="VXY10" s="108"/>
      <c r="VXZ10" s="108"/>
      <c r="VYA10" s="108"/>
      <c r="VYB10" s="108"/>
      <c r="VYC10" s="108"/>
      <c r="VYD10" s="108"/>
      <c r="VYE10" s="108"/>
      <c r="VYF10" s="108"/>
      <c r="VYG10" s="108"/>
      <c r="VYH10" s="108"/>
      <c r="VYI10" s="108"/>
      <c r="VYJ10" s="108"/>
      <c r="VYK10" s="108"/>
      <c r="VYL10" s="108"/>
      <c r="VYM10" s="108"/>
      <c r="VYN10" s="108"/>
      <c r="VYO10" s="108"/>
      <c r="VYP10" s="108"/>
      <c r="VYQ10" s="108"/>
      <c r="VYR10" s="108"/>
      <c r="VYS10" s="108"/>
      <c r="VYT10" s="108"/>
      <c r="VYU10" s="108"/>
      <c r="VYV10" s="108"/>
      <c r="VYW10" s="108"/>
      <c r="VYX10" s="108"/>
      <c r="VYY10" s="108"/>
      <c r="VYZ10" s="108"/>
      <c r="VZA10" s="108"/>
      <c r="VZB10" s="108"/>
      <c r="VZC10" s="108"/>
      <c r="VZD10" s="108"/>
      <c r="VZE10" s="108"/>
      <c r="VZF10" s="108"/>
      <c r="VZG10" s="108"/>
      <c r="VZH10" s="108"/>
      <c r="VZI10" s="108"/>
      <c r="VZJ10" s="108"/>
      <c r="VZK10" s="108"/>
      <c r="VZL10" s="108"/>
      <c r="VZM10" s="108"/>
      <c r="VZN10" s="108"/>
      <c r="VZO10" s="108"/>
      <c r="VZP10" s="108"/>
      <c r="VZQ10" s="108"/>
      <c r="VZR10" s="108"/>
      <c r="VZS10" s="108"/>
      <c r="VZT10" s="108"/>
      <c r="VZU10" s="108"/>
      <c r="VZV10" s="108"/>
      <c r="VZW10" s="108"/>
      <c r="VZX10" s="108"/>
      <c r="VZY10" s="108"/>
      <c r="VZZ10" s="108"/>
      <c r="WAA10" s="108"/>
      <c r="WAB10" s="108"/>
      <c r="WAC10" s="108"/>
      <c r="WAD10" s="108"/>
      <c r="WAE10" s="108"/>
      <c r="WAF10" s="108"/>
      <c r="WAG10" s="108"/>
      <c r="WAH10" s="108"/>
      <c r="WAI10" s="108"/>
      <c r="WAJ10" s="108"/>
      <c r="WAK10" s="108"/>
      <c r="WAL10" s="108"/>
      <c r="WAM10" s="108"/>
      <c r="WAN10" s="108"/>
      <c r="WAO10" s="108"/>
      <c r="WAP10" s="108"/>
      <c r="WAQ10" s="108"/>
      <c r="WAR10" s="108"/>
      <c r="WAS10" s="108"/>
      <c r="WAT10" s="108"/>
      <c r="WAU10" s="108"/>
      <c r="WAV10" s="108"/>
      <c r="WAW10" s="108"/>
      <c r="WAX10" s="108"/>
      <c r="WAY10" s="108"/>
      <c r="WAZ10" s="108"/>
      <c r="WBA10" s="108"/>
      <c r="WBB10" s="108"/>
      <c r="WBC10" s="108"/>
      <c r="WBD10" s="108"/>
      <c r="WBE10" s="108"/>
      <c r="WBF10" s="108"/>
      <c r="WBG10" s="108"/>
      <c r="WBH10" s="108"/>
      <c r="WBI10" s="108"/>
      <c r="WBJ10" s="108"/>
      <c r="WBK10" s="108"/>
      <c r="WBL10" s="108"/>
      <c r="WBM10" s="108"/>
      <c r="WBN10" s="108"/>
      <c r="WBO10" s="108"/>
      <c r="WBP10" s="108"/>
      <c r="WBQ10" s="108"/>
      <c r="WBR10" s="108"/>
      <c r="WBS10" s="108"/>
      <c r="WBT10" s="108"/>
      <c r="WBU10" s="108"/>
      <c r="WBV10" s="108"/>
      <c r="WBW10" s="108"/>
      <c r="WBX10" s="108"/>
      <c r="WBY10" s="108"/>
      <c r="WBZ10" s="108"/>
      <c r="WCA10" s="108"/>
      <c r="WCB10" s="108"/>
      <c r="WCC10" s="108"/>
      <c r="WCD10" s="108"/>
      <c r="WCE10" s="108"/>
      <c r="WCF10" s="108"/>
      <c r="WCG10" s="108"/>
      <c r="WCH10" s="108"/>
      <c r="WCI10" s="108"/>
      <c r="WCJ10" s="108"/>
      <c r="WCK10" s="108"/>
      <c r="WCL10" s="108"/>
      <c r="WCM10" s="108"/>
      <c r="WCN10" s="108"/>
      <c r="WCO10" s="108"/>
      <c r="WCP10" s="108"/>
      <c r="WCQ10" s="108"/>
      <c r="WCR10" s="108"/>
      <c r="WCS10" s="108"/>
      <c r="WCT10" s="108"/>
      <c r="WCU10" s="108"/>
      <c r="WCV10" s="108"/>
      <c r="WCW10" s="108"/>
      <c r="WCX10" s="108"/>
      <c r="WCY10" s="108"/>
      <c r="WCZ10" s="108"/>
      <c r="WDA10" s="108"/>
      <c r="WDB10" s="108"/>
      <c r="WDC10" s="108"/>
      <c r="WDD10" s="108"/>
      <c r="WDE10" s="108"/>
      <c r="WDF10" s="108"/>
      <c r="WDG10" s="108"/>
      <c r="WDH10" s="108"/>
      <c r="WDI10" s="108"/>
      <c r="WDJ10" s="108"/>
      <c r="WDK10" s="108"/>
      <c r="WDL10" s="108"/>
      <c r="WDM10" s="108"/>
      <c r="WDN10" s="108"/>
      <c r="WDO10" s="108"/>
      <c r="WDP10" s="108"/>
      <c r="WDQ10" s="108"/>
      <c r="WDR10" s="108"/>
      <c r="WDS10" s="108"/>
      <c r="WDT10" s="108"/>
      <c r="WDU10" s="108"/>
      <c r="WDV10" s="108"/>
      <c r="WDW10" s="108"/>
      <c r="WDX10" s="108"/>
      <c r="WDY10" s="108"/>
      <c r="WDZ10" s="108"/>
      <c r="WEA10" s="108"/>
      <c r="WEB10" s="108"/>
      <c r="WEC10" s="108"/>
      <c r="WED10" s="108"/>
      <c r="WEE10" s="108"/>
      <c r="WEF10" s="108"/>
      <c r="WEG10" s="108"/>
      <c r="WEH10" s="108"/>
      <c r="WEI10" s="108"/>
      <c r="WEJ10" s="108"/>
      <c r="WEK10" s="108"/>
      <c r="WEL10" s="108"/>
      <c r="WEM10" s="108"/>
      <c r="WEN10" s="108"/>
      <c r="WEO10" s="108"/>
      <c r="WEP10" s="108"/>
      <c r="WEQ10" s="108"/>
      <c r="WER10" s="108"/>
      <c r="WES10" s="108"/>
      <c r="WET10" s="108"/>
      <c r="WEU10" s="108"/>
      <c r="WEV10" s="108"/>
      <c r="WEW10" s="108"/>
      <c r="WEX10" s="108"/>
      <c r="WEY10" s="108"/>
      <c r="WEZ10" s="108"/>
      <c r="WFA10" s="108"/>
      <c r="WFB10" s="108"/>
      <c r="WFC10" s="108"/>
      <c r="WFD10" s="108"/>
      <c r="WFE10" s="108"/>
      <c r="WFF10" s="108"/>
      <c r="WFG10" s="108"/>
      <c r="WFH10" s="108"/>
      <c r="WFI10" s="108"/>
      <c r="WFJ10" s="108"/>
      <c r="WFK10" s="108"/>
      <c r="WFL10" s="108"/>
      <c r="WFM10" s="108"/>
      <c r="WFN10" s="108"/>
      <c r="WFO10" s="108"/>
      <c r="WFP10" s="108"/>
      <c r="WFQ10" s="108"/>
      <c r="WFR10" s="108"/>
      <c r="WFS10" s="108"/>
      <c r="WFT10" s="108"/>
      <c r="WFU10" s="108"/>
      <c r="WFV10" s="108"/>
      <c r="WFW10" s="108"/>
      <c r="WFX10" s="108"/>
      <c r="WFY10" s="108"/>
      <c r="WFZ10" s="108"/>
      <c r="WGA10" s="108"/>
      <c r="WGB10" s="108"/>
      <c r="WGC10" s="108"/>
      <c r="WGD10" s="108"/>
      <c r="WGE10" s="108"/>
      <c r="WGF10" s="108"/>
      <c r="WGG10" s="108"/>
      <c r="WGH10" s="108"/>
      <c r="WGI10" s="108"/>
      <c r="WGJ10" s="108"/>
      <c r="WGK10" s="108"/>
      <c r="WGL10" s="108"/>
      <c r="WGM10" s="108"/>
      <c r="WGN10" s="108"/>
      <c r="WGO10" s="108"/>
      <c r="WGP10" s="108"/>
      <c r="WGQ10" s="108"/>
      <c r="WGR10" s="108"/>
      <c r="WGS10" s="108"/>
      <c r="WGT10" s="108"/>
      <c r="WGU10" s="108"/>
      <c r="WGV10" s="108"/>
      <c r="WGW10" s="108"/>
      <c r="WGX10" s="108"/>
      <c r="WGY10" s="108"/>
      <c r="WGZ10" s="108"/>
      <c r="WHA10" s="108"/>
      <c r="WHB10" s="108"/>
      <c r="WHC10" s="108"/>
      <c r="WHD10" s="108"/>
      <c r="WHE10" s="108"/>
      <c r="WHF10" s="108"/>
      <c r="WHG10" s="108"/>
      <c r="WHH10" s="108"/>
      <c r="WHI10" s="108"/>
      <c r="WHJ10" s="108"/>
      <c r="WHK10" s="108"/>
      <c r="WHL10" s="108"/>
      <c r="WHM10" s="108"/>
      <c r="WHN10" s="108"/>
      <c r="WHO10" s="108"/>
      <c r="WHP10" s="108"/>
      <c r="WHQ10" s="108"/>
      <c r="WHR10" s="108"/>
      <c r="WHS10" s="108"/>
      <c r="WHT10" s="108"/>
      <c r="WHU10" s="108"/>
      <c r="WHV10" s="108"/>
      <c r="WHW10" s="108"/>
      <c r="WHX10" s="108"/>
      <c r="WHY10" s="108"/>
      <c r="WHZ10" s="108"/>
      <c r="WIA10" s="108"/>
      <c r="WIB10" s="108"/>
      <c r="WIC10" s="108"/>
      <c r="WID10" s="108"/>
      <c r="WIE10" s="108"/>
      <c r="WIF10" s="108"/>
      <c r="WIG10" s="108"/>
      <c r="WIH10" s="108"/>
      <c r="WII10" s="108"/>
      <c r="WIJ10" s="108"/>
      <c r="WIK10" s="108"/>
      <c r="WIL10" s="108"/>
      <c r="WIM10" s="108"/>
      <c r="WIN10" s="108"/>
      <c r="WIO10" s="108"/>
      <c r="WIP10" s="108"/>
      <c r="WIQ10" s="108"/>
      <c r="WIR10" s="108"/>
      <c r="WIS10" s="108"/>
      <c r="WIT10" s="108"/>
      <c r="WIU10" s="108"/>
      <c r="WIV10" s="108"/>
      <c r="WIW10" s="108"/>
      <c r="WIX10" s="108"/>
      <c r="WIY10" s="108"/>
      <c r="WIZ10" s="108"/>
      <c r="WJA10" s="108"/>
      <c r="WJB10" s="108"/>
      <c r="WJC10" s="108"/>
      <c r="WJD10" s="108"/>
      <c r="WJE10" s="108"/>
      <c r="WJF10" s="108"/>
      <c r="WJG10" s="108"/>
      <c r="WJH10" s="108"/>
      <c r="WJI10" s="108"/>
      <c r="WJJ10" s="108"/>
      <c r="WJK10" s="108"/>
      <c r="WJL10" s="108"/>
      <c r="WJM10" s="108"/>
      <c r="WJN10" s="108"/>
      <c r="WJO10" s="108"/>
      <c r="WJP10" s="108"/>
      <c r="WJQ10" s="108"/>
      <c r="WJR10" s="108"/>
      <c r="WJS10" s="108"/>
      <c r="WJT10" s="108"/>
      <c r="WJU10" s="108"/>
      <c r="WJV10" s="108"/>
      <c r="WJW10" s="108"/>
      <c r="WJX10" s="108"/>
      <c r="WJY10" s="108"/>
      <c r="WJZ10" s="108"/>
      <c r="WKA10" s="108"/>
      <c r="WKB10" s="108"/>
      <c r="WKC10" s="108"/>
      <c r="WKD10" s="108"/>
      <c r="WKE10" s="108"/>
      <c r="WKF10" s="108"/>
      <c r="WKG10" s="108"/>
      <c r="WKH10" s="108"/>
      <c r="WKI10" s="108"/>
      <c r="WKJ10" s="108"/>
      <c r="WKK10" s="108"/>
      <c r="WKL10" s="108"/>
      <c r="WKM10" s="108"/>
      <c r="WKN10" s="108"/>
      <c r="WKO10" s="108"/>
      <c r="WKP10" s="108"/>
      <c r="WKQ10" s="108"/>
      <c r="WKR10" s="108"/>
      <c r="WKS10" s="108"/>
      <c r="WKT10" s="108"/>
      <c r="WKU10" s="108"/>
      <c r="WKV10" s="108"/>
      <c r="WKW10" s="108"/>
      <c r="WKX10" s="108"/>
      <c r="WKY10" s="108"/>
      <c r="WKZ10" s="108"/>
      <c r="WLA10" s="108"/>
      <c r="WLB10" s="108"/>
      <c r="WLC10" s="108"/>
      <c r="WLD10" s="108"/>
      <c r="WLE10" s="108"/>
      <c r="WLF10" s="108"/>
      <c r="WLG10" s="108"/>
      <c r="WLH10" s="108"/>
      <c r="WLI10" s="108"/>
      <c r="WLJ10" s="108"/>
      <c r="WLK10" s="108"/>
      <c r="WLL10" s="108"/>
      <c r="WLM10" s="108"/>
      <c r="WLN10" s="108"/>
      <c r="WLO10" s="108"/>
      <c r="WLP10" s="108"/>
      <c r="WLQ10" s="108"/>
      <c r="WLR10" s="108"/>
      <c r="WLS10" s="108"/>
      <c r="WLT10" s="108"/>
      <c r="WLU10" s="108"/>
      <c r="WLV10" s="108"/>
      <c r="WLW10" s="108"/>
      <c r="WLX10" s="108"/>
      <c r="WLY10" s="108"/>
      <c r="WLZ10" s="108"/>
      <c r="WMA10" s="108"/>
      <c r="WMB10" s="108"/>
      <c r="WMC10" s="108"/>
      <c r="WMD10" s="108"/>
      <c r="WME10" s="108"/>
      <c r="WMF10" s="108"/>
      <c r="WMG10" s="108"/>
      <c r="WMH10" s="108"/>
      <c r="WMI10" s="108"/>
      <c r="WMJ10" s="108"/>
      <c r="WMK10" s="108"/>
      <c r="WML10" s="108"/>
      <c r="WMM10" s="108"/>
      <c r="WMN10" s="108"/>
      <c r="WMO10" s="108"/>
      <c r="WMP10" s="108"/>
      <c r="WMQ10" s="108"/>
      <c r="WMR10" s="108"/>
      <c r="WMS10" s="108"/>
      <c r="WMT10" s="108"/>
      <c r="WMU10" s="108"/>
      <c r="WMV10" s="108"/>
      <c r="WMW10" s="108"/>
      <c r="WMX10" s="108"/>
      <c r="WMY10" s="108"/>
      <c r="WMZ10" s="108"/>
      <c r="WNA10" s="108"/>
      <c r="WNB10" s="108"/>
      <c r="WNC10" s="108"/>
      <c r="WND10" s="108"/>
      <c r="WNE10" s="108"/>
      <c r="WNF10" s="108"/>
      <c r="WNG10" s="108"/>
      <c r="WNH10" s="108"/>
      <c r="WNI10" s="108"/>
      <c r="WNJ10" s="108"/>
      <c r="WNK10" s="108"/>
      <c r="WNL10" s="108"/>
      <c r="WNM10" s="108"/>
      <c r="WNN10" s="108"/>
      <c r="WNO10" s="108"/>
      <c r="WNP10" s="108"/>
      <c r="WNQ10" s="108"/>
      <c r="WNR10" s="108"/>
      <c r="WNS10" s="108"/>
      <c r="WNT10" s="108"/>
      <c r="WNU10" s="108"/>
      <c r="WNV10" s="108"/>
      <c r="WNW10" s="108"/>
      <c r="WNX10" s="108"/>
      <c r="WNY10" s="108"/>
      <c r="WNZ10" s="108"/>
      <c r="WOA10" s="108"/>
      <c r="WOB10" s="108"/>
      <c r="WOC10" s="108"/>
      <c r="WOD10" s="108"/>
      <c r="WOE10" s="108"/>
      <c r="WOF10" s="108"/>
      <c r="WOG10" s="108"/>
      <c r="WOH10" s="108"/>
      <c r="WOI10" s="108"/>
      <c r="WOJ10" s="108"/>
      <c r="WOK10" s="108"/>
      <c r="WOL10" s="108"/>
      <c r="WOM10" s="108"/>
      <c r="WON10" s="108"/>
      <c r="WOO10" s="108"/>
      <c r="WOP10" s="108"/>
      <c r="WOQ10" s="108"/>
      <c r="WOR10" s="108"/>
      <c r="WOS10" s="108"/>
      <c r="WOT10" s="108"/>
      <c r="WOU10" s="108"/>
      <c r="WOV10" s="108"/>
      <c r="WOW10" s="108"/>
      <c r="WOX10" s="108"/>
      <c r="WOY10" s="108"/>
      <c r="WOZ10" s="108"/>
      <c r="WPA10" s="108"/>
      <c r="WPB10" s="108"/>
      <c r="WPC10" s="108"/>
      <c r="WPD10" s="108"/>
      <c r="WPE10" s="108"/>
      <c r="WPF10" s="108"/>
      <c r="WPG10" s="108"/>
      <c r="WPH10" s="108"/>
      <c r="WPI10" s="108"/>
      <c r="WPJ10" s="108"/>
      <c r="WPK10" s="108"/>
      <c r="WPL10" s="108"/>
      <c r="WPM10" s="108"/>
      <c r="WPN10" s="108"/>
      <c r="WPO10" s="108"/>
      <c r="WPP10" s="108"/>
      <c r="WPQ10" s="108"/>
      <c r="WPR10" s="108"/>
      <c r="WPS10" s="108"/>
      <c r="WPT10" s="108"/>
      <c r="WPU10" s="108"/>
      <c r="WPV10" s="108"/>
      <c r="WPW10" s="108"/>
      <c r="WPX10" s="108"/>
      <c r="WPY10" s="108"/>
      <c r="WPZ10" s="108"/>
      <c r="WQA10" s="108"/>
      <c r="WQB10" s="108"/>
      <c r="WQC10" s="108"/>
      <c r="WQD10" s="108"/>
      <c r="WQE10" s="108"/>
      <c r="WQF10" s="108"/>
      <c r="WQG10" s="108"/>
      <c r="WQH10" s="108"/>
      <c r="WQI10" s="108"/>
      <c r="WQJ10" s="108"/>
      <c r="WQK10" s="108"/>
      <c r="WQL10" s="108"/>
      <c r="WQM10" s="108"/>
      <c r="WQN10" s="108"/>
      <c r="WQO10" s="108"/>
      <c r="WQP10" s="108"/>
      <c r="WQQ10" s="108"/>
      <c r="WQR10" s="108"/>
      <c r="WQS10" s="108"/>
      <c r="WQT10" s="108"/>
      <c r="WQU10" s="108"/>
      <c r="WQV10" s="108"/>
      <c r="WQW10" s="108"/>
      <c r="WQX10" s="108"/>
      <c r="WQY10" s="108"/>
      <c r="WQZ10" s="108"/>
      <c r="WRA10" s="108"/>
      <c r="WRB10" s="108"/>
      <c r="WRC10" s="108"/>
      <c r="WRD10" s="108"/>
      <c r="WRE10" s="108"/>
      <c r="WRF10" s="108"/>
      <c r="WRG10" s="108"/>
      <c r="WRH10" s="108"/>
      <c r="WRI10" s="108"/>
      <c r="WRJ10" s="108"/>
      <c r="WRK10" s="108"/>
      <c r="WRL10" s="108"/>
      <c r="WRM10" s="108"/>
      <c r="WRN10" s="108"/>
      <c r="WRO10" s="108"/>
      <c r="WRP10" s="108"/>
      <c r="WRQ10" s="108"/>
      <c r="WRR10" s="108"/>
      <c r="WRS10" s="108"/>
      <c r="WRT10" s="108"/>
      <c r="WRU10" s="108"/>
      <c r="WRV10" s="108"/>
      <c r="WRW10" s="108"/>
      <c r="WRX10" s="108"/>
      <c r="WRY10" s="108"/>
      <c r="WRZ10" s="108"/>
      <c r="WSA10" s="108"/>
      <c r="WSB10" s="108"/>
      <c r="WSC10" s="108"/>
      <c r="WSD10" s="108"/>
      <c r="WSE10" s="108"/>
      <c r="WSF10" s="108"/>
      <c r="WSG10" s="108"/>
      <c r="WSH10" s="108"/>
      <c r="WSI10" s="108"/>
      <c r="WSJ10" s="108"/>
      <c r="WSK10" s="108"/>
      <c r="WSL10" s="108"/>
      <c r="WSM10" s="108"/>
      <c r="WSN10" s="108"/>
      <c r="WSO10" s="108"/>
      <c r="WSP10" s="108"/>
      <c r="WSQ10" s="108"/>
      <c r="WSR10" s="108"/>
      <c r="WSS10" s="108"/>
      <c r="WST10" s="108"/>
      <c r="WSU10" s="108"/>
      <c r="WSV10" s="108"/>
      <c r="WSW10" s="108"/>
      <c r="WSX10" s="108"/>
      <c r="WSY10" s="108"/>
      <c r="WSZ10" s="108"/>
      <c r="WTA10" s="108"/>
      <c r="WTB10" s="108"/>
      <c r="WTC10" s="108"/>
      <c r="WTD10" s="108"/>
      <c r="WTE10" s="108"/>
      <c r="WTF10" s="108"/>
      <c r="WTG10" s="108"/>
      <c r="WTH10" s="108"/>
      <c r="WTI10" s="108"/>
      <c r="WTJ10" s="108"/>
      <c r="WTK10" s="108"/>
      <c r="WTL10" s="108"/>
      <c r="WTM10" s="108"/>
      <c r="WTN10" s="108"/>
      <c r="WTO10" s="108"/>
      <c r="WTP10" s="108"/>
      <c r="WTQ10" s="108"/>
      <c r="WTR10" s="108"/>
      <c r="WTS10" s="108"/>
      <c r="WTT10" s="108"/>
      <c r="WTU10" s="108"/>
      <c r="WTV10" s="108"/>
      <c r="WTW10" s="108"/>
      <c r="WTX10" s="108"/>
      <c r="WTY10" s="108"/>
      <c r="WTZ10" s="108"/>
      <c r="WUA10" s="108"/>
      <c r="WUB10" s="108"/>
      <c r="WUC10" s="108"/>
      <c r="WUD10" s="108"/>
      <c r="WUE10" s="108"/>
      <c r="WUF10" s="108"/>
      <c r="WUG10" s="108"/>
      <c r="WUH10" s="108"/>
      <c r="WUI10" s="108"/>
      <c r="WUJ10" s="108"/>
      <c r="WUK10" s="108"/>
      <c r="WUL10" s="108"/>
      <c r="WUM10" s="108"/>
      <c r="WUN10" s="108"/>
      <c r="WUO10" s="108"/>
      <c r="WUP10" s="108"/>
      <c r="WUQ10" s="108"/>
      <c r="WUR10" s="108"/>
      <c r="WUS10" s="108"/>
      <c r="WUT10" s="108"/>
      <c r="WUU10" s="108"/>
      <c r="WUV10" s="108"/>
      <c r="WUW10" s="108"/>
      <c r="WUX10" s="108"/>
      <c r="WUY10" s="108"/>
      <c r="WUZ10" s="108"/>
      <c r="WVA10" s="108"/>
      <c r="WVB10" s="108"/>
      <c r="WVC10" s="108"/>
      <c r="WVD10" s="108"/>
      <c r="WVE10" s="108"/>
      <c r="WVF10" s="108"/>
      <c r="WVG10" s="108"/>
      <c r="WVH10" s="108"/>
      <c r="WVI10" s="108"/>
      <c r="WVJ10" s="108"/>
      <c r="WVK10" s="108"/>
      <c r="WVL10" s="108"/>
      <c r="WVM10" s="108"/>
      <c r="WVN10" s="108"/>
      <c r="WVO10" s="108"/>
      <c r="WVP10" s="108"/>
      <c r="WVQ10" s="108"/>
      <c r="WVR10" s="108"/>
      <c r="WVS10" s="108"/>
      <c r="WVT10" s="108"/>
      <c r="WVU10" s="108"/>
      <c r="WVV10" s="108"/>
      <c r="WVW10" s="108"/>
      <c r="WVX10" s="108"/>
      <c r="WVY10" s="108"/>
      <c r="WVZ10" s="108"/>
      <c r="WWA10" s="108"/>
      <c r="WWB10" s="108"/>
      <c r="WWC10" s="108"/>
      <c r="WWD10" s="108"/>
      <c r="WWE10" s="108"/>
      <c r="WWF10" s="108"/>
      <c r="WWG10" s="108"/>
      <c r="WWH10" s="108"/>
      <c r="WWI10" s="108"/>
      <c r="WWJ10" s="108"/>
      <c r="WWK10" s="108"/>
      <c r="WWL10" s="108"/>
      <c r="WWM10" s="108"/>
      <c r="WWN10" s="108"/>
      <c r="WWO10" s="108"/>
      <c r="WWP10" s="108"/>
      <c r="WWQ10" s="108"/>
      <c r="WWR10" s="108"/>
      <c r="WWS10" s="108"/>
      <c r="WWT10" s="108"/>
      <c r="WWU10" s="108"/>
      <c r="WWV10" s="108"/>
      <c r="WWW10" s="108"/>
      <c r="WWX10" s="108"/>
      <c r="WWY10" s="108"/>
      <c r="WWZ10" s="108"/>
      <c r="WXA10" s="108"/>
      <c r="WXB10" s="108"/>
      <c r="WXC10" s="108"/>
      <c r="WXD10" s="108"/>
      <c r="WXE10" s="108"/>
      <c r="WXF10" s="108"/>
      <c r="WXG10" s="108"/>
      <c r="WXH10" s="108"/>
      <c r="WXI10" s="108"/>
      <c r="WXJ10" s="108"/>
      <c r="WXK10" s="108"/>
      <c r="WXL10" s="108"/>
      <c r="WXM10" s="108"/>
      <c r="WXN10" s="108"/>
      <c r="WXO10" s="108"/>
      <c r="WXP10" s="108"/>
      <c r="WXQ10" s="108"/>
      <c r="WXR10" s="108"/>
      <c r="WXS10" s="108"/>
      <c r="WXT10" s="108"/>
      <c r="WXU10" s="108"/>
      <c r="WXV10" s="108"/>
      <c r="WXW10" s="108"/>
      <c r="WXX10" s="108"/>
      <c r="WXY10" s="108"/>
      <c r="WXZ10" s="108"/>
      <c r="WYA10" s="108"/>
      <c r="WYB10" s="108"/>
      <c r="WYC10" s="108"/>
      <c r="WYD10" s="108"/>
      <c r="WYE10" s="108"/>
      <c r="WYF10" s="108"/>
      <c r="WYG10" s="108"/>
      <c r="WYH10" s="108"/>
      <c r="WYI10" s="108"/>
      <c r="WYJ10" s="108"/>
      <c r="WYK10" s="108"/>
      <c r="WYL10" s="108"/>
      <c r="WYM10" s="108"/>
      <c r="WYN10" s="108"/>
      <c r="WYO10" s="108"/>
      <c r="WYP10" s="108"/>
      <c r="WYQ10" s="108"/>
      <c r="WYR10" s="108"/>
      <c r="WYS10" s="108"/>
      <c r="WYT10" s="108"/>
      <c r="WYU10" s="108"/>
      <c r="WYV10" s="108"/>
      <c r="WYW10" s="108"/>
      <c r="WYX10" s="108"/>
      <c r="WYY10" s="108"/>
      <c r="WYZ10" s="108"/>
      <c r="WZA10" s="108"/>
      <c r="WZB10" s="108"/>
      <c r="WZC10" s="108"/>
      <c r="WZD10" s="108"/>
      <c r="WZE10" s="108"/>
      <c r="WZF10" s="108"/>
      <c r="WZG10" s="108"/>
      <c r="WZH10" s="108"/>
      <c r="WZI10" s="108"/>
      <c r="WZJ10" s="108"/>
      <c r="WZK10" s="108"/>
      <c r="WZL10" s="108"/>
      <c r="WZM10" s="108"/>
      <c r="WZN10" s="108"/>
      <c r="WZO10" s="108"/>
      <c r="WZP10" s="108"/>
      <c r="WZQ10" s="108"/>
      <c r="WZR10" s="108"/>
      <c r="WZS10" s="108"/>
      <c r="WZT10" s="108"/>
      <c r="WZU10" s="108"/>
      <c r="WZV10" s="108"/>
      <c r="WZW10" s="108"/>
      <c r="WZX10" s="108"/>
      <c r="WZY10" s="108"/>
      <c r="WZZ10" s="108"/>
      <c r="XAA10" s="108"/>
      <c r="XAB10" s="108"/>
      <c r="XAC10" s="108"/>
      <c r="XAD10" s="108"/>
      <c r="XAE10" s="108"/>
      <c r="XAF10" s="108"/>
      <c r="XAG10" s="108"/>
      <c r="XAH10" s="108"/>
      <c r="XAI10" s="108"/>
      <c r="XAJ10" s="108"/>
      <c r="XAK10" s="108"/>
      <c r="XAL10" s="108"/>
      <c r="XAM10" s="108"/>
      <c r="XAN10" s="108"/>
      <c r="XAO10" s="108"/>
      <c r="XAP10" s="108"/>
      <c r="XAQ10" s="108"/>
      <c r="XAR10" s="108"/>
      <c r="XAS10" s="108"/>
      <c r="XAT10" s="108"/>
      <c r="XAU10" s="108"/>
      <c r="XAV10" s="108"/>
      <c r="XAW10" s="108"/>
      <c r="XAX10" s="108"/>
      <c r="XAY10" s="108"/>
      <c r="XAZ10" s="108"/>
      <c r="XBA10" s="108"/>
      <c r="XBB10" s="108"/>
      <c r="XBC10" s="108"/>
      <c r="XBD10" s="108"/>
      <c r="XBE10" s="108"/>
      <c r="XBF10" s="108"/>
      <c r="XBG10" s="108"/>
      <c r="XBH10" s="108"/>
      <c r="XBI10" s="108"/>
      <c r="XBJ10" s="108"/>
      <c r="XBK10" s="108"/>
      <c r="XBL10" s="108"/>
      <c r="XBM10" s="108"/>
      <c r="XBN10" s="108"/>
      <c r="XBO10" s="108"/>
      <c r="XBP10" s="108"/>
      <c r="XBQ10" s="108"/>
      <c r="XBR10" s="108"/>
      <c r="XBS10" s="108"/>
      <c r="XBT10" s="108"/>
      <c r="XBU10" s="108"/>
      <c r="XBV10" s="108"/>
      <c r="XBW10" s="108"/>
      <c r="XBX10" s="108"/>
      <c r="XBY10" s="108"/>
      <c r="XBZ10" s="108"/>
      <c r="XCA10" s="108"/>
      <c r="XCB10" s="108"/>
      <c r="XCC10" s="108"/>
      <c r="XCD10" s="108"/>
      <c r="XCE10" s="108"/>
      <c r="XCF10" s="108"/>
      <c r="XCG10" s="108"/>
      <c r="XCH10" s="108"/>
      <c r="XCI10" s="108"/>
      <c r="XCJ10" s="108"/>
      <c r="XCK10" s="108"/>
      <c r="XCL10" s="108"/>
      <c r="XCM10" s="108"/>
      <c r="XCN10" s="108"/>
      <c r="XCO10" s="108"/>
      <c r="XCP10" s="108"/>
      <c r="XCQ10" s="108"/>
      <c r="XCR10" s="108"/>
      <c r="XCS10" s="108"/>
      <c r="XCT10" s="108"/>
      <c r="XCU10" s="108"/>
      <c r="XCV10" s="108"/>
      <c r="XCW10" s="108"/>
      <c r="XCX10" s="108"/>
      <c r="XCY10" s="108"/>
      <c r="XCZ10" s="108"/>
      <c r="XDA10" s="108"/>
      <c r="XDB10" s="108"/>
      <c r="XDC10" s="108"/>
      <c r="XDD10" s="108"/>
      <c r="XDE10" s="108"/>
      <c r="XDF10" s="108"/>
      <c r="XDG10" s="108"/>
      <c r="XDH10" s="108"/>
      <c r="XDI10" s="108"/>
      <c r="XDJ10" s="108"/>
      <c r="XDK10" s="108"/>
      <c r="XDL10" s="108"/>
      <c r="XDM10" s="108"/>
      <c r="XDN10" s="108"/>
      <c r="XDO10" s="108"/>
      <c r="XDP10" s="108"/>
      <c r="XDQ10" s="108"/>
      <c r="XDR10" s="108"/>
      <c r="XDS10" s="108"/>
      <c r="XDT10" s="108"/>
      <c r="XDU10" s="108"/>
      <c r="XDV10" s="108"/>
      <c r="XDW10" s="108"/>
      <c r="XDX10" s="108"/>
      <c r="XDY10" s="108"/>
      <c r="XDZ10" s="108"/>
      <c r="XEA10" s="108"/>
      <c r="XEB10" s="108"/>
      <c r="XEC10" s="108"/>
      <c r="XED10" s="108"/>
      <c r="XEE10" s="108"/>
      <c r="XEF10" s="108"/>
      <c r="XEG10" s="108"/>
      <c r="XEH10" s="108"/>
      <c r="XEI10" s="108"/>
      <c r="XEJ10" s="108"/>
      <c r="XEK10" s="108"/>
      <c r="XEL10" s="108"/>
      <c r="XEM10" s="108"/>
      <c r="XEN10" s="108"/>
      <c r="XEO10" s="108"/>
      <c r="XEP10" s="108"/>
      <c r="XEQ10" s="108"/>
      <c r="XER10" s="108"/>
      <c r="XES10" s="108"/>
      <c r="XET10" s="108"/>
      <c r="XEU10" s="108"/>
      <c r="XEV10" s="108"/>
      <c r="XEW10" s="108"/>
      <c r="XEX10" s="108"/>
      <c r="XEY10" s="108"/>
      <c r="XEZ10" s="108"/>
      <c r="XFA10" s="108"/>
      <c r="XFB10" s="108"/>
      <c r="XFC10" s="108"/>
      <c r="XFD10" s="108"/>
    </row>
    <row r="11" spans="1:16384">
      <c r="A11" s="18"/>
      <c r="B11" s="18"/>
      <c r="C11" s="18"/>
      <c r="D11" s="18"/>
      <c r="E11" s="18"/>
      <c r="F11" s="18"/>
      <c r="G11" s="18"/>
      <c r="H11" s="18"/>
      <c r="I11" s="18"/>
      <c r="J11" s="18"/>
      <c r="K11" s="18"/>
      <c r="L11" s="18"/>
      <c r="M11" s="18"/>
      <c r="N11" s="18"/>
      <c r="O11" s="18"/>
      <c r="P11" s="18"/>
      <c r="Q11" s="18"/>
      <c r="R11" s="18"/>
      <c r="S11" s="18"/>
      <c r="T11" s="18"/>
      <c r="U11" s="18"/>
      <c r="V11" s="18"/>
      <c r="W11" s="18"/>
    </row>
    <row r="12" spans="1:16384">
      <c r="A12" s="18"/>
      <c r="B12" s="18"/>
      <c r="C12" s="18"/>
      <c r="D12" s="18"/>
      <c r="E12" s="18"/>
      <c r="F12" s="18"/>
      <c r="G12" s="18"/>
      <c r="H12" s="18"/>
      <c r="I12" s="18"/>
      <c r="J12" s="18"/>
      <c r="K12" s="18"/>
      <c r="L12" s="18"/>
      <c r="M12" s="18"/>
      <c r="N12" s="18"/>
      <c r="O12" s="18"/>
      <c r="P12" s="18"/>
      <c r="Q12" s="18"/>
      <c r="R12" s="18"/>
      <c r="S12" s="18"/>
      <c r="T12" s="18"/>
      <c r="U12" s="18"/>
      <c r="V12" s="18"/>
      <c r="W12" s="18"/>
    </row>
    <row r="13" spans="1:16384">
      <c r="A13" s="18"/>
      <c r="B13" s="18"/>
      <c r="C13" s="18"/>
      <c r="D13" s="18"/>
      <c r="E13" s="18"/>
      <c r="F13" s="18"/>
      <c r="G13" s="18"/>
      <c r="H13" s="18"/>
      <c r="I13" s="18"/>
      <c r="J13" s="18"/>
      <c r="K13" s="18"/>
      <c r="L13" s="18"/>
      <c r="M13" s="18"/>
      <c r="N13" s="18"/>
      <c r="O13" s="18"/>
      <c r="P13" s="18"/>
      <c r="Q13" s="18"/>
      <c r="R13" s="18"/>
      <c r="S13" s="18"/>
      <c r="T13" s="18"/>
      <c r="U13" s="18"/>
      <c r="V13" s="18"/>
      <c r="W13" s="18"/>
    </row>
    <row r="14" spans="1:16384">
      <c r="A14" s="18"/>
      <c r="B14" s="18"/>
      <c r="C14" s="18"/>
      <c r="D14" s="18"/>
      <c r="E14" s="18"/>
      <c r="F14" s="18"/>
      <c r="G14" s="18"/>
      <c r="H14" s="18"/>
      <c r="I14" s="18"/>
      <c r="J14" s="18"/>
      <c r="K14" s="18"/>
      <c r="L14" s="18"/>
      <c r="M14" s="18"/>
      <c r="N14" s="18"/>
      <c r="O14" s="18"/>
      <c r="P14" s="18"/>
      <c r="Q14" s="18"/>
      <c r="R14" s="18"/>
      <c r="S14" s="18"/>
      <c r="T14" s="18"/>
      <c r="U14" s="18"/>
      <c r="V14" s="18"/>
      <c r="W14" s="18"/>
    </row>
    <row r="15" spans="1:16384">
      <c r="A15" s="18"/>
      <c r="B15" s="18"/>
      <c r="C15" s="18"/>
      <c r="D15" s="18"/>
      <c r="E15" s="18"/>
      <c r="F15" s="18"/>
      <c r="G15" s="18"/>
      <c r="H15" s="18"/>
      <c r="I15" s="18"/>
      <c r="J15" s="18"/>
      <c r="K15" s="18"/>
      <c r="L15" s="18"/>
      <c r="M15" s="18"/>
      <c r="N15" s="18"/>
      <c r="O15" s="18"/>
      <c r="P15" s="18"/>
      <c r="Q15" s="18"/>
      <c r="R15" s="18"/>
      <c r="S15" s="18"/>
      <c r="T15" s="18"/>
      <c r="U15" s="18"/>
      <c r="V15" s="18"/>
      <c r="W15" s="18"/>
    </row>
    <row r="16" spans="1:16384">
      <c r="A16" s="18"/>
      <c r="B16" s="18"/>
      <c r="C16" s="18"/>
      <c r="D16" s="18"/>
      <c r="E16" s="18"/>
      <c r="F16" s="18"/>
      <c r="G16" s="18"/>
      <c r="H16" s="18"/>
      <c r="I16" s="18"/>
      <c r="J16" s="18"/>
      <c r="K16" s="18"/>
      <c r="L16" s="18"/>
      <c r="M16" s="18"/>
      <c r="N16" s="18"/>
      <c r="O16" s="18"/>
      <c r="P16" s="18"/>
      <c r="Q16" s="18"/>
      <c r="R16" s="18"/>
      <c r="S16" s="18"/>
      <c r="T16" s="18"/>
      <c r="U16" s="18"/>
      <c r="V16" s="18"/>
      <c r="W16" s="18"/>
    </row>
    <row r="17" spans="1:23">
      <c r="A17" s="18"/>
      <c r="B17" s="18"/>
      <c r="C17" s="18"/>
      <c r="D17" s="18"/>
      <c r="E17" s="18"/>
      <c r="F17" s="18"/>
      <c r="G17" s="18"/>
      <c r="H17" s="18"/>
      <c r="I17" s="18"/>
      <c r="J17" s="18"/>
      <c r="K17" s="18"/>
      <c r="L17" s="18"/>
      <c r="M17" s="18"/>
      <c r="N17" s="18"/>
      <c r="O17" s="18"/>
      <c r="P17" s="18"/>
      <c r="Q17" s="18"/>
      <c r="R17" s="18"/>
      <c r="S17" s="18"/>
      <c r="T17" s="18"/>
      <c r="U17" s="18"/>
      <c r="V17" s="18"/>
      <c r="W17" s="18"/>
    </row>
    <row r="18" spans="1:23">
      <c r="A18" s="18"/>
      <c r="B18" s="18"/>
      <c r="C18" s="18"/>
      <c r="D18" s="18"/>
      <c r="E18" s="18"/>
      <c r="F18" s="18"/>
      <c r="G18" s="18"/>
      <c r="H18" s="18"/>
      <c r="I18" s="18"/>
      <c r="J18" s="18"/>
      <c r="K18" s="18"/>
      <c r="L18" s="18"/>
      <c r="M18" s="18"/>
      <c r="N18" s="18"/>
      <c r="O18" s="18"/>
      <c r="P18" s="18"/>
      <c r="Q18" s="18"/>
      <c r="R18" s="18"/>
      <c r="S18" s="18"/>
      <c r="T18" s="18"/>
      <c r="U18" s="18"/>
      <c r="V18" s="18"/>
      <c r="W18" s="18"/>
    </row>
    <row r="19" spans="1:23">
      <c r="A19" s="18"/>
      <c r="B19" s="18"/>
      <c r="C19" s="18"/>
      <c r="D19" s="18"/>
      <c r="E19" s="18"/>
      <c r="F19" s="18"/>
      <c r="G19" s="18"/>
      <c r="H19" s="18"/>
      <c r="I19" s="18"/>
      <c r="J19" s="18"/>
      <c r="K19" s="18"/>
      <c r="L19" s="18"/>
      <c r="M19" s="18"/>
      <c r="N19" s="18"/>
      <c r="O19" s="18"/>
      <c r="P19" s="18"/>
      <c r="Q19" s="18"/>
      <c r="R19" s="18"/>
      <c r="S19" s="18"/>
      <c r="T19" s="18"/>
      <c r="U19" s="18"/>
      <c r="V19" s="18"/>
      <c r="W19" s="18"/>
    </row>
    <row r="20" spans="1:23">
      <c r="A20" s="18"/>
      <c r="B20" s="18"/>
      <c r="C20" s="18"/>
      <c r="D20" s="18"/>
      <c r="E20" s="18"/>
      <c r="F20" s="18"/>
      <c r="G20" s="18"/>
      <c r="H20" s="18"/>
      <c r="I20" s="18"/>
      <c r="J20" s="18"/>
      <c r="K20" s="18"/>
      <c r="L20" s="18"/>
      <c r="M20" s="18"/>
      <c r="N20" s="18"/>
      <c r="O20" s="18"/>
      <c r="P20" s="18"/>
      <c r="Q20" s="18"/>
      <c r="R20" s="18"/>
      <c r="S20" s="18"/>
      <c r="T20" s="18"/>
      <c r="U20" s="18"/>
      <c r="V20" s="18"/>
      <c r="W20" s="18"/>
    </row>
    <row r="21" spans="1:23">
      <c r="A21" s="18"/>
      <c r="B21" s="18"/>
      <c r="C21" s="18"/>
      <c r="D21" s="18"/>
      <c r="E21" s="18"/>
      <c r="F21" s="18"/>
      <c r="G21" s="18"/>
      <c r="H21" s="18"/>
      <c r="I21" s="18"/>
      <c r="J21" s="18"/>
      <c r="K21" s="18"/>
      <c r="L21" s="18"/>
      <c r="M21" s="18"/>
      <c r="N21" s="18"/>
      <c r="O21" s="18"/>
      <c r="P21" s="18"/>
      <c r="Q21" s="18"/>
      <c r="R21" s="18"/>
      <c r="S21" s="18"/>
      <c r="T21" s="18"/>
      <c r="U21" s="18"/>
      <c r="V21" s="18"/>
      <c r="W21" s="18"/>
    </row>
    <row r="22" spans="1:23">
      <c r="A22" s="18"/>
      <c r="B22" s="18"/>
      <c r="C22" s="18"/>
      <c r="D22" s="18"/>
      <c r="E22" s="18"/>
      <c r="F22" s="18"/>
      <c r="G22" s="18"/>
      <c r="H22" s="18"/>
      <c r="I22" s="18"/>
      <c r="J22" s="18"/>
      <c r="K22" s="18"/>
      <c r="L22" s="18"/>
      <c r="M22" s="18"/>
      <c r="N22" s="18"/>
      <c r="O22" s="18"/>
      <c r="P22" s="18"/>
      <c r="Q22" s="18"/>
      <c r="R22" s="18"/>
      <c r="S22" s="18"/>
      <c r="T22" s="18"/>
      <c r="U22" s="18"/>
      <c r="V22" s="18"/>
      <c r="W22" s="18"/>
    </row>
    <row r="23" spans="1:23">
      <c r="A23" s="18"/>
      <c r="B23" s="18"/>
      <c r="C23" s="18"/>
      <c r="D23" s="18"/>
      <c r="E23" s="18"/>
      <c r="F23" s="18"/>
      <c r="G23" s="18"/>
      <c r="H23" s="18"/>
      <c r="I23" s="18"/>
      <c r="J23" s="18"/>
      <c r="K23" s="18"/>
      <c r="L23" s="18"/>
      <c r="M23" s="18"/>
      <c r="N23" s="18"/>
      <c r="O23" s="18"/>
      <c r="P23" s="18"/>
      <c r="Q23" s="18"/>
      <c r="R23" s="18"/>
      <c r="S23" s="18"/>
      <c r="T23" s="18"/>
      <c r="U23" s="18"/>
      <c r="V23" s="18"/>
      <c r="W23" s="18"/>
    </row>
    <row r="24" spans="1:23">
      <c r="A24" s="18"/>
      <c r="B24" s="18"/>
      <c r="C24" s="18"/>
      <c r="D24" s="18"/>
      <c r="E24" s="18"/>
      <c r="F24" s="18"/>
      <c r="G24" s="18"/>
      <c r="H24" s="18"/>
      <c r="I24" s="18"/>
      <c r="J24" s="18"/>
      <c r="K24" s="18"/>
      <c r="L24" s="18"/>
      <c r="M24" s="18"/>
      <c r="N24" s="18"/>
      <c r="O24" s="18"/>
      <c r="P24" s="18"/>
      <c r="Q24" s="18"/>
      <c r="R24" s="18"/>
      <c r="S24" s="18"/>
      <c r="T24" s="18"/>
      <c r="U24" s="18"/>
      <c r="V24" s="18"/>
      <c r="W24" s="18"/>
    </row>
    <row r="25" spans="1:23">
      <c r="A25" s="18"/>
      <c r="B25" s="18"/>
      <c r="C25" s="18"/>
      <c r="D25" s="18"/>
      <c r="E25" s="18"/>
      <c r="F25" s="18"/>
      <c r="G25" s="18"/>
      <c r="H25" s="18"/>
      <c r="I25" s="18"/>
      <c r="J25" s="18"/>
      <c r="K25" s="18"/>
      <c r="L25" s="18"/>
      <c r="M25" s="18"/>
      <c r="N25" s="18"/>
      <c r="O25" s="18"/>
      <c r="P25" s="18"/>
      <c r="Q25" s="18"/>
      <c r="R25" s="18"/>
      <c r="S25" s="18"/>
      <c r="T25" s="18"/>
      <c r="U25" s="18"/>
      <c r="V25" s="18"/>
      <c r="W25" s="18"/>
    </row>
    <row r="26" spans="1:23">
      <c r="A26" s="18"/>
      <c r="B26" s="18"/>
      <c r="C26" s="18"/>
      <c r="D26" s="18"/>
      <c r="E26" s="18"/>
      <c r="F26" s="18"/>
      <c r="G26" s="18"/>
      <c r="H26" s="18"/>
      <c r="I26" s="18"/>
      <c r="J26" s="18"/>
      <c r="K26" s="18"/>
      <c r="L26" s="18"/>
      <c r="M26" s="18"/>
      <c r="N26" s="18"/>
      <c r="O26" s="18"/>
      <c r="P26" s="18"/>
      <c r="Q26" s="18"/>
      <c r="R26" s="18"/>
      <c r="S26" s="18"/>
      <c r="T26" s="18"/>
      <c r="U26" s="18"/>
      <c r="V26" s="18"/>
      <c r="W26" s="18"/>
    </row>
    <row r="27" spans="1:23">
      <c r="A27" s="18"/>
      <c r="B27" s="18"/>
      <c r="C27" s="18"/>
      <c r="D27" s="18"/>
      <c r="E27" s="18"/>
      <c r="F27" s="18"/>
      <c r="G27" s="18"/>
      <c r="H27" s="18"/>
      <c r="I27" s="18"/>
      <c r="J27" s="18"/>
      <c r="K27" s="18"/>
      <c r="L27" s="18"/>
      <c r="M27" s="18"/>
      <c r="N27" s="18"/>
      <c r="O27" s="18"/>
      <c r="P27" s="18"/>
      <c r="Q27" s="18"/>
      <c r="R27" s="18"/>
      <c r="S27" s="18"/>
      <c r="T27" s="18"/>
      <c r="U27" s="18"/>
      <c r="V27" s="18"/>
      <c r="W27" s="18"/>
    </row>
    <row r="28" spans="1:23">
      <c r="A28" s="18"/>
      <c r="B28" s="18"/>
      <c r="C28" s="18"/>
      <c r="D28" s="18"/>
      <c r="E28" s="18"/>
      <c r="F28" s="18"/>
      <c r="G28" s="18"/>
      <c r="H28" s="18"/>
      <c r="I28" s="18"/>
      <c r="J28" s="18"/>
      <c r="K28" s="18"/>
      <c r="L28" s="18"/>
      <c r="M28" s="18"/>
      <c r="N28" s="18"/>
      <c r="O28" s="18"/>
      <c r="P28" s="18"/>
      <c r="Q28" s="18"/>
      <c r="R28" s="18"/>
      <c r="S28" s="18"/>
      <c r="T28" s="18"/>
      <c r="U28" s="18"/>
      <c r="V28" s="18"/>
      <c r="W28" s="18"/>
    </row>
    <row r="29" spans="1:23">
      <c r="A29" s="18"/>
      <c r="B29" s="18"/>
      <c r="C29" s="18"/>
      <c r="D29" s="18"/>
      <c r="E29" s="18"/>
      <c r="F29" s="18"/>
      <c r="G29" s="18"/>
      <c r="H29" s="18"/>
      <c r="I29" s="18"/>
      <c r="J29" s="18"/>
      <c r="K29" s="18"/>
      <c r="L29" s="18"/>
      <c r="M29" s="18"/>
      <c r="N29" s="18"/>
      <c r="O29" s="18"/>
      <c r="P29" s="18"/>
      <c r="Q29" s="18"/>
      <c r="R29" s="18"/>
      <c r="S29" s="18"/>
      <c r="T29" s="18"/>
      <c r="U29" s="18"/>
      <c r="V29" s="18"/>
      <c r="W29" s="18"/>
    </row>
    <row r="30" spans="1:23">
      <c r="A30" s="18"/>
      <c r="B30" s="18"/>
      <c r="C30" s="18"/>
      <c r="D30" s="18"/>
      <c r="E30" s="18"/>
      <c r="F30" s="18"/>
      <c r="G30" s="18"/>
      <c r="H30" s="18"/>
      <c r="I30" s="18"/>
      <c r="J30" s="18"/>
      <c r="K30" s="18"/>
      <c r="L30" s="18"/>
      <c r="M30" s="18"/>
      <c r="N30" s="18"/>
      <c r="O30" s="18"/>
      <c r="P30" s="18"/>
      <c r="Q30" s="18"/>
      <c r="R30" s="18"/>
      <c r="S30" s="18"/>
      <c r="T30" s="18"/>
      <c r="U30" s="18"/>
      <c r="V30" s="18"/>
      <c r="W30" s="18"/>
    </row>
    <row r="31" spans="1:23">
      <c r="A31" s="18"/>
      <c r="B31" s="18"/>
      <c r="C31" s="18"/>
      <c r="D31" s="18"/>
      <c r="E31" s="18"/>
      <c r="F31" s="18"/>
      <c r="G31" s="18"/>
      <c r="H31" s="18"/>
      <c r="I31" s="18"/>
      <c r="J31" s="18"/>
      <c r="K31" s="18"/>
      <c r="L31" s="18"/>
      <c r="M31" s="18"/>
      <c r="N31" s="18"/>
      <c r="O31" s="18"/>
      <c r="P31" s="18"/>
      <c r="Q31" s="18"/>
      <c r="R31" s="18"/>
      <c r="S31" s="18"/>
      <c r="T31" s="18"/>
      <c r="U31" s="18"/>
      <c r="V31" s="18"/>
      <c r="W31" s="18"/>
    </row>
    <row r="32" spans="1:23">
      <c r="A32" s="18"/>
      <c r="B32" s="18"/>
      <c r="C32" s="18"/>
      <c r="D32" s="18"/>
      <c r="E32" s="18"/>
      <c r="F32" s="18"/>
      <c r="G32" s="18"/>
      <c r="H32" s="18"/>
      <c r="I32" s="18"/>
      <c r="J32" s="18"/>
      <c r="K32" s="18"/>
      <c r="L32" s="18"/>
      <c r="M32" s="18"/>
      <c r="N32" s="18"/>
      <c r="O32" s="18"/>
      <c r="P32" s="18"/>
      <c r="Q32" s="18"/>
      <c r="R32" s="18"/>
      <c r="S32" s="18"/>
      <c r="T32" s="18"/>
      <c r="U32" s="18"/>
      <c r="V32" s="18"/>
      <c r="W32" s="18"/>
    </row>
    <row r="33" spans="1:23">
      <c r="A33" s="18"/>
      <c r="B33" s="18"/>
      <c r="C33" s="18"/>
      <c r="D33" s="18"/>
      <c r="E33" s="18"/>
      <c r="F33" s="18"/>
      <c r="G33" s="18"/>
      <c r="H33" s="18"/>
      <c r="I33" s="18"/>
      <c r="J33" s="18"/>
      <c r="K33" s="18"/>
      <c r="L33" s="18"/>
      <c r="M33" s="18"/>
      <c r="N33" s="18"/>
      <c r="O33" s="18"/>
      <c r="P33" s="18"/>
      <c r="Q33" s="18"/>
      <c r="R33" s="18"/>
      <c r="S33" s="18"/>
      <c r="T33" s="18"/>
      <c r="U33" s="18"/>
      <c r="V33" s="18"/>
      <c r="W33" s="18"/>
    </row>
    <row r="34" spans="1:23">
      <c r="A34" s="18"/>
      <c r="B34" s="18"/>
      <c r="C34" s="18"/>
      <c r="D34" s="18"/>
      <c r="E34" s="18"/>
      <c r="F34" s="18"/>
      <c r="G34" s="18"/>
      <c r="H34" s="18"/>
      <c r="I34" s="18"/>
      <c r="J34" s="18"/>
      <c r="K34" s="18"/>
      <c r="L34" s="18"/>
      <c r="M34" s="18"/>
      <c r="N34" s="18"/>
      <c r="O34" s="18"/>
      <c r="P34" s="18"/>
      <c r="Q34" s="18"/>
      <c r="R34" s="18"/>
      <c r="S34" s="18"/>
      <c r="T34" s="18"/>
      <c r="U34" s="18"/>
      <c r="V34" s="18"/>
      <c r="W34" s="18"/>
    </row>
    <row r="35" spans="1:23">
      <c r="A35" s="18"/>
      <c r="B35" s="18"/>
      <c r="C35" s="18"/>
      <c r="D35" s="18"/>
      <c r="E35" s="18"/>
      <c r="F35" s="18"/>
      <c r="G35" s="18"/>
      <c r="H35" s="18"/>
      <c r="I35" s="18"/>
      <c r="J35" s="18"/>
      <c r="K35" s="18"/>
      <c r="L35" s="18"/>
      <c r="M35" s="18"/>
      <c r="N35" s="18"/>
      <c r="O35" s="18"/>
      <c r="P35" s="18"/>
      <c r="Q35" s="18"/>
      <c r="R35" s="18"/>
      <c r="S35" s="18"/>
      <c r="T35" s="18"/>
      <c r="U35" s="18"/>
      <c r="V35" s="18"/>
      <c r="W35" s="18"/>
    </row>
    <row r="36" spans="1:23">
      <c r="A36" s="18"/>
      <c r="B36" s="18"/>
      <c r="C36" s="18"/>
      <c r="D36" s="18"/>
      <c r="E36" s="18"/>
      <c r="F36" s="18"/>
      <c r="G36" s="18"/>
      <c r="H36" s="18"/>
      <c r="I36" s="18"/>
      <c r="J36" s="18"/>
      <c r="K36" s="18"/>
      <c r="L36" s="18"/>
      <c r="M36" s="18"/>
      <c r="N36" s="18"/>
      <c r="O36" s="18"/>
      <c r="P36" s="18"/>
      <c r="Q36" s="18"/>
      <c r="R36" s="18"/>
      <c r="S36" s="18"/>
      <c r="T36" s="18"/>
      <c r="U36" s="18"/>
      <c r="V36" s="18"/>
      <c r="W36" s="18"/>
    </row>
    <row r="37" spans="1:23">
      <c r="A37" s="18"/>
      <c r="B37" s="18"/>
      <c r="C37" s="18"/>
      <c r="D37" s="18"/>
      <c r="E37" s="18"/>
      <c r="F37" s="18"/>
      <c r="G37" s="18"/>
      <c r="H37" s="18"/>
      <c r="I37" s="18"/>
      <c r="J37" s="18"/>
      <c r="K37" s="18"/>
      <c r="L37" s="18"/>
      <c r="M37" s="18"/>
      <c r="N37" s="18"/>
      <c r="O37" s="18"/>
      <c r="P37" s="18"/>
      <c r="Q37" s="18"/>
      <c r="R37" s="18"/>
      <c r="S37" s="18"/>
      <c r="T37" s="18"/>
      <c r="U37" s="18"/>
      <c r="V37" s="18"/>
      <c r="W37" s="18"/>
    </row>
    <row r="38" spans="1:23">
      <c r="A38" s="18"/>
      <c r="B38" s="18"/>
      <c r="C38" s="18"/>
      <c r="D38" s="18"/>
      <c r="E38" s="18"/>
      <c r="F38" s="18"/>
      <c r="G38" s="18"/>
      <c r="H38" s="18"/>
      <c r="I38" s="18"/>
      <c r="J38" s="18"/>
      <c r="K38" s="18"/>
      <c r="L38" s="18"/>
      <c r="M38" s="18"/>
      <c r="N38" s="18"/>
      <c r="O38" s="18"/>
      <c r="P38" s="18"/>
      <c r="Q38" s="18"/>
      <c r="R38" s="18"/>
      <c r="S38" s="18"/>
      <c r="T38" s="18"/>
      <c r="U38" s="18"/>
      <c r="V38" s="18"/>
      <c r="W38" s="18"/>
    </row>
    <row r="39" spans="1:23">
      <c r="A39" s="18"/>
      <c r="B39" s="18"/>
      <c r="C39" s="18"/>
      <c r="D39" s="18"/>
      <c r="E39" s="18"/>
      <c r="F39" s="18"/>
      <c r="G39" s="18"/>
      <c r="H39" s="18"/>
      <c r="I39" s="18"/>
      <c r="J39" s="18"/>
      <c r="K39" s="18"/>
      <c r="L39" s="18"/>
      <c r="M39" s="18"/>
      <c r="N39" s="18"/>
      <c r="O39" s="18"/>
      <c r="P39" s="18"/>
      <c r="Q39" s="18"/>
      <c r="R39" s="18"/>
      <c r="S39" s="18"/>
      <c r="T39" s="18"/>
      <c r="U39" s="18"/>
      <c r="V39" s="18"/>
      <c r="W39" s="18"/>
    </row>
    <row r="40" spans="1:23">
      <c r="A40" s="18"/>
      <c r="B40" s="18"/>
      <c r="C40" s="18"/>
      <c r="D40" s="18"/>
      <c r="E40" s="18"/>
      <c r="F40" s="18"/>
      <c r="G40" s="18"/>
      <c r="H40" s="18"/>
      <c r="I40" s="18"/>
      <c r="J40" s="18"/>
      <c r="K40" s="18"/>
      <c r="L40" s="18"/>
      <c r="M40" s="18"/>
      <c r="N40" s="18"/>
      <c r="O40" s="18"/>
      <c r="P40" s="18"/>
      <c r="Q40" s="18"/>
      <c r="R40" s="18"/>
      <c r="S40" s="18"/>
      <c r="T40" s="18"/>
      <c r="U40" s="18"/>
      <c r="V40" s="18"/>
      <c r="W40" s="18"/>
    </row>
    <row r="41" spans="1:23">
      <c r="A41" s="18"/>
      <c r="B41" s="18"/>
      <c r="C41" s="18"/>
      <c r="D41" s="18"/>
      <c r="E41" s="18"/>
      <c r="F41" s="18"/>
      <c r="G41" s="18"/>
      <c r="H41" s="18"/>
      <c r="I41" s="18"/>
      <c r="J41" s="18"/>
      <c r="K41" s="18"/>
      <c r="L41" s="18"/>
      <c r="M41" s="18"/>
      <c r="N41" s="18"/>
      <c r="O41" s="18"/>
      <c r="P41" s="18"/>
      <c r="Q41" s="18"/>
      <c r="R41" s="18"/>
      <c r="S41" s="18"/>
      <c r="T41" s="18"/>
      <c r="U41" s="18"/>
      <c r="V41" s="18"/>
      <c r="W41" s="18"/>
    </row>
    <row r="42" spans="1:23">
      <c r="A42" s="18"/>
      <c r="B42" s="18"/>
      <c r="C42" s="18"/>
      <c r="D42" s="18"/>
      <c r="E42" s="18"/>
      <c r="F42" s="18"/>
      <c r="G42" s="18"/>
      <c r="H42" s="18"/>
      <c r="I42" s="18"/>
      <c r="J42" s="18"/>
      <c r="K42" s="18"/>
      <c r="L42" s="18"/>
      <c r="M42" s="18"/>
      <c r="N42" s="18"/>
      <c r="O42" s="18"/>
      <c r="P42" s="18"/>
      <c r="Q42" s="18"/>
      <c r="R42" s="18"/>
      <c r="S42" s="18"/>
      <c r="T42" s="18"/>
      <c r="U42" s="18"/>
      <c r="V42" s="18"/>
      <c r="W42" s="18"/>
    </row>
    <row r="43" spans="1:23">
      <c r="A43" s="18"/>
      <c r="B43" s="18"/>
      <c r="C43" s="18"/>
      <c r="D43" s="18"/>
      <c r="E43" s="18"/>
      <c r="F43" s="18"/>
      <c r="G43" s="18"/>
      <c r="H43" s="18"/>
      <c r="I43" s="18"/>
      <c r="J43" s="18"/>
      <c r="K43" s="18"/>
      <c r="L43" s="18"/>
      <c r="M43" s="18"/>
      <c r="N43" s="18"/>
      <c r="O43" s="18"/>
      <c r="P43" s="18"/>
      <c r="Q43" s="18"/>
      <c r="R43" s="18"/>
      <c r="S43" s="18"/>
      <c r="T43" s="18"/>
      <c r="U43" s="18"/>
      <c r="V43" s="18"/>
      <c r="W43" s="18"/>
    </row>
    <row r="44" spans="1:23">
      <c r="A44" s="18"/>
      <c r="B44" s="18"/>
      <c r="C44" s="18"/>
      <c r="D44" s="18"/>
      <c r="E44" s="18"/>
      <c r="F44" s="18"/>
      <c r="G44" s="18"/>
      <c r="H44" s="18"/>
      <c r="I44" s="18"/>
      <c r="J44" s="18"/>
      <c r="K44" s="18"/>
      <c r="L44" s="18"/>
      <c r="M44" s="18"/>
      <c r="N44" s="18"/>
      <c r="O44" s="18"/>
      <c r="P44" s="18"/>
      <c r="Q44" s="18"/>
      <c r="R44" s="18"/>
      <c r="S44" s="18"/>
      <c r="T44" s="18"/>
      <c r="U44" s="18"/>
      <c r="V44" s="18"/>
      <c r="W44" s="18"/>
    </row>
    <row r="45" spans="1:23">
      <c r="A45" s="18"/>
      <c r="B45" s="18"/>
      <c r="C45" s="18"/>
      <c r="D45" s="18"/>
      <c r="E45" s="18"/>
      <c r="F45" s="18"/>
      <c r="G45" s="18"/>
      <c r="H45" s="18"/>
      <c r="I45" s="18"/>
      <c r="J45" s="18"/>
      <c r="K45" s="18"/>
      <c r="L45" s="18"/>
      <c r="M45" s="18"/>
      <c r="N45" s="18"/>
      <c r="O45" s="18"/>
      <c r="P45" s="18"/>
      <c r="Q45" s="18"/>
      <c r="R45" s="18"/>
      <c r="S45" s="18"/>
      <c r="T45" s="18"/>
      <c r="U45" s="18"/>
      <c r="V45" s="18"/>
      <c r="W45" s="18"/>
    </row>
    <row r="46" spans="1:23">
      <c r="A46" s="18"/>
      <c r="B46" s="18"/>
      <c r="C46" s="18"/>
      <c r="D46" s="18"/>
      <c r="E46" s="18"/>
      <c r="F46" s="18"/>
      <c r="G46" s="18"/>
      <c r="H46" s="18"/>
      <c r="I46" s="18"/>
      <c r="J46" s="18"/>
      <c r="K46" s="18"/>
      <c r="L46" s="18"/>
      <c r="M46" s="18"/>
      <c r="N46" s="18"/>
      <c r="O46" s="18"/>
      <c r="P46" s="18"/>
      <c r="Q46" s="18"/>
      <c r="R46" s="18"/>
      <c r="S46" s="18"/>
      <c r="T46" s="18"/>
      <c r="U46" s="18"/>
      <c r="V46" s="18"/>
      <c r="W46" s="18"/>
    </row>
    <row r="47" spans="1:23">
      <c r="A47" s="18"/>
      <c r="B47" s="18"/>
      <c r="C47" s="18"/>
      <c r="D47" s="18"/>
      <c r="E47" s="18"/>
      <c r="F47" s="18"/>
      <c r="G47" s="18"/>
      <c r="H47" s="18"/>
      <c r="I47" s="18"/>
      <c r="J47" s="18"/>
      <c r="K47" s="18"/>
      <c r="L47" s="18"/>
      <c r="M47" s="18"/>
      <c r="N47" s="18"/>
      <c r="O47" s="18"/>
      <c r="P47" s="18"/>
      <c r="Q47" s="18"/>
      <c r="R47" s="18"/>
      <c r="S47" s="18"/>
      <c r="T47" s="18"/>
      <c r="U47" s="18"/>
      <c r="V47" s="18"/>
      <c r="W47" s="18"/>
    </row>
    <row r="48" spans="1:23">
      <c r="A48" s="18"/>
      <c r="B48" s="18"/>
      <c r="C48" s="18"/>
      <c r="D48" s="18"/>
      <c r="E48" s="18"/>
      <c r="F48" s="18"/>
      <c r="G48" s="18"/>
      <c r="H48" s="18"/>
      <c r="I48" s="18"/>
      <c r="J48" s="18"/>
      <c r="K48" s="18"/>
      <c r="L48" s="18"/>
      <c r="M48" s="18"/>
      <c r="N48" s="18"/>
      <c r="O48" s="18"/>
      <c r="P48" s="18"/>
      <c r="Q48" s="18"/>
      <c r="R48" s="18"/>
      <c r="S48" s="18"/>
      <c r="T48" s="18"/>
      <c r="U48" s="18"/>
      <c r="V48" s="18"/>
      <c r="W48" s="18"/>
    </row>
    <row r="49" spans="1:23">
      <c r="A49" s="18"/>
      <c r="B49" s="18"/>
      <c r="C49" s="18"/>
      <c r="D49" s="18"/>
      <c r="E49" s="18"/>
      <c r="F49" s="18"/>
      <c r="G49" s="18"/>
      <c r="H49" s="18"/>
      <c r="I49" s="18"/>
      <c r="J49" s="18"/>
      <c r="K49" s="18"/>
      <c r="L49" s="18"/>
      <c r="M49" s="18"/>
      <c r="N49" s="18"/>
      <c r="O49" s="18"/>
      <c r="P49" s="18"/>
      <c r="Q49" s="18"/>
      <c r="R49" s="18"/>
      <c r="S49" s="18"/>
      <c r="T49" s="18"/>
      <c r="U49" s="18"/>
      <c r="V49" s="18"/>
      <c r="W49" s="18"/>
    </row>
    <row r="50" spans="1:23">
      <c r="A50" s="18"/>
      <c r="B50" s="18"/>
      <c r="C50" s="18"/>
      <c r="D50" s="18"/>
      <c r="E50" s="18"/>
      <c r="F50" s="18"/>
      <c r="G50" s="18"/>
      <c r="H50" s="18"/>
      <c r="I50" s="18"/>
      <c r="J50" s="18"/>
      <c r="K50" s="18"/>
      <c r="L50" s="18"/>
      <c r="M50" s="18"/>
      <c r="N50" s="18"/>
      <c r="O50" s="18"/>
      <c r="P50" s="18"/>
      <c r="Q50" s="18"/>
      <c r="R50" s="18"/>
      <c r="S50" s="18"/>
      <c r="T50" s="18"/>
      <c r="U50" s="18"/>
      <c r="V50" s="18"/>
      <c r="W50" s="18"/>
    </row>
    <row r="51" spans="1:23">
      <c r="A51" s="18"/>
      <c r="B51" s="18"/>
      <c r="C51" s="18"/>
      <c r="D51" s="18"/>
      <c r="E51" s="18"/>
      <c r="F51" s="18"/>
      <c r="G51" s="18"/>
      <c r="H51" s="18"/>
      <c r="I51" s="18"/>
      <c r="J51" s="18"/>
      <c r="K51" s="18"/>
      <c r="L51" s="18"/>
      <c r="M51" s="18"/>
      <c r="N51" s="18"/>
      <c r="O51" s="18"/>
      <c r="P51" s="18"/>
      <c r="Q51" s="18"/>
      <c r="R51" s="18"/>
      <c r="S51" s="18"/>
      <c r="T51" s="18"/>
      <c r="U51" s="18"/>
      <c r="V51" s="18"/>
      <c r="W51" s="18"/>
    </row>
    <row r="52" spans="1:23">
      <c r="A52" s="18"/>
      <c r="B52" s="18"/>
      <c r="C52" s="18"/>
      <c r="D52" s="18"/>
      <c r="E52" s="18"/>
      <c r="F52" s="18"/>
      <c r="G52" s="18"/>
      <c r="H52" s="18"/>
      <c r="I52" s="18"/>
      <c r="J52" s="18"/>
      <c r="K52" s="18"/>
      <c r="L52" s="18"/>
      <c r="M52" s="18"/>
      <c r="N52" s="18"/>
      <c r="O52" s="18"/>
      <c r="P52" s="18"/>
      <c r="Q52" s="18"/>
      <c r="R52" s="18"/>
      <c r="S52" s="18"/>
      <c r="T52" s="18"/>
      <c r="U52" s="18"/>
      <c r="V52" s="18"/>
      <c r="W52" s="18"/>
    </row>
    <row r="53" spans="1:23">
      <c r="A53" s="18"/>
      <c r="B53" s="18"/>
      <c r="C53" s="18"/>
      <c r="D53" s="18"/>
      <c r="E53" s="18"/>
      <c r="F53" s="18"/>
      <c r="G53" s="18"/>
      <c r="H53" s="18"/>
      <c r="I53" s="18"/>
      <c r="J53" s="18"/>
      <c r="K53" s="18"/>
      <c r="L53" s="18"/>
      <c r="M53" s="18"/>
      <c r="N53" s="18"/>
      <c r="O53" s="18"/>
      <c r="P53" s="18"/>
      <c r="Q53" s="18"/>
      <c r="R53" s="18"/>
      <c r="S53" s="18"/>
      <c r="T53" s="18"/>
      <c r="U53" s="18"/>
      <c r="V53" s="18"/>
      <c r="W53" s="18"/>
    </row>
    <row r="54" spans="1:23">
      <c r="A54" s="18"/>
      <c r="B54" s="18"/>
      <c r="C54" s="18"/>
      <c r="D54" s="18"/>
      <c r="E54" s="18"/>
      <c r="F54" s="18"/>
      <c r="G54" s="18"/>
      <c r="H54" s="18"/>
      <c r="I54" s="18"/>
      <c r="J54" s="18"/>
      <c r="K54" s="18"/>
      <c r="L54" s="18"/>
      <c r="M54" s="18"/>
      <c r="N54" s="18"/>
      <c r="O54" s="18"/>
      <c r="P54" s="18"/>
      <c r="Q54" s="18"/>
      <c r="R54" s="18"/>
      <c r="S54" s="18"/>
      <c r="T54" s="18"/>
      <c r="U54" s="18"/>
      <c r="V54" s="18"/>
      <c r="W54" s="18"/>
    </row>
    <row r="55" spans="1:23">
      <c r="A55" s="18"/>
      <c r="B55" s="18"/>
      <c r="C55" s="18"/>
      <c r="D55" s="18"/>
      <c r="E55" s="18"/>
      <c r="F55" s="18"/>
      <c r="G55" s="18"/>
      <c r="H55" s="18"/>
      <c r="I55" s="18"/>
      <c r="J55" s="18"/>
      <c r="K55" s="18"/>
      <c r="L55" s="18"/>
      <c r="M55" s="18"/>
      <c r="N55" s="18"/>
      <c r="O55" s="18"/>
      <c r="P55" s="18"/>
      <c r="Q55" s="18"/>
      <c r="R55" s="18"/>
      <c r="S55" s="18"/>
      <c r="T55" s="18"/>
      <c r="U55" s="18"/>
      <c r="V55" s="18"/>
      <c r="W55" s="18"/>
    </row>
    <row r="56" spans="1:23">
      <c r="A56" s="18"/>
      <c r="B56" s="18"/>
      <c r="C56" s="18"/>
      <c r="D56" s="18"/>
      <c r="E56" s="18"/>
      <c r="F56" s="18"/>
      <c r="G56" s="18"/>
      <c r="H56" s="18"/>
      <c r="I56" s="18"/>
      <c r="J56" s="18"/>
      <c r="K56" s="18"/>
      <c r="L56" s="18"/>
      <c r="M56" s="18"/>
      <c r="N56" s="18"/>
      <c r="O56" s="18"/>
      <c r="P56" s="18"/>
      <c r="Q56" s="18"/>
      <c r="R56" s="18"/>
      <c r="S56" s="18"/>
      <c r="T56" s="18"/>
      <c r="U56" s="18"/>
      <c r="V56" s="18"/>
      <c r="W56" s="18"/>
    </row>
    <row r="57" spans="1:23">
      <c r="A57" s="18"/>
      <c r="B57" s="18"/>
      <c r="C57" s="18"/>
      <c r="D57" s="18"/>
      <c r="E57" s="18"/>
      <c r="F57" s="18"/>
      <c r="G57" s="18"/>
      <c r="H57" s="18"/>
      <c r="I57" s="18"/>
      <c r="J57" s="18"/>
      <c r="K57" s="18"/>
      <c r="L57" s="18"/>
      <c r="M57" s="18"/>
      <c r="N57" s="18"/>
      <c r="O57" s="18"/>
      <c r="P57" s="18"/>
      <c r="Q57" s="18"/>
      <c r="R57" s="18"/>
      <c r="S57" s="18"/>
      <c r="T57" s="18"/>
      <c r="U57" s="18"/>
      <c r="V57" s="18"/>
      <c r="W57" s="18"/>
    </row>
    <row r="58" spans="1:23">
      <c r="A58" s="18"/>
      <c r="B58" s="18"/>
      <c r="C58" s="18"/>
      <c r="D58" s="18"/>
      <c r="E58" s="18"/>
      <c r="F58" s="18"/>
      <c r="G58" s="18"/>
      <c r="H58" s="18"/>
      <c r="I58" s="18"/>
      <c r="J58" s="18"/>
      <c r="K58" s="18"/>
      <c r="L58" s="18"/>
      <c r="M58" s="18"/>
      <c r="N58" s="18"/>
      <c r="O58" s="18"/>
      <c r="P58" s="18"/>
      <c r="Q58" s="18"/>
      <c r="R58" s="18"/>
      <c r="S58" s="18"/>
      <c r="T58" s="18"/>
      <c r="U58" s="18"/>
      <c r="V58" s="18"/>
      <c r="W58" s="18"/>
    </row>
    <row r="59" spans="1:23">
      <c r="A59" s="18"/>
      <c r="B59" s="18"/>
      <c r="C59" s="18"/>
      <c r="D59" s="18"/>
      <c r="E59" s="18"/>
      <c r="F59" s="18"/>
      <c r="G59" s="18"/>
      <c r="H59" s="18"/>
      <c r="I59" s="18"/>
      <c r="J59" s="18"/>
      <c r="K59" s="18"/>
      <c r="L59" s="18"/>
      <c r="M59" s="18"/>
      <c r="N59" s="18"/>
      <c r="O59" s="18"/>
      <c r="P59" s="18"/>
      <c r="Q59" s="18"/>
      <c r="R59" s="18"/>
      <c r="S59" s="18"/>
      <c r="T59" s="18"/>
      <c r="U59" s="18"/>
      <c r="V59" s="18"/>
      <c r="W59" s="18"/>
    </row>
    <row r="60" spans="1:23">
      <c r="A60" s="18"/>
      <c r="B60" s="18"/>
      <c r="D60" s="18"/>
      <c r="E60" s="18"/>
      <c r="F60" s="18"/>
      <c r="G60" s="18"/>
      <c r="H60" s="18"/>
      <c r="I60" s="18"/>
      <c r="J60" s="18"/>
      <c r="K60" s="18"/>
      <c r="L60" s="18"/>
      <c r="M60" s="18"/>
      <c r="N60" s="18"/>
      <c r="O60" s="18"/>
      <c r="P60" s="18"/>
      <c r="Q60" s="18"/>
      <c r="R60" s="18"/>
      <c r="S60" s="18"/>
      <c r="T60" s="18"/>
      <c r="U60" s="18"/>
      <c r="V60" s="18"/>
      <c r="W60" s="18"/>
    </row>
    <row r="61" spans="1:23">
      <c r="A61" s="18"/>
      <c r="B61" s="18"/>
      <c r="D61" s="18"/>
      <c r="E61" s="18"/>
      <c r="F61" s="18"/>
      <c r="G61" s="18"/>
      <c r="H61" s="18"/>
      <c r="I61" s="18"/>
      <c r="J61" s="18"/>
      <c r="K61" s="18"/>
      <c r="L61" s="18"/>
      <c r="M61" s="18"/>
      <c r="N61" s="18"/>
      <c r="O61" s="18"/>
      <c r="P61" s="18"/>
      <c r="Q61" s="18"/>
      <c r="R61" s="18"/>
      <c r="S61" s="18"/>
      <c r="T61" s="18"/>
      <c r="U61" s="18"/>
      <c r="V61" s="18"/>
      <c r="W61" s="18"/>
    </row>
    <row r="62" spans="1:23">
      <c r="A62" s="18"/>
      <c r="B62" s="18"/>
      <c r="D62" s="18"/>
      <c r="E62" s="18"/>
      <c r="F62" s="18"/>
      <c r="G62" s="18"/>
      <c r="H62" s="18"/>
      <c r="I62" s="18"/>
      <c r="J62" s="18"/>
      <c r="K62" s="18"/>
      <c r="L62" s="18"/>
      <c r="M62" s="18"/>
      <c r="N62" s="18"/>
      <c r="O62" s="18"/>
      <c r="P62" s="18"/>
      <c r="Q62" s="18"/>
      <c r="R62" s="18"/>
      <c r="S62" s="18"/>
      <c r="T62" s="18"/>
      <c r="U62" s="18"/>
      <c r="V62" s="18"/>
      <c r="W62" s="18"/>
    </row>
    <row r="63" spans="1:23">
      <c r="A63" s="18"/>
      <c r="B63" s="18"/>
      <c r="D63" s="18"/>
      <c r="E63" s="18"/>
      <c r="F63" s="18"/>
      <c r="G63" s="18"/>
      <c r="H63" s="18"/>
      <c r="I63" s="18"/>
      <c r="J63" s="18"/>
      <c r="K63" s="18"/>
      <c r="L63" s="18"/>
      <c r="M63" s="18"/>
      <c r="N63" s="18"/>
      <c r="O63" s="18"/>
      <c r="P63" s="18"/>
      <c r="Q63" s="18"/>
      <c r="R63" s="18"/>
      <c r="S63" s="18"/>
      <c r="T63" s="18"/>
      <c r="U63" s="18"/>
      <c r="V63" s="18"/>
      <c r="W63" s="18"/>
    </row>
    <row r="64" spans="1:23">
      <c r="A64" s="18"/>
      <c r="B64" s="18"/>
      <c r="D64" s="18"/>
      <c r="E64" s="18"/>
      <c r="F64" s="18"/>
      <c r="G64" s="18"/>
      <c r="H64" s="18"/>
      <c r="I64" s="18"/>
      <c r="J64" s="18"/>
      <c r="K64" s="18"/>
      <c r="L64" s="18"/>
      <c r="M64" s="18"/>
      <c r="N64" s="18"/>
      <c r="O64" s="18"/>
      <c r="P64" s="18"/>
      <c r="Q64" s="18"/>
      <c r="R64" s="18"/>
      <c r="S64" s="18"/>
      <c r="T64" s="18"/>
      <c r="U64" s="18"/>
      <c r="V64" s="18"/>
      <c r="W64" s="18"/>
    </row>
    <row r="65" spans="1:23">
      <c r="A65" s="18"/>
      <c r="B65" s="18"/>
      <c r="C65" s="119" t="s">
        <v>420</v>
      </c>
      <c r="D65" s="18"/>
      <c r="E65" s="18"/>
      <c r="F65" s="18"/>
      <c r="G65" s="18"/>
      <c r="H65" s="18"/>
      <c r="I65" s="18"/>
      <c r="J65" s="18"/>
      <c r="K65" s="18"/>
      <c r="L65" s="18"/>
      <c r="M65" s="18"/>
      <c r="N65" s="18"/>
      <c r="O65" s="18"/>
      <c r="P65" s="18"/>
      <c r="Q65" s="18"/>
      <c r="R65" s="18"/>
      <c r="S65" s="18"/>
      <c r="T65" s="18"/>
      <c r="U65" s="18"/>
      <c r="V65" s="18"/>
      <c r="W65" s="18"/>
    </row>
    <row r="66" spans="1:23">
      <c r="A66" s="18"/>
      <c r="B66" s="18"/>
      <c r="C66" s="120" t="s">
        <v>421</v>
      </c>
      <c r="D66" s="18"/>
      <c r="E66" s="18"/>
      <c r="F66" s="18"/>
      <c r="G66" s="18"/>
      <c r="H66" s="18"/>
      <c r="I66" s="18"/>
      <c r="J66" s="18"/>
      <c r="K66" s="18"/>
      <c r="L66" s="18"/>
      <c r="M66" s="18"/>
      <c r="N66" s="18"/>
      <c r="O66" s="18"/>
      <c r="P66" s="18"/>
      <c r="Q66" s="18"/>
      <c r="R66" s="18"/>
      <c r="S66" s="18"/>
      <c r="T66" s="18"/>
      <c r="U66" s="18"/>
      <c r="V66" s="18"/>
      <c r="W66" s="18"/>
    </row>
    <row r="67" spans="1:23">
      <c r="A67" s="18"/>
      <c r="B67" s="18"/>
      <c r="C67" s="120" t="s">
        <v>422</v>
      </c>
      <c r="D67" s="18"/>
      <c r="E67" s="18"/>
      <c r="F67" s="18"/>
      <c r="G67" s="18"/>
      <c r="H67" s="18"/>
      <c r="I67" s="18"/>
      <c r="J67" s="18"/>
      <c r="K67" s="18"/>
      <c r="L67" s="18"/>
      <c r="M67" s="18"/>
      <c r="N67" s="18"/>
      <c r="O67" s="18"/>
      <c r="P67" s="18"/>
      <c r="Q67" s="18"/>
      <c r="R67" s="18"/>
      <c r="S67" s="18"/>
      <c r="T67" s="18"/>
      <c r="U67" s="18"/>
      <c r="V67" s="18"/>
      <c r="W67" s="18"/>
    </row>
    <row r="68" spans="1:23">
      <c r="A68" s="18"/>
      <c r="B68" s="18"/>
      <c r="C68" s="120" t="s">
        <v>423</v>
      </c>
      <c r="D68" s="18"/>
      <c r="E68" s="18"/>
      <c r="F68" s="18"/>
      <c r="G68" s="18"/>
      <c r="H68" s="18"/>
      <c r="I68" s="18"/>
      <c r="J68" s="18"/>
      <c r="K68" s="18"/>
      <c r="L68" s="18"/>
      <c r="M68" s="18"/>
      <c r="N68" s="18"/>
      <c r="O68" s="18"/>
      <c r="P68" s="18"/>
      <c r="Q68" s="18"/>
      <c r="R68" s="18"/>
      <c r="S68" s="18"/>
      <c r="T68" s="18"/>
      <c r="U68" s="18"/>
      <c r="V68" s="18"/>
      <c r="W68" s="18"/>
    </row>
    <row r="69" spans="1:23">
      <c r="A69" s="18"/>
      <c r="B69" s="18"/>
      <c r="C69" s="129" t="s">
        <v>424</v>
      </c>
      <c r="D69" s="56"/>
      <c r="E69" s="56"/>
      <c r="F69" s="56"/>
      <c r="G69" s="18"/>
      <c r="H69" s="18"/>
      <c r="I69" s="18"/>
      <c r="J69" s="18"/>
      <c r="K69" s="18"/>
      <c r="L69" s="18"/>
      <c r="M69" s="18"/>
      <c r="N69" s="18"/>
      <c r="O69" s="18"/>
      <c r="P69" s="18"/>
      <c r="Q69" s="18"/>
      <c r="R69" s="18"/>
      <c r="S69" s="18"/>
      <c r="T69" s="18"/>
      <c r="U69" s="18"/>
      <c r="V69" s="18"/>
      <c r="W69" s="18"/>
    </row>
    <row r="70" spans="1:23">
      <c r="A70" s="18"/>
      <c r="B70" s="18"/>
      <c r="C70" s="129" t="s">
        <v>425</v>
      </c>
      <c r="D70" s="56"/>
      <c r="E70" s="56"/>
      <c r="F70" s="56"/>
      <c r="G70" s="18"/>
      <c r="H70" s="18"/>
      <c r="I70" s="18"/>
      <c r="J70" s="18"/>
      <c r="K70" s="18"/>
      <c r="L70" s="18"/>
      <c r="M70" s="18"/>
      <c r="N70" s="18"/>
      <c r="O70" s="18"/>
      <c r="P70" s="18"/>
      <c r="Q70" s="18"/>
      <c r="R70" s="18"/>
      <c r="S70" s="18"/>
      <c r="T70" s="18"/>
      <c r="U70" s="18"/>
      <c r="V70" s="18"/>
      <c r="W70" s="18"/>
    </row>
    <row r="71" spans="1:23">
      <c r="A71" s="18"/>
      <c r="B71" s="18"/>
      <c r="C71" s="129" t="s">
        <v>426</v>
      </c>
      <c r="D71" s="56"/>
      <c r="E71" s="56"/>
      <c r="F71" s="56"/>
      <c r="G71" s="18"/>
      <c r="H71" s="18"/>
      <c r="I71" s="18"/>
      <c r="J71" s="18"/>
      <c r="K71" s="18"/>
      <c r="L71" s="18"/>
      <c r="M71" s="18"/>
      <c r="N71" s="18"/>
      <c r="O71" s="18"/>
      <c r="P71" s="18"/>
      <c r="Q71" s="18"/>
      <c r="R71" s="18"/>
      <c r="S71" s="18"/>
      <c r="T71" s="18"/>
      <c r="U71" s="18"/>
      <c r="V71" s="18"/>
      <c r="W71" s="18"/>
    </row>
    <row r="72" spans="1:23">
      <c r="A72" s="18"/>
      <c r="B72" s="18"/>
      <c r="D72" s="18"/>
      <c r="E72" s="18"/>
      <c r="F72" s="18"/>
      <c r="G72" s="18"/>
      <c r="H72" s="18"/>
      <c r="I72" s="18"/>
      <c r="J72" s="18"/>
      <c r="K72" s="18"/>
      <c r="L72" s="18"/>
      <c r="M72" s="18"/>
      <c r="N72" s="18"/>
      <c r="O72" s="18"/>
      <c r="P72" s="18"/>
      <c r="Q72" s="18"/>
      <c r="R72" s="18"/>
      <c r="S72" s="18"/>
      <c r="T72" s="18"/>
      <c r="U72" s="18"/>
      <c r="V72" s="18"/>
      <c r="W72" s="18"/>
    </row>
    <row r="73" spans="1:23" ht="16">
      <c r="A73" s="108"/>
      <c r="B73" s="108" t="s">
        <v>8</v>
      </c>
      <c r="C73" s="108"/>
      <c r="D73" s="108"/>
      <c r="E73" s="108"/>
      <c r="F73" s="108"/>
      <c r="G73" s="108"/>
      <c r="H73" s="108"/>
      <c r="I73" s="108"/>
      <c r="J73" s="108"/>
      <c r="K73" s="108"/>
      <c r="L73" s="108"/>
      <c r="M73" s="108"/>
      <c r="N73" s="108"/>
      <c r="O73" s="108"/>
      <c r="P73" s="108"/>
      <c r="Q73" s="108"/>
      <c r="R73" s="108"/>
      <c r="S73" s="24"/>
      <c r="T73" s="24"/>
      <c r="U73" s="24"/>
      <c r="V73" s="24"/>
      <c r="W73" s="24"/>
    </row>
  </sheetData>
  <sheetProtection algorithmName="SHA-512" hashValue="cXzAjnH6dWR6C50AD67oEPKtpaKZgkuyJLpBEtcwMEuzkG5jGAdkjqpkaIN+SIf3usKyMIGxBGpqUpH7ZLWrAQ==" saltValue="WZetuVi3s/prSTZWa3iX7A==" spinCount="100000" sheet="1" objects="1" scenarios="1"/>
  <conditionalFormatting sqref="C5:F5">
    <cfRule type="expression" dxfId="38" priority="1">
      <formula>IF(AND(sysChk=0,sysWarn=0),1,0)</formula>
    </cfRule>
    <cfRule type="expression" dxfId="37" priority="2">
      <formula>IF(AND(sysChk=0,sysWarn&lt;&gt;0),1,0)</formula>
    </cfRule>
    <cfRule type="expression" dxfId="36" priority="3">
      <formula>IF(sysChk&lt;&gt;0,1,0)</formula>
    </cfRule>
  </conditionalFormatting>
  <hyperlinks>
    <hyperlink ref="C65" r:id="rId1" xr:uid="{B7407246-F198-4293-A77E-C0838FF1B557}"/>
    <hyperlink ref="C66" r:id="rId2" xr:uid="{2FDC046D-474D-41C2-9C27-E118BB708E9B}"/>
    <hyperlink ref="C67" r:id="rId3" xr:uid="{7448FABB-0610-4062-A766-3FF47AF1EFA7}"/>
    <hyperlink ref="C68" r:id="rId4" xr:uid="{C0C002FF-E765-4283-8ED7-FD368ADDE96C}"/>
  </hyperlinks>
  <pageMargins left="0.70866141732283472" right="0.70866141732283472" top="0.74803149606299213" bottom="0.74803149606299213" header="0.31496062992125984" footer="0.31496062992125984"/>
  <pageSetup paperSize="9" scale="82" orientation="landscape" r:id="rId5"/>
  <headerFooter>
    <oddFooter>&amp;F</oddFooter>
  </headerFooter>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tContents">
    <tabColor rgb="FF5F5F5F"/>
    <pageSetUpPr fitToPage="1"/>
  </sheetPr>
  <dimension ref="A1:Y57"/>
  <sheetViews>
    <sheetView showGridLines="0" zoomScale="80" zoomScaleNormal="80" workbookViewId="0">
      <pane ySplit="9" topLeftCell="A10" activePane="bottomLeft" state="frozen"/>
      <selection pane="bottomLeft"/>
    </sheetView>
  </sheetViews>
  <sheetFormatPr baseColWidth="10" defaultColWidth="0" defaultRowHeight="12"/>
  <cols>
    <col min="1" max="2" width="5.796875" style="38" customWidth="1"/>
    <col min="3" max="3" width="2.19921875" style="38" bestFit="1" customWidth="1"/>
    <col min="4" max="4" width="3" style="38" customWidth="1"/>
    <col min="5" max="5" width="19.3984375" style="38" customWidth="1"/>
    <col min="6" max="6" width="4.19921875" style="38" bestFit="1" customWidth="1"/>
    <col min="7" max="7" width="102.19921875" style="38" bestFit="1" customWidth="1"/>
    <col min="8" max="10" width="8.796875" style="38" customWidth="1"/>
    <col min="11" max="11" width="16.19921875" style="38" bestFit="1" customWidth="1"/>
    <col min="12" max="16384" width="8.796875" hidden="1"/>
  </cols>
  <sheetData>
    <row r="1" spans="1:25" s="40" customFormat="1">
      <c r="A1" s="95"/>
      <c r="B1" s="95"/>
      <c r="C1" s="96" t="s">
        <v>436</v>
      </c>
      <c r="D1" s="95"/>
      <c r="E1" s="95"/>
      <c r="F1" s="95"/>
      <c r="G1" s="95"/>
      <c r="H1" s="95"/>
      <c r="I1" s="95"/>
      <c r="J1" s="95"/>
      <c r="K1" s="95"/>
      <c r="L1" s="95"/>
      <c r="M1" s="95"/>
      <c r="N1" s="95"/>
      <c r="O1" s="95"/>
      <c r="P1" s="95"/>
      <c r="Q1" s="95"/>
      <c r="R1" s="95"/>
      <c r="S1" s="95"/>
      <c r="T1" s="95"/>
      <c r="U1" s="95"/>
      <c r="V1" s="95"/>
      <c r="W1" s="95"/>
      <c r="X1" s="95"/>
      <c r="Y1" s="95"/>
    </row>
    <row r="2" spans="1:25" s="40" customFormat="1" ht="13">
      <c r="A2" s="95"/>
      <c r="B2" s="95"/>
      <c r="C2" s="98" t="str">
        <f>cstProjectName</f>
        <v>Should Cost Modelling Case Study - Illustrative SCM</v>
      </c>
      <c r="D2" s="95"/>
      <c r="E2" s="95"/>
      <c r="F2" s="95"/>
      <c r="G2" s="95"/>
      <c r="H2" s="95"/>
      <c r="I2" s="95"/>
      <c r="J2" s="95"/>
      <c r="K2" s="95"/>
      <c r="L2" s="95"/>
      <c r="M2" s="95"/>
      <c r="N2" s="95"/>
      <c r="O2" s="95"/>
      <c r="P2" s="95"/>
      <c r="Q2" s="95"/>
      <c r="R2" s="95"/>
      <c r="S2" s="95"/>
      <c r="T2" s="95"/>
      <c r="U2" s="95"/>
      <c r="V2" s="95"/>
      <c r="W2" s="95"/>
      <c r="X2" s="95"/>
      <c r="Y2" s="95"/>
    </row>
    <row r="3" spans="1:25" s="40" customFormat="1" ht="13">
      <c r="A3" s="95"/>
      <c r="B3" s="95"/>
      <c r="C3" s="100" t="str">
        <f ca="1">MID(CELL("filename",A1),FIND("]",CELL("filename",A1))+1,256)&amp;" Sheet"</f>
        <v>Contents Sheet</v>
      </c>
      <c r="D3" s="95"/>
      <c r="E3" s="95"/>
      <c r="F3" s="95"/>
      <c r="G3" s="95"/>
      <c r="H3" s="95"/>
      <c r="I3" s="95"/>
      <c r="J3" s="95"/>
      <c r="K3" s="95"/>
      <c r="L3" s="95"/>
      <c r="M3" s="95"/>
      <c r="N3" s="95"/>
      <c r="O3" s="95"/>
      <c r="P3" s="95"/>
      <c r="Q3" s="95"/>
      <c r="R3" s="95"/>
      <c r="S3" s="95"/>
      <c r="T3" s="95"/>
      <c r="U3" s="95"/>
      <c r="V3" s="95"/>
      <c r="W3" s="95"/>
      <c r="X3" s="95"/>
      <c r="Y3" s="95"/>
    </row>
    <row r="4" spans="1:25" s="40" customFormat="1">
      <c r="A4" s="95"/>
      <c r="B4" s="95"/>
      <c r="C4" s="96" t="str">
        <f>IF(ISBLANK(cstProtectiveMarking),"",cstProtectiveMarking)</f>
        <v>Not Protectively Marked</v>
      </c>
      <c r="D4" s="95"/>
      <c r="E4" s="95"/>
      <c r="F4" s="95"/>
      <c r="G4" s="95"/>
      <c r="H4" s="95"/>
      <c r="I4" s="95"/>
      <c r="J4" s="95"/>
      <c r="K4" s="95"/>
      <c r="L4" s="95"/>
      <c r="M4" s="95"/>
      <c r="N4" s="95"/>
      <c r="O4" s="95"/>
      <c r="P4" s="95"/>
      <c r="Q4" s="95"/>
      <c r="R4" s="95"/>
      <c r="S4" s="95"/>
      <c r="T4" s="95"/>
      <c r="U4" s="95"/>
      <c r="V4" s="95"/>
      <c r="W4" s="95"/>
      <c r="X4" s="95"/>
      <c r="Y4" s="95"/>
    </row>
    <row r="5" spans="1:25" s="40" customFormat="1">
      <c r="A5" s="95"/>
      <c r="B5" s="95"/>
      <c r="C5" s="101" t="str">
        <f>HYPERLINK("#'Contents'!A1",sysChkWord)</f>
        <v>All Checks OK</v>
      </c>
      <c r="D5" s="101"/>
      <c r="E5" s="101"/>
      <c r="F5" s="101"/>
      <c r="G5" s="95"/>
      <c r="H5" s="95"/>
      <c r="I5" s="95"/>
      <c r="J5" s="95"/>
      <c r="K5" s="95"/>
      <c r="L5" s="95"/>
      <c r="M5" s="95"/>
      <c r="N5" s="95"/>
      <c r="O5" s="95"/>
      <c r="P5" s="95"/>
      <c r="Q5" s="95"/>
      <c r="R5" s="95"/>
      <c r="S5" s="95"/>
      <c r="T5" s="95"/>
      <c r="U5" s="95"/>
      <c r="V5" s="95"/>
      <c r="W5" s="95"/>
      <c r="X5" s="95"/>
      <c r="Y5" s="95"/>
    </row>
    <row r="6" spans="1:25" s="40" customFormat="1" ht="13">
      <c r="A6" s="95"/>
      <c r="B6" s="102"/>
      <c r="C6" s="103"/>
      <c r="D6" s="101"/>
      <c r="E6" s="101"/>
      <c r="F6" s="101"/>
      <c r="G6" s="101"/>
      <c r="H6" s="101"/>
      <c r="I6" s="95"/>
      <c r="J6" s="95"/>
      <c r="K6" s="95"/>
      <c r="L6" s="95"/>
      <c r="M6" s="95"/>
      <c r="N6" s="95"/>
      <c r="O6" s="95"/>
      <c r="P6" s="95"/>
      <c r="Q6" s="95"/>
      <c r="R6" s="95"/>
      <c r="S6" s="95"/>
      <c r="T6" s="95"/>
      <c r="U6" s="95"/>
      <c r="V6" s="95"/>
      <c r="W6" s="95"/>
      <c r="X6" s="95"/>
      <c r="Y6" s="95"/>
    </row>
    <row r="7" spans="1:25" s="40" customFormat="1">
      <c r="A7" s="95"/>
      <c r="B7" s="95"/>
      <c r="C7" s="95"/>
      <c r="D7" s="95"/>
      <c r="E7" s="95"/>
      <c r="F7" s="95"/>
      <c r="G7" s="95"/>
      <c r="H7" s="95"/>
      <c r="I7" s="95"/>
      <c r="J7" s="95"/>
      <c r="K7" s="95"/>
      <c r="L7" s="95"/>
      <c r="M7" s="95"/>
      <c r="N7" s="95"/>
      <c r="O7" s="95"/>
      <c r="P7" s="95"/>
      <c r="Q7" s="95"/>
      <c r="R7" s="95"/>
      <c r="S7" s="95"/>
      <c r="T7" s="95"/>
      <c r="U7" s="95"/>
      <c r="V7" s="95"/>
      <c r="W7" s="95"/>
      <c r="X7" s="95"/>
      <c r="Y7" s="95"/>
    </row>
    <row r="8" spans="1:25" s="40" customFormat="1">
      <c r="A8" s="97">
        <f>SUM(A9:A54)</f>
        <v>0</v>
      </c>
      <c r="B8" s="99">
        <f>SUM(B9:B54)</f>
        <v>0</v>
      </c>
      <c r="C8" s="104"/>
      <c r="D8" s="104"/>
      <c r="E8" s="104"/>
      <c r="F8" s="104"/>
      <c r="G8" s="104"/>
      <c r="H8" s="104"/>
      <c r="I8" s="104"/>
      <c r="J8" s="104"/>
      <c r="K8" s="95"/>
      <c r="L8" s="95"/>
      <c r="M8" s="95"/>
      <c r="N8" s="95"/>
      <c r="O8" s="95"/>
      <c r="P8" s="95"/>
      <c r="Q8" s="95"/>
      <c r="R8" s="95"/>
      <c r="S8" s="95"/>
      <c r="T8" s="95"/>
      <c r="U8" s="95"/>
      <c r="V8" s="95"/>
      <c r="W8" s="95"/>
      <c r="X8" s="95"/>
      <c r="Y8" s="95"/>
    </row>
    <row r="10" spans="1:25" ht="16">
      <c r="A10" s="24"/>
      <c r="B10" s="24"/>
      <c r="C10" s="24"/>
      <c r="D10" s="24" t="s">
        <v>34</v>
      </c>
      <c r="E10" s="24"/>
      <c r="F10" s="24"/>
      <c r="G10" s="24"/>
      <c r="H10" s="24"/>
      <c r="I10" s="24"/>
      <c r="J10" s="24"/>
      <c r="K10" s="24"/>
    </row>
    <row r="11" spans="1:25">
      <c r="A11" s="18"/>
      <c r="B11" s="18"/>
      <c r="C11" s="18"/>
      <c r="D11" s="18"/>
      <c r="E11" s="18"/>
      <c r="F11" s="18"/>
      <c r="G11" s="18"/>
      <c r="H11" s="18"/>
      <c r="I11" s="18"/>
      <c r="J11" s="18"/>
      <c r="K11" s="18"/>
    </row>
    <row r="12" spans="1:25">
      <c r="A12" s="18"/>
      <c r="B12" s="18"/>
      <c r="C12" s="18"/>
      <c r="D12" s="18"/>
      <c r="E12" s="31" t="s">
        <v>33</v>
      </c>
      <c r="F12" s="31" t="s">
        <v>35</v>
      </c>
      <c r="G12" s="31" t="s">
        <v>36</v>
      </c>
      <c r="H12" s="46" t="s">
        <v>24</v>
      </c>
      <c r="I12" s="46" t="s">
        <v>25</v>
      </c>
      <c r="J12" s="18"/>
      <c r="K12" s="18"/>
    </row>
    <row r="13" spans="1:25" s="40" customFormat="1">
      <c r="A13" s="18"/>
      <c r="B13" s="18"/>
      <c r="C13" s="18"/>
      <c r="D13" s="18"/>
      <c r="E13" s="18" t="s">
        <v>313</v>
      </c>
      <c r="F13" s="44" t="s">
        <v>35</v>
      </c>
      <c r="G13" s="5" t="s">
        <v>354</v>
      </c>
      <c r="H13" s="39"/>
      <c r="I13" s="39"/>
      <c r="J13" s="18"/>
      <c r="K13" s="18"/>
    </row>
    <row r="14" spans="1:25" s="40" customFormat="1">
      <c r="A14" s="18"/>
      <c r="B14" s="18"/>
      <c r="C14" s="18"/>
      <c r="D14" s="18"/>
      <c r="E14" s="18" t="s">
        <v>291</v>
      </c>
      <c r="F14" s="44" t="s">
        <v>35</v>
      </c>
      <c r="G14" s="5" t="s">
        <v>355</v>
      </c>
      <c r="H14" s="19">
        <f>iControl!A8</f>
        <v>0</v>
      </c>
      <c r="I14" s="20">
        <f>iControl!B8</f>
        <v>0</v>
      </c>
      <c r="J14" s="18"/>
      <c r="K14" s="18"/>
    </row>
    <row r="15" spans="1:25" s="40" customFormat="1">
      <c r="A15" s="18"/>
      <c r="B15" s="18"/>
      <c r="C15" s="18"/>
      <c r="D15" s="18"/>
      <c r="E15" s="18" t="s">
        <v>292</v>
      </c>
      <c r="F15" s="44" t="s">
        <v>35</v>
      </c>
      <c r="G15" s="5" t="s">
        <v>314</v>
      </c>
      <c r="H15" s="19">
        <f>iOptions!A8</f>
        <v>0</v>
      </c>
      <c r="I15" s="20">
        <f>iOptions!B8</f>
        <v>0</v>
      </c>
      <c r="J15" s="18"/>
      <c r="K15" s="18"/>
    </row>
    <row r="16" spans="1:25" s="40" customFormat="1">
      <c r="A16" s="18"/>
      <c r="B16" s="18"/>
      <c r="C16" s="18"/>
      <c r="D16" s="18"/>
      <c r="E16" s="18" t="s">
        <v>293</v>
      </c>
      <c r="F16" s="44" t="s">
        <v>35</v>
      </c>
      <c r="G16" s="5" t="s">
        <v>418</v>
      </c>
      <c r="H16" s="19">
        <f>iIndices!A8</f>
        <v>0</v>
      </c>
      <c r="I16" s="20">
        <f>iIndices!B8</f>
        <v>0</v>
      </c>
      <c r="J16" s="18"/>
      <c r="K16" s="18"/>
    </row>
    <row r="17" spans="1:11" s="40" customFormat="1">
      <c r="A17" s="18"/>
      <c r="B17" s="18"/>
      <c r="C17" s="18"/>
      <c r="D17" s="18"/>
      <c r="E17" s="18" t="s">
        <v>294</v>
      </c>
      <c r="F17" s="44" t="s">
        <v>35</v>
      </c>
      <c r="G17" s="5" t="s">
        <v>315</v>
      </c>
      <c r="H17" s="19">
        <f>cFactors!A8</f>
        <v>0</v>
      </c>
      <c r="I17" s="20">
        <f>cFactors!B8</f>
        <v>0</v>
      </c>
      <c r="J17" s="18"/>
      <c r="K17" s="18"/>
    </row>
    <row r="18" spans="1:11" s="40" customFormat="1">
      <c r="A18" s="18"/>
      <c r="B18" s="18"/>
      <c r="C18" s="18"/>
      <c r="D18" s="18"/>
      <c r="E18" s="18" t="s">
        <v>295</v>
      </c>
      <c r="F18" s="44" t="s">
        <v>35</v>
      </c>
      <c r="G18" s="5" t="s">
        <v>356</v>
      </c>
      <c r="H18" s="19">
        <f>cVolumetrics!A8</f>
        <v>0</v>
      </c>
      <c r="I18" s="20">
        <f>cVolumetrics!B8</f>
        <v>0</v>
      </c>
      <c r="J18" s="18"/>
      <c r="K18" s="18"/>
    </row>
    <row r="19" spans="1:11" s="40" customFormat="1">
      <c r="A19" s="18"/>
      <c r="B19" s="18"/>
      <c r="C19" s="18"/>
      <c r="D19" s="18"/>
      <c r="E19" s="18" t="s">
        <v>296</v>
      </c>
      <c r="F19" s="44" t="s">
        <v>35</v>
      </c>
      <c r="G19" s="5" t="s">
        <v>357</v>
      </c>
      <c r="H19" s="19">
        <f>cCosts!A8</f>
        <v>0</v>
      </c>
      <c r="I19" s="20">
        <f>cCosts!B8</f>
        <v>0</v>
      </c>
      <c r="J19" s="18"/>
      <c r="K19" s="18"/>
    </row>
    <row r="20" spans="1:11" s="40" customFormat="1">
      <c r="A20" s="18"/>
      <c r="B20" s="18"/>
      <c r="C20" s="18"/>
      <c r="D20" s="18"/>
      <c r="E20" s="18" t="s">
        <v>297</v>
      </c>
      <c r="F20" s="44" t="s">
        <v>35</v>
      </c>
      <c r="G20" s="5" t="s">
        <v>358</v>
      </c>
      <c r="H20" s="19">
        <f>cOutputs!A8</f>
        <v>0</v>
      </c>
      <c r="I20" s="20">
        <f>cOutputs!B8</f>
        <v>0</v>
      </c>
      <c r="J20" s="18"/>
      <c r="K20" s="18"/>
    </row>
    <row r="21" spans="1:11" s="40" customFormat="1">
      <c r="A21" s="18"/>
      <c r="B21" s="18"/>
      <c r="C21" s="18"/>
      <c r="D21" s="18"/>
      <c r="E21" s="18" t="s">
        <v>298</v>
      </c>
      <c r="F21" s="44" t="s">
        <v>35</v>
      </c>
      <c r="G21" s="5" t="s">
        <v>316</v>
      </c>
      <c r="H21" s="19">
        <f>oFinancials!A8</f>
        <v>0</v>
      </c>
      <c r="I21" s="20">
        <f>oFinancials!B8</f>
        <v>0</v>
      </c>
      <c r="J21" s="18"/>
      <c r="K21" s="18"/>
    </row>
    <row r="22" spans="1:11" s="40" customFormat="1">
      <c r="A22" s="18"/>
      <c r="B22" s="18"/>
      <c r="C22" s="18"/>
      <c r="D22" s="18"/>
      <c r="E22" s="18" t="s">
        <v>299</v>
      </c>
      <c r="F22" s="44" t="s">
        <v>35</v>
      </c>
      <c r="G22" s="5" t="s">
        <v>427</v>
      </c>
      <c r="H22" s="19">
        <f>oDashboard!A8</f>
        <v>0</v>
      </c>
      <c r="I22" s="20">
        <f>oDashboard!B8</f>
        <v>0</v>
      </c>
      <c r="J22" s="18"/>
      <c r="K22" s="18"/>
    </row>
    <row r="23" spans="1:11" s="40" customFormat="1">
      <c r="A23" s="18"/>
      <c r="B23" s="18"/>
      <c r="C23" s="18"/>
      <c r="D23" s="18"/>
      <c r="E23" s="18" t="s">
        <v>23</v>
      </c>
      <c r="F23" s="44" t="s">
        <v>35</v>
      </c>
      <c r="G23" s="5" t="s">
        <v>64</v>
      </c>
      <c r="H23" s="19">
        <f>SysConfig!A8</f>
        <v>0</v>
      </c>
      <c r="I23" s="20">
        <f>SysConfig!B8</f>
        <v>0</v>
      </c>
      <c r="J23" s="18"/>
      <c r="K23" s="18"/>
    </row>
    <row r="24" spans="1:11" s="40" customFormat="1">
      <c r="A24" s="18"/>
      <c r="B24" s="18"/>
      <c r="C24" s="18"/>
      <c r="D24" s="18"/>
      <c r="E24" s="18" t="s">
        <v>22</v>
      </c>
      <c r="F24" s="44" t="s">
        <v>35</v>
      </c>
      <c r="G24" s="5" t="s">
        <v>428</v>
      </c>
      <c r="H24" s="19">
        <f>SysTime!A8</f>
        <v>0</v>
      </c>
      <c r="I24" s="20">
        <f>SysTime!B8</f>
        <v>0</v>
      </c>
      <c r="J24" s="18"/>
      <c r="K24" s="18"/>
    </row>
    <row r="25" spans="1:11">
      <c r="A25" s="18"/>
      <c r="B25" s="18"/>
      <c r="C25" s="18"/>
      <c r="D25" s="18"/>
      <c r="E25" s="42" t="s">
        <v>37</v>
      </c>
      <c r="F25" s="43"/>
      <c r="G25" s="84"/>
      <c r="H25" s="43"/>
      <c r="I25" s="43"/>
      <c r="J25" s="18"/>
      <c r="K25" s="74"/>
    </row>
    <row r="26" spans="1:11">
      <c r="A26" s="18"/>
      <c r="B26" s="18"/>
      <c r="C26" s="18"/>
      <c r="D26" s="18"/>
      <c r="E26" s="18"/>
      <c r="F26" s="18"/>
      <c r="G26" s="18"/>
      <c r="H26" s="18"/>
      <c r="I26" s="18"/>
      <c r="J26" s="18"/>
      <c r="K26" s="18"/>
    </row>
    <row r="27" spans="1:11">
      <c r="A27" s="18"/>
      <c r="B27" s="18"/>
      <c r="C27" s="18"/>
      <c r="D27" s="18"/>
      <c r="E27" s="32" t="s">
        <v>26</v>
      </c>
      <c r="F27" s="18"/>
      <c r="G27" s="18"/>
      <c r="H27" s="19">
        <f>IFERROR(SUM(H12:H25),1)</f>
        <v>0</v>
      </c>
      <c r="I27" s="20">
        <f>IFERROR(SUM(I12:I25),1)</f>
        <v>0</v>
      </c>
      <c r="J27" s="18"/>
      <c r="K27" s="18"/>
    </row>
    <row r="28" spans="1:11">
      <c r="A28" s="18"/>
      <c r="B28" s="18"/>
      <c r="C28" s="18"/>
      <c r="D28" s="18"/>
      <c r="E28" s="18"/>
      <c r="F28" s="18"/>
      <c r="G28" s="18"/>
      <c r="H28" s="18"/>
      <c r="I28" s="18"/>
      <c r="J28" s="18"/>
      <c r="K28" s="18"/>
    </row>
    <row r="29" spans="1:11" ht="16">
      <c r="A29" s="24"/>
      <c r="B29" s="24"/>
      <c r="C29" s="24"/>
      <c r="D29" s="24" t="s">
        <v>45</v>
      </c>
      <c r="E29" s="24"/>
      <c r="F29" s="24"/>
      <c r="G29" s="24"/>
      <c r="H29" s="24"/>
      <c r="I29" s="24"/>
      <c r="J29" s="24"/>
      <c r="K29" s="24"/>
    </row>
    <row r="30" spans="1:11">
      <c r="A30" s="18"/>
      <c r="B30" s="18"/>
      <c r="C30" s="18"/>
      <c r="D30" s="18"/>
      <c r="E30" s="18"/>
      <c r="F30" s="18"/>
      <c r="G30" s="18"/>
      <c r="H30" s="18"/>
      <c r="I30" s="18"/>
      <c r="J30" s="18"/>
      <c r="K30" s="18"/>
    </row>
    <row r="31" spans="1:11">
      <c r="A31" s="18"/>
      <c r="B31" s="18"/>
      <c r="C31" s="18"/>
      <c r="D31" s="18"/>
      <c r="E31" s="27" t="s">
        <v>46</v>
      </c>
      <c r="F31" s="18"/>
      <c r="G31" s="18"/>
      <c r="H31" s="18"/>
      <c r="I31" s="18"/>
      <c r="J31" s="18"/>
    </row>
    <row r="32" spans="1:11" s="40" customFormat="1">
      <c r="A32" s="18"/>
      <c r="B32" s="18"/>
      <c r="C32" s="18"/>
      <c r="D32" s="18"/>
      <c r="E32" s="18"/>
      <c r="F32" s="18"/>
      <c r="G32" s="18"/>
      <c r="H32" s="18"/>
      <c r="I32" s="18"/>
      <c r="J32" s="18"/>
      <c r="K32" s="18"/>
    </row>
    <row r="33" spans="1:11" s="40" customFormat="1">
      <c r="A33" s="18"/>
      <c r="B33" s="18"/>
      <c r="C33" s="18"/>
      <c r="D33" s="18"/>
      <c r="E33" s="18"/>
      <c r="F33" s="18"/>
      <c r="G33" s="18"/>
      <c r="H33" s="18"/>
      <c r="I33" s="18"/>
      <c r="J33" s="18"/>
      <c r="K33" s="18"/>
    </row>
    <row r="34" spans="1:11" s="40" customFormat="1">
      <c r="A34" s="18"/>
      <c r="B34" s="18"/>
      <c r="C34" s="18"/>
      <c r="D34" s="18"/>
      <c r="E34" s="18"/>
      <c r="F34" s="18"/>
      <c r="G34" s="18"/>
      <c r="H34" s="18"/>
      <c r="I34" s="18"/>
      <c r="J34" s="18"/>
      <c r="K34" s="18"/>
    </row>
    <row r="35" spans="1:11" s="40" customFormat="1">
      <c r="A35" s="18"/>
      <c r="B35" s="18"/>
      <c r="C35" s="18"/>
      <c r="D35" s="18"/>
      <c r="E35" s="18"/>
      <c r="F35" s="18"/>
      <c r="G35" s="18"/>
      <c r="H35" s="18"/>
      <c r="I35" s="18"/>
      <c r="J35" s="18"/>
      <c r="K35" s="18"/>
    </row>
    <row r="36" spans="1:11" s="40" customFormat="1">
      <c r="A36" s="18"/>
      <c r="B36" s="18"/>
      <c r="C36" s="18"/>
      <c r="D36" s="18"/>
      <c r="E36" s="18"/>
      <c r="F36" s="18"/>
      <c r="G36" s="18"/>
      <c r="H36" s="18"/>
      <c r="I36" s="18"/>
      <c r="J36" s="18"/>
      <c r="K36" s="18"/>
    </row>
    <row r="37" spans="1:11" s="40" customFormat="1">
      <c r="A37" s="18"/>
      <c r="B37" s="18"/>
      <c r="C37" s="18"/>
      <c r="D37" s="18"/>
      <c r="E37" s="18"/>
      <c r="F37" s="18"/>
      <c r="G37" s="18"/>
      <c r="H37" s="18"/>
      <c r="I37" s="18"/>
      <c r="J37" s="18"/>
      <c r="K37" s="18"/>
    </row>
    <row r="38" spans="1:11" s="40" customFormat="1">
      <c r="A38" s="18"/>
      <c r="B38" s="18"/>
      <c r="C38" s="18"/>
      <c r="D38" s="18"/>
      <c r="E38" s="18"/>
      <c r="F38" s="18"/>
      <c r="G38" s="18"/>
      <c r="H38" s="18"/>
      <c r="I38" s="18"/>
      <c r="J38" s="18"/>
      <c r="K38" s="18"/>
    </row>
    <row r="39" spans="1:11" s="40" customFormat="1">
      <c r="A39" s="18"/>
      <c r="B39" s="18"/>
      <c r="C39" s="18"/>
      <c r="D39" s="18"/>
      <c r="E39" s="18"/>
      <c r="F39" s="18"/>
      <c r="G39" s="18"/>
      <c r="H39" s="18"/>
      <c r="I39" s="18"/>
      <c r="J39" s="18"/>
      <c r="K39" s="18"/>
    </row>
    <row r="40" spans="1:11" s="40" customFormat="1">
      <c r="A40" s="18"/>
      <c r="B40" s="18"/>
      <c r="C40" s="18"/>
      <c r="D40" s="18"/>
      <c r="E40" s="18"/>
      <c r="F40" s="18"/>
      <c r="G40" s="18"/>
      <c r="H40" s="18"/>
      <c r="I40" s="18"/>
      <c r="J40" s="18"/>
      <c r="K40" s="18"/>
    </row>
    <row r="41" spans="1:11" s="40" customFormat="1">
      <c r="A41" s="18"/>
      <c r="B41" s="18"/>
      <c r="C41" s="18"/>
      <c r="D41" s="18"/>
      <c r="E41" s="18"/>
      <c r="F41" s="18"/>
      <c r="G41" s="18"/>
      <c r="H41" s="18"/>
      <c r="I41" s="18"/>
      <c r="J41" s="18"/>
      <c r="K41" s="18"/>
    </row>
    <row r="42" spans="1:11" s="40" customFormat="1">
      <c r="A42" s="18"/>
      <c r="B42" s="18"/>
      <c r="C42" s="18"/>
      <c r="D42" s="18"/>
      <c r="E42" s="18"/>
      <c r="F42" s="18"/>
      <c r="G42" s="18"/>
      <c r="H42" s="18"/>
      <c r="I42" s="18"/>
      <c r="J42" s="18"/>
      <c r="K42" s="18"/>
    </row>
    <row r="43" spans="1:11" s="40" customFormat="1">
      <c r="A43" s="18"/>
      <c r="B43" s="18"/>
      <c r="C43" s="18"/>
      <c r="D43" s="18"/>
      <c r="E43" s="18"/>
      <c r="F43" s="18"/>
      <c r="G43" s="18"/>
      <c r="H43" s="18"/>
      <c r="I43" s="18"/>
      <c r="J43" s="18"/>
      <c r="K43" s="18"/>
    </row>
    <row r="44" spans="1:11" s="40" customFormat="1">
      <c r="A44" s="18"/>
      <c r="B44" s="18"/>
      <c r="C44" s="18"/>
      <c r="D44" s="18"/>
      <c r="E44" s="18"/>
      <c r="F44" s="18"/>
      <c r="G44" s="18"/>
      <c r="H44" s="18"/>
      <c r="I44" s="18"/>
      <c r="J44" s="18"/>
      <c r="K44" s="18"/>
    </row>
    <row r="45" spans="1:11" s="40" customFormat="1">
      <c r="A45" s="18"/>
      <c r="B45" s="18"/>
      <c r="C45" s="18"/>
      <c r="D45" s="18"/>
      <c r="E45" s="18"/>
      <c r="F45" s="18"/>
      <c r="G45" s="18"/>
      <c r="H45" s="18"/>
      <c r="I45" s="18"/>
      <c r="J45" s="18"/>
      <c r="K45" s="18"/>
    </row>
    <row r="46" spans="1:11" s="40" customFormat="1">
      <c r="A46" s="18"/>
      <c r="B46" s="18"/>
      <c r="C46" s="18"/>
      <c r="D46" s="18"/>
      <c r="E46" s="18"/>
      <c r="F46" s="18"/>
      <c r="G46" s="18"/>
      <c r="H46" s="18"/>
      <c r="I46" s="18"/>
      <c r="J46" s="18"/>
      <c r="K46" s="18"/>
    </row>
    <row r="47" spans="1:11" s="40" customFormat="1">
      <c r="A47" s="18"/>
      <c r="B47" s="18"/>
      <c r="C47" s="18"/>
      <c r="D47" s="18"/>
      <c r="E47" s="18"/>
      <c r="F47" s="18"/>
      <c r="G47" s="18"/>
      <c r="H47" s="18"/>
      <c r="I47" s="18"/>
      <c r="J47" s="18"/>
      <c r="K47" s="18"/>
    </row>
    <row r="48" spans="1:11" s="40" customFormat="1">
      <c r="A48" s="18"/>
      <c r="B48" s="18"/>
      <c r="C48" s="18"/>
      <c r="D48" s="18"/>
      <c r="E48" s="18"/>
      <c r="F48" s="18"/>
      <c r="G48" s="18"/>
      <c r="H48" s="18"/>
      <c r="I48" s="18"/>
      <c r="J48" s="18"/>
      <c r="K48" s="18"/>
    </row>
    <row r="49" spans="1:11" s="40" customFormat="1">
      <c r="A49" s="18"/>
      <c r="B49" s="18"/>
      <c r="C49" s="18"/>
      <c r="D49" s="18"/>
      <c r="E49" s="18"/>
      <c r="F49" s="18"/>
      <c r="G49" s="18"/>
      <c r="H49" s="18"/>
      <c r="I49" s="18"/>
      <c r="J49" s="18"/>
      <c r="K49" s="18"/>
    </row>
    <row r="50" spans="1:11" s="40" customFormat="1">
      <c r="A50" s="18"/>
      <c r="B50" s="18"/>
      <c r="C50" s="18"/>
      <c r="D50" s="18"/>
      <c r="E50" s="18"/>
      <c r="F50" s="18"/>
      <c r="G50" s="18"/>
      <c r="H50" s="18"/>
      <c r="I50" s="18"/>
      <c r="J50" s="18"/>
      <c r="K50" s="18"/>
    </row>
    <row r="51" spans="1:11" s="40" customFormat="1">
      <c r="A51" s="18"/>
      <c r="B51" s="18"/>
      <c r="C51" s="18"/>
      <c r="D51" s="18"/>
      <c r="E51" s="18"/>
      <c r="F51" s="18"/>
      <c r="G51" s="18"/>
      <c r="H51" s="18"/>
      <c r="I51" s="18"/>
      <c r="J51" s="18"/>
      <c r="K51" s="18"/>
    </row>
    <row r="52" spans="1:11" s="40" customFormat="1">
      <c r="A52" s="18"/>
      <c r="B52" s="18"/>
      <c r="C52" s="18"/>
      <c r="D52" s="18"/>
      <c r="E52" s="18"/>
      <c r="F52" s="18"/>
      <c r="G52" s="18"/>
      <c r="H52" s="18"/>
      <c r="I52" s="18"/>
      <c r="J52" s="18"/>
      <c r="K52" s="18"/>
    </row>
    <row r="53" spans="1:11" s="40" customFormat="1">
      <c r="A53" s="18"/>
      <c r="B53" s="18"/>
      <c r="C53" s="18"/>
      <c r="D53" s="18"/>
      <c r="E53" s="18"/>
      <c r="F53" s="18"/>
      <c r="G53" s="18"/>
      <c r="H53" s="18"/>
      <c r="I53" s="18"/>
      <c r="J53" s="18"/>
      <c r="K53" s="18"/>
    </row>
    <row r="54" spans="1:11" ht="16">
      <c r="A54" s="24"/>
      <c r="B54" s="24"/>
      <c r="C54" s="24"/>
      <c r="D54" s="24" t="s">
        <v>8</v>
      </c>
      <c r="E54" s="24"/>
      <c r="F54" s="24"/>
      <c r="G54" s="24"/>
      <c r="H54" s="24"/>
      <c r="I54" s="24"/>
      <c r="J54" s="24"/>
      <c r="K54" s="24"/>
    </row>
    <row r="57" spans="1:11">
      <c r="E57" s="40"/>
    </row>
  </sheetData>
  <sheetProtection algorithmName="SHA-512" hashValue="R+9H2H0Y2xbQPSg25yCp/ufgLx5D5RS7b/paf+P+ic7uqQAWhiugoWiOEe2ll9eM3DXYX/HdAP51Lp2Zll4JTw==" saltValue="g/MNZO1Y75Ows50dtBi3ww==" spinCount="100000" sheet="1" objects="1" scenarios="1"/>
  <conditionalFormatting sqref="C5:F5">
    <cfRule type="expression" dxfId="35" priority="1">
      <formula>IF(AND(sysChk=0,sysWarn=0),1,0)</formula>
    </cfRule>
    <cfRule type="expression" dxfId="34" priority="2">
      <formula>IF(AND(sysChk=0,sysWarn&lt;&gt;0),1,0)</formula>
    </cfRule>
    <cfRule type="expression" dxfId="33" priority="3">
      <formula>IF(sysChk&lt;&gt;0,1,0)</formula>
    </cfRule>
  </conditionalFormatting>
  <hyperlinks>
    <hyperlink ref="F13" location="'Introduction'!C1" display="'Introduction'!C1" xr:uid="{CEEEAC4F-1A7C-4E03-A5B0-0A8C84BB44C4}"/>
    <hyperlink ref="F14" location="'iControl'!C1" display="'iControl'!C1" xr:uid="{E99068D6-CF7E-411C-8D12-35071ADDFA25}"/>
    <hyperlink ref="F15" location="'iOptions'!C1" display="'iOptions'!C1" xr:uid="{1AD13B22-CA18-4119-8521-2463B2406225}"/>
    <hyperlink ref="F16" location="'iIndices'!C1" display="'iIndices'!C1" xr:uid="{B609866D-8758-4A84-AE77-97EFD2AD8F19}"/>
    <hyperlink ref="F17" location="'cFactors'!C1" display="'cFactors'!C1" xr:uid="{0A595A17-6E3E-488D-8522-EDE06182C45A}"/>
    <hyperlink ref="F18" location="'cVolumetrics'!C1" display="'cVolumetrics'!C1" xr:uid="{39F46B43-0095-494F-8426-036094227E26}"/>
    <hyperlink ref="F19" location="'cCosts'!C1" display="'cCosts'!C1" xr:uid="{9BCAE1E7-1338-4789-A670-E0BDC22C76D7}"/>
    <hyperlink ref="F20" location="'cOutputs'!C1" display="'cOutputs'!C1" xr:uid="{09310D3D-E2F4-47F6-83D7-B4C27E256F5C}"/>
    <hyperlink ref="F21" location="'oFinancials'!C1" display="'oFinancials'!C1" xr:uid="{71023CDD-6A34-4E8D-BD8D-CC1BCE5F1849}"/>
    <hyperlink ref="F22" location="'oDashboard'!C1" display="'oDashboard'!C1" xr:uid="{7120A21E-68B5-4048-B849-C2B247AA9B9D}"/>
    <hyperlink ref="F23" location="'SysConfig'!C1" display="'SysConfig'!C1" xr:uid="{6639C10E-9A9F-4D63-AFEF-0E4311F753FB}"/>
    <hyperlink ref="F24" location="'SysTime'!C1" display="'SysTime'!C1" xr:uid="{59AB5894-BDCF-4D4E-9325-5BEF9FA6247A}"/>
  </hyperlinks>
  <pageMargins left="0.70866141732283472" right="0.70866141732283472" top="0.74803149606299213" bottom="0.74803149606299213" header="0.31496062992125984" footer="0.31496062992125984"/>
  <pageSetup paperSize="9" scale="78" orientation="landscape" r:id="rId1"/>
  <headerFooter>
    <oddFooter>&amp;F</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6">
    <tabColor rgb="FFFFFFCC"/>
    <pageSetUpPr fitToPage="1"/>
  </sheetPr>
  <dimension ref="A1:F8"/>
  <sheetViews>
    <sheetView showGridLines="0" topLeftCell="XFD1048576" workbookViewId="0">
      <selection activeCell="E21" sqref="E21"/>
    </sheetView>
  </sheetViews>
  <sheetFormatPr baseColWidth="10" defaultColWidth="0" defaultRowHeight="12" zeroHeight="1"/>
  <cols>
    <col min="1" max="2" width="5.796875" customWidth="1"/>
    <col min="3" max="16384" width="8.796875" hidden="1"/>
  </cols>
  <sheetData>
    <row r="1" spans="3:6" hidden="1"/>
    <row r="2" spans="3:6" hidden="1"/>
    <row r="3" spans="3:6" hidden="1"/>
    <row r="4" spans="3:6" hidden="1">
      <c r="C4" s="40"/>
    </row>
    <row r="5" spans="3:6" hidden="1"/>
    <row r="6" spans="3:6" hidden="1"/>
    <row r="7" spans="3:6" hidden="1">
      <c r="C7" s="40"/>
      <c r="D7" s="40"/>
      <c r="E7" s="40"/>
      <c r="F7" s="40"/>
    </row>
    <row r="8" spans="3:6" hidden="1">
      <c r="C8" s="40"/>
      <c r="D8" s="40"/>
      <c r="E8" s="40"/>
      <c r="F8" s="40"/>
    </row>
  </sheetData>
  <sheetProtection algorithmName="SHA-512" hashValue="rf8Eyp30xkk559WFd5QV6nBO4Teaot04aJ0/vN/2biOdLV/p0IeAU5BBxV/RiHyC5XTQaTKMBYDf8RFAl5U7wQ==" saltValue="nKajibnH+F4wtASKnH8GlA==" spinCount="100000" sheet="1" objects="1" scenarios="1"/>
  <pageMargins left="0.70866141732283472" right="0.70866141732283472" top="0.74803149606299213" bottom="0.74803149606299213" header="0.31496062992125984" footer="0.31496062992125984"/>
  <pageSetup paperSize="9" orientation="landscape" r:id="rId1"/>
  <headerFooter>
    <oddFooter>&amp;F</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FA4D4F-9CBE-470B-8379-A1FD37A4EF46}">
  <sheetPr codeName="Sheet23">
    <tabColor rgb="FFFFFFCC"/>
    <pageSetUpPr fitToPage="1"/>
  </sheetPr>
  <dimension ref="A1:Y26"/>
  <sheetViews>
    <sheetView showGridLines="0" zoomScale="80" zoomScaleNormal="80" workbookViewId="0">
      <pane ySplit="9" topLeftCell="A10" activePane="bottomLeft" state="frozen"/>
      <selection pane="bottomLeft"/>
    </sheetView>
  </sheetViews>
  <sheetFormatPr baseColWidth="10" defaultColWidth="0" defaultRowHeight="12"/>
  <cols>
    <col min="1" max="2" width="5.796875" style="40" customWidth="1"/>
    <col min="3" max="3" width="11.19921875" style="40" customWidth="1"/>
    <col min="4" max="5" width="3.59765625" style="40" customWidth="1"/>
    <col min="6" max="6" width="33.19921875" style="40" bestFit="1" customWidth="1"/>
    <col min="7" max="7" width="7.19921875" style="40" customWidth="1"/>
    <col min="8" max="8" width="2.59765625" style="40" customWidth="1"/>
    <col min="9" max="9" width="11.3984375" style="40" customWidth="1"/>
    <col min="10" max="25" width="8.796875" style="40" customWidth="1"/>
    <col min="26" max="16384" width="8.796875" style="40" hidden="1"/>
  </cols>
  <sheetData>
    <row r="1" spans="1:25">
      <c r="A1" s="95"/>
      <c r="B1" s="95"/>
      <c r="C1" s="96" t="s">
        <v>436</v>
      </c>
      <c r="D1" s="95"/>
      <c r="E1" s="95"/>
      <c r="F1" s="95"/>
      <c r="G1" s="95"/>
      <c r="H1" s="95"/>
      <c r="I1" s="95"/>
      <c r="J1" s="95"/>
      <c r="K1" s="95"/>
      <c r="L1" s="95"/>
      <c r="M1" s="95"/>
      <c r="N1" s="95"/>
      <c r="O1" s="95"/>
      <c r="P1" s="95"/>
      <c r="Q1" s="95"/>
      <c r="R1" s="95"/>
      <c r="S1" s="95"/>
      <c r="T1" s="95"/>
      <c r="U1" s="95"/>
      <c r="V1" s="95"/>
      <c r="W1" s="95"/>
      <c r="X1" s="95"/>
      <c r="Y1" s="95"/>
    </row>
    <row r="2" spans="1:25" ht="13">
      <c r="A2" s="95"/>
      <c r="B2" s="95"/>
      <c r="C2" s="98" t="str">
        <f>cstProjectName</f>
        <v>Should Cost Modelling Case Study - Illustrative SCM</v>
      </c>
      <c r="D2" s="95"/>
      <c r="E2" s="95"/>
      <c r="F2" s="95"/>
      <c r="G2" s="95"/>
      <c r="H2" s="95"/>
      <c r="I2" s="95"/>
      <c r="J2" s="95"/>
      <c r="K2" s="95"/>
      <c r="L2" s="95"/>
      <c r="M2" s="95"/>
      <c r="N2" s="95"/>
      <c r="O2" s="95"/>
      <c r="P2" s="95"/>
      <c r="Q2" s="95"/>
      <c r="R2" s="95"/>
      <c r="S2" s="95"/>
      <c r="T2" s="95"/>
      <c r="U2" s="95"/>
      <c r="V2" s="95"/>
      <c r="W2" s="95"/>
      <c r="X2" s="95"/>
      <c r="Y2" s="95"/>
    </row>
    <row r="3" spans="1:25" ht="13">
      <c r="A3" s="95"/>
      <c r="B3" s="95"/>
      <c r="C3" s="100" t="str">
        <f ca="1">MID(CELL("filename",A1),FIND("]",CELL("filename",A1))+1,256)&amp;" Sheet"</f>
        <v>iControl Sheet</v>
      </c>
      <c r="D3" s="95"/>
      <c r="E3" s="95"/>
      <c r="F3" s="95"/>
      <c r="G3" s="95"/>
      <c r="H3" s="95"/>
      <c r="I3" s="95"/>
      <c r="J3" s="95"/>
      <c r="K3" s="95"/>
      <c r="L3" s="95"/>
      <c r="M3" s="95"/>
      <c r="N3" s="95"/>
      <c r="O3" s="95"/>
      <c r="P3" s="95"/>
      <c r="Q3" s="95"/>
      <c r="R3" s="95"/>
      <c r="S3" s="95"/>
      <c r="T3" s="95"/>
      <c r="U3" s="95"/>
      <c r="V3" s="95"/>
      <c r="W3" s="95"/>
      <c r="X3" s="95"/>
      <c r="Y3" s="95"/>
    </row>
    <row r="4" spans="1:25">
      <c r="A4" s="95"/>
      <c r="B4" s="95"/>
      <c r="C4" s="96" t="str">
        <f>IF(ISBLANK(cstProtectiveMarking),"",cstProtectiveMarking)</f>
        <v>Not Protectively Marked</v>
      </c>
      <c r="D4" s="95"/>
      <c r="E4" s="95"/>
      <c r="F4" s="95"/>
      <c r="G4" s="95"/>
      <c r="H4" s="95"/>
      <c r="I4" s="95"/>
      <c r="J4" s="95"/>
      <c r="K4" s="95"/>
      <c r="L4" s="95"/>
      <c r="M4" s="95"/>
      <c r="N4" s="95"/>
      <c r="O4" s="95"/>
      <c r="P4" s="95"/>
      <c r="Q4" s="95"/>
      <c r="R4" s="95"/>
      <c r="S4" s="95"/>
      <c r="T4" s="95"/>
      <c r="U4" s="95"/>
      <c r="V4" s="95"/>
      <c r="W4" s="95"/>
      <c r="X4" s="95"/>
      <c r="Y4" s="95"/>
    </row>
    <row r="5" spans="1:25">
      <c r="A5" s="95"/>
      <c r="B5" s="95"/>
      <c r="C5" s="101" t="str">
        <f>HYPERLINK("#'Contents'!A1",sysChkWord)</f>
        <v>All Checks OK</v>
      </c>
      <c r="D5" s="101"/>
      <c r="E5" s="101"/>
      <c r="F5" s="101"/>
      <c r="G5" s="95"/>
      <c r="H5" s="95"/>
      <c r="I5" s="95"/>
      <c r="J5" s="95"/>
      <c r="K5" s="95"/>
      <c r="L5" s="95"/>
      <c r="M5" s="95"/>
      <c r="N5" s="95"/>
      <c r="O5" s="95"/>
      <c r="P5" s="95"/>
      <c r="Q5" s="95"/>
      <c r="R5" s="95"/>
      <c r="S5" s="95"/>
      <c r="T5" s="95"/>
      <c r="U5" s="95"/>
      <c r="V5" s="95"/>
      <c r="W5" s="95"/>
      <c r="X5" s="95"/>
      <c r="Y5" s="95"/>
    </row>
    <row r="6" spans="1:25" ht="13">
      <c r="A6" s="95"/>
      <c r="B6" s="102"/>
      <c r="C6" s="103" t="str">
        <f>HYPERLINK("#'Contents'!A1","Click for Contents")</f>
        <v>Click for Contents</v>
      </c>
      <c r="D6" s="101"/>
      <c r="E6" s="101"/>
      <c r="F6" s="101"/>
      <c r="G6" s="101"/>
      <c r="H6" s="101"/>
      <c r="I6" s="95"/>
      <c r="J6" s="95"/>
      <c r="K6" s="95"/>
      <c r="L6" s="95"/>
      <c r="M6" s="95"/>
      <c r="N6" s="95"/>
      <c r="O6" s="95"/>
      <c r="P6" s="95"/>
      <c r="Q6" s="95"/>
      <c r="R6" s="95"/>
      <c r="S6" s="95"/>
      <c r="T6" s="95"/>
      <c r="U6" s="95"/>
      <c r="V6" s="95"/>
      <c r="W6" s="95"/>
      <c r="X6" s="95"/>
      <c r="Y6" s="95"/>
    </row>
    <row r="7" spans="1:25">
      <c r="A7" s="95"/>
      <c r="B7" s="95"/>
      <c r="C7" s="95"/>
      <c r="D7" s="95"/>
      <c r="E7" s="95"/>
      <c r="F7" s="95"/>
      <c r="G7" s="95"/>
      <c r="H7" s="95"/>
      <c r="I7" s="95"/>
      <c r="J7" s="95"/>
      <c r="K7" s="95"/>
      <c r="L7" s="95"/>
      <c r="M7" s="95"/>
      <c r="N7" s="95"/>
      <c r="O7" s="95"/>
      <c r="P7" s="95"/>
      <c r="Q7" s="95"/>
      <c r="R7" s="95"/>
      <c r="S7" s="95"/>
      <c r="T7" s="95"/>
      <c r="U7" s="95"/>
      <c r="V7" s="95"/>
      <c r="W7" s="95"/>
      <c r="X7" s="95"/>
      <c r="Y7" s="95"/>
    </row>
    <row r="8" spans="1:25">
      <c r="A8" s="97">
        <f>SUM(A9:A26)</f>
        <v>0</v>
      </c>
      <c r="B8" s="99">
        <f>SUM(B9:B26)</f>
        <v>0</v>
      </c>
      <c r="C8" s="104"/>
      <c r="D8" s="104"/>
      <c r="E8" s="104"/>
      <c r="F8" s="104"/>
      <c r="G8" s="104"/>
      <c r="H8" s="104"/>
      <c r="I8" s="104"/>
      <c r="J8" s="104"/>
      <c r="K8" s="95"/>
      <c r="L8" s="95"/>
      <c r="M8" s="95"/>
      <c r="N8" s="95"/>
      <c r="O8" s="95"/>
      <c r="P8" s="95"/>
      <c r="Q8" s="95"/>
      <c r="R8" s="95"/>
      <c r="S8" s="95"/>
      <c r="T8" s="95"/>
      <c r="U8" s="95"/>
      <c r="V8" s="95"/>
      <c r="W8" s="95"/>
      <c r="X8" s="95"/>
      <c r="Y8" s="95"/>
    </row>
    <row r="10" spans="1:25" ht="16">
      <c r="A10" s="24"/>
      <c r="B10" s="24"/>
      <c r="C10" s="24"/>
      <c r="D10" s="24">
        <v>1</v>
      </c>
      <c r="E10" s="24" t="s">
        <v>177</v>
      </c>
      <c r="F10" s="24"/>
      <c r="G10" s="24"/>
      <c r="H10" s="24"/>
      <c r="I10" s="24"/>
      <c r="J10" s="24"/>
      <c r="K10" s="24"/>
      <c r="L10" s="24"/>
      <c r="M10" s="24"/>
      <c r="N10" s="24"/>
      <c r="O10" s="24"/>
      <c r="P10" s="24"/>
      <c r="Q10" s="24"/>
      <c r="R10" s="24"/>
      <c r="S10" s="24"/>
      <c r="T10" s="24"/>
      <c r="U10" s="24"/>
      <c r="V10" s="24"/>
      <c r="W10" s="24"/>
      <c r="X10" s="24"/>
      <c r="Y10" s="24"/>
    </row>
    <row r="11" spans="1:25">
      <c r="A11" s="18"/>
      <c r="B11" s="18"/>
      <c r="C11" s="18"/>
      <c r="D11" s="18"/>
      <c r="E11" s="18"/>
      <c r="F11" s="18"/>
      <c r="G11" s="18"/>
      <c r="H11" s="18"/>
      <c r="I11" s="18"/>
      <c r="J11" s="18"/>
      <c r="K11" s="18"/>
      <c r="L11" s="18"/>
      <c r="M11" s="18"/>
      <c r="N11" s="18"/>
      <c r="O11" s="18"/>
      <c r="P11" s="18"/>
      <c r="Q11" s="18"/>
      <c r="R11" s="18"/>
      <c r="S11" s="18"/>
      <c r="T11" s="18"/>
      <c r="U11" s="18"/>
      <c r="V11" s="18"/>
      <c r="W11" s="18"/>
      <c r="X11" s="18"/>
      <c r="Y11" s="18"/>
    </row>
    <row r="12" spans="1:25">
      <c r="A12" s="18"/>
      <c r="B12" s="18"/>
      <c r="C12" s="18"/>
      <c r="D12" s="18"/>
      <c r="E12" s="18"/>
      <c r="F12" s="18" t="s">
        <v>178</v>
      </c>
      <c r="G12" s="18"/>
      <c r="H12" s="18"/>
      <c r="I12"/>
      <c r="L12" s="18"/>
      <c r="M12" s="41" t="s">
        <v>359</v>
      </c>
      <c r="N12" s="18"/>
      <c r="O12" s="18"/>
      <c r="P12" s="18"/>
      <c r="Q12" s="18"/>
      <c r="R12" s="18"/>
      <c r="S12" s="18"/>
      <c r="T12" s="18"/>
      <c r="U12" s="18"/>
      <c r="V12" s="18"/>
      <c r="W12" s="18"/>
      <c r="X12" s="18"/>
      <c r="Y12" s="18"/>
    </row>
    <row r="13" spans="1:25">
      <c r="A13" s="18"/>
      <c r="B13" s="18"/>
      <c r="C13" s="18"/>
      <c r="D13" s="18"/>
      <c r="E13" s="18"/>
      <c r="F13" s="18"/>
      <c r="G13" s="18"/>
      <c r="H13" s="18"/>
      <c r="L13" s="18"/>
      <c r="M13" s="18"/>
      <c r="N13" s="18"/>
      <c r="O13" s="18"/>
      <c r="P13" s="18"/>
      <c r="Q13" s="18"/>
      <c r="R13" s="18"/>
      <c r="S13" s="18"/>
      <c r="T13" s="18"/>
      <c r="U13" s="18"/>
      <c r="V13" s="18"/>
      <c r="W13" s="18"/>
      <c r="X13" s="18"/>
      <c r="Y13" s="18"/>
    </row>
    <row r="14" spans="1:25">
      <c r="A14" s="19">
        <f>IF(ActiveCallVolumeScenarioIndex=0,1,0)</f>
        <v>0</v>
      </c>
      <c r="B14" s="18"/>
      <c r="C14" s="18"/>
      <c r="D14" s="18"/>
      <c r="E14" s="18"/>
      <c r="F14" s="18" t="s">
        <v>320</v>
      </c>
      <c r="G14" s="17" t="s">
        <v>6</v>
      </c>
      <c r="H14" s="18"/>
      <c r="I14" s="128">
        <v>1</v>
      </c>
      <c r="L14" s="18"/>
      <c r="M14" s="18"/>
      <c r="O14" s="18"/>
      <c r="P14" s="18"/>
      <c r="Q14" s="18"/>
      <c r="R14" s="18"/>
      <c r="S14" s="18"/>
      <c r="T14" s="18"/>
      <c r="U14" s="18"/>
      <c r="V14" s="18"/>
      <c r="W14" s="18"/>
      <c r="X14" s="18"/>
      <c r="Y14" s="18"/>
    </row>
    <row r="15" spans="1:25">
      <c r="A15" s="18"/>
      <c r="B15" s="18"/>
      <c r="C15" s="18"/>
      <c r="D15" s="18"/>
      <c r="E15" s="18"/>
      <c r="F15" s="18"/>
      <c r="G15" s="18"/>
      <c r="H15" s="18"/>
      <c r="L15" s="18"/>
      <c r="M15" s="18"/>
      <c r="N15" s="18"/>
      <c r="O15" s="18"/>
      <c r="P15" s="18"/>
      <c r="Q15" s="18"/>
      <c r="R15" s="18"/>
      <c r="S15" s="18"/>
      <c r="T15" s="18"/>
      <c r="U15" s="18"/>
      <c r="V15" s="18"/>
      <c r="W15" s="18"/>
      <c r="X15" s="18"/>
      <c r="Y15" s="18"/>
    </row>
    <row r="16" spans="1:25">
      <c r="A16" s="18"/>
      <c r="B16" s="18"/>
      <c r="C16" s="18"/>
      <c r="D16" s="18"/>
      <c r="E16" s="18"/>
      <c r="F16" s="18" t="s">
        <v>311</v>
      </c>
      <c r="G16" s="17" t="str">
        <f>cstPercent</f>
        <v>%</v>
      </c>
      <c r="H16" s="17"/>
      <c r="I16" s="6">
        <v>0.1</v>
      </c>
      <c r="L16" s="18"/>
      <c r="M16" s="18"/>
      <c r="N16" s="18"/>
      <c r="O16" s="18"/>
      <c r="P16" s="18"/>
      <c r="Q16" s="18"/>
      <c r="R16" s="18"/>
      <c r="S16" s="18"/>
      <c r="T16" s="18"/>
      <c r="U16" s="18"/>
      <c r="V16" s="18"/>
      <c r="W16" s="18"/>
      <c r="X16" s="18"/>
      <c r="Y16" s="18"/>
    </row>
    <row r="17" spans="1:25">
      <c r="A17" s="18"/>
      <c r="B17" s="18"/>
      <c r="C17" s="18"/>
      <c r="D17" s="18"/>
      <c r="E17" s="18"/>
      <c r="F17" s="18"/>
      <c r="G17" s="18"/>
      <c r="H17" s="18"/>
      <c r="I17" s="18"/>
      <c r="J17" s="18"/>
      <c r="K17" s="18"/>
      <c r="L17" s="18"/>
      <c r="M17" s="18"/>
      <c r="N17" s="18"/>
      <c r="O17" s="18"/>
      <c r="P17" s="18"/>
      <c r="Q17" s="18"/>
      <c r="R17" s="18"/>
      <c r="S17" s="18"/>
      <c r="T17" s="18"/>
      <c r="U17" s="18"/>
      <c r="V17" s="18"/>
      <c r="W17" s="18"/>
      <c r="X17" s="18"/>
      <c r="Y17" s="18"/>
    </row>
    <row r="18" spans="1:25">
      <c r="A18" s="18"/>
      <c r="B18" s="18"/>
      <c r="C18" s="18"/>
      <c r="D18" s="18"/>
      <c r="E18" s="18"/>
      <c r="F18" s="18" t="s">
        <v>199</v>
      </c>
      <c r="G18" s="17" t="str">
        <f>cstHours</f>
        <v>Hrs</v>
      </c>
      <c r="H18" s="18"/>
      <c r="I18" s="9">
        <f>cVolumetrics!$K$39</f>
        <v>90000</v>
      </c>
      <c r="J18" s="18"/>
      <c r="K18" s="18"/>
      <c r="L18" s="18"/>
      <c r="M18" s="18"/>
      <c r="N18" s="18"/>
      <c r="O18" s="18"/>
      <c r="P18" s="18"/>
      <c r="Q18" s="18"/>
      <c r="R18" s="18"/>
      <c r="S18" s="18"/>
      <c r="T18" s="18"/>
      <c r="U18" s="18"/>
      <c r="V18" s="18"/>
      <c r="W18" s="18"/>
      <c r="X18" s="18"/>
      <c r="Y18" s="18"/>
    </row>
    <row r="19" spans="1:25">
      <c r="A19" s="18"/>
      <c r="B19" s="18"/>
      <c r="C19" s="18"/>
      <c r="D19" s="18"/>
      <c r="E19" s="18"/>
      <c r="F19" s="18"/>
      <c r="G19" s="18"/>
      <c r="H19" s="18"/>
      <c r="I19" s="18"/>
      <c r="J19" s="18"/>
      <c r="K19" s="18"/>
      <c r="L19" s="18"/>
      <c r="M19" s="18"/>
      <c r="N19" s="18"/>
      <c r="O19" s="18"/>
      <c r="P19" s="18"/>
      <c r="Q19" s="18"/>
      <c r="R19" s="18"/>
      <c r="S19" s="18"/>
      <c r="T19" s="18"/>
      <c r="U19" s="18"/>
      <c r="V19" s="18"/>
      <c r="W19" s="18"/>
      <c r="X19" s="18"/>
      <c r="Y19" s="18"/>
    </row>
    <row r="20" spans="1:25" ht="16">
      <c r="A20" s="24"/>
      <c r="B20" s="24"/>
      <c r="C20" s="24"/>
      <c r="D20" s="24">
        <v>2</v>
      </c>
      <c r="E20" s="24" t="s">
        <v>194</v>
      </c>
      <c r="F20" s="24"/>
      <c r="G20" s="24"/>
      <c r="H20" s="24"/>
      <c r="I20" s="24"/>
      <c r="J20" s="24"/>
      <c r="K20" s="24"/>
      <c r="L20" s="24"/>
      <c r="M20" s="24"/>
      <c r="N20" s="24"/>
      <c r="O20" s="24"/>
      <c r="P20" s="24"/>
      <c r="Q20" s="24"/>
      <c r="R20" s="24"/>
      <c r="S20" s="24"/>
      <c r="T20" s="24"/>
      <c r="U20" s="24"/>
      <c r="V20" s="24"/>
      <c r="W20" s="24"/>
      <c r="X20" s="24"/>
      <c r="Y20" s="24"/>
    </row>
    <row r="21" spans="1:25">
      <c r="A21" s="18"/>
      <c r="B21" s="18"/>
      <c r="C21" s="18"/>
      <c r="D21" s="18"/>
      <c r="E21" s="18"/>
      <c r="F21" s="18"/>
      <c r="G21" s="18"/>
      <c r="H21" s="18"/>
      <c r="I21" s="18"/>
      <c r="J21" s="18"/>
      <c r="K21" s="18"/>
      <c r="L21" s="18"/>
      <c r="M21" s="18"/>
      <c r="N21" s="18"/>
      <c r="O21" s="18"/>
      <c r="P21" s="18"/>
      <c r="Q21" s="18"/>
      <c r="R21" s="18"/>
      <c r="S21" s="18"/>
      <c r="T21" s="18"/>
      <c r="U21" s="18"/>
      <c r="V21" s="18"/>
      <c r="W21" s="18"/>
      <c r="X21" s="18"/>
      <c r="Y21" s="18"/>
    </row>
    <row r="22" spans="1:25">
      <c r="A22" s="18"/>
      <c r="B22" s="18"/>
      <c r="C22" s="18"/>
      <c r="D22" s="18"/>
      <c r="E22" s="18"/>
      <c r="F22" s="18" t="s">
        <v>178</v>
      </c>
      <c r="G22" s="18"/>
      <c r="H22" s="18"/>
      <c r="I22"/>
      <c r="J22" s="18"/>
      <c r="K22" s="18"/>
      <c r="L22" s="18"/>
      <c r="M22" s="41" t="s">
        <v>359</v>
      </c>
      <c r="N22" s="18"/>
      <c r="O22" s="18"/>
      <c r="P22" s="18"/>
      <c r="Q22" s="18"/>
      <c r="R22" s="18"/>
      <c r="S22" s="18"/>
      <c r="T22" s="18"/>
      <c r="U22" s="18"/>
      <c r="V22" s="18"/>
      <c r="W22" s="18"/>
      <c r="X22" s="18"/>
      <c r="Y22" s="18"/>
    </row>
    <row r="23" spans="1:25">
      <c r="A23" s="18"/>
      <c r="B23" s="18"/>
      <c r="C23" s="18"/>
      <c r="D23" s="18"/>
      <c r="E23" s="18"/>
      <c r="F23" s="18"/>
      <c r="G23" s="18"/>
      <c r="H23" s="18"/>
      <c r="J23" s="18"/>
      <c r="K23" s="18"/>
      <c r="L23" s="18"/>
      <c r="M23" s="18"/>
      <c r="N23" s="18"/>
      <c r="O23" s="18"/>
      <c r="P23" s="18"/>
      <c r="Q23" s="18"/>
      <c r="R23" s="18"/>
      <c r="S23" s="18"/>
      <c r="T23" s="18"/>
      <c r="U23" s="18"/>
      <c r="V23" s="18"/>
      <c r="W23" s="18"/>
      <c r="X23" s="18"/>
      <c r="Y23" s="18"/>
    </row>
    <row r="24" spans="1:25">
      <c r="A24" s="19">
        <f>IF(ActiveCostScenarioIndex=0,1,0)</f>
        <v>0</v>
      </c>
      <c r="B24" s="18"/>
      <c r="C24" s="18"/>
      <c r="D24" s="18"/>
      <c r="E24" s="18"/>
      <c r="F24" s="18" t="s">
        <v>321</v>
      </c>
      <c r="G24" s="17" t="s">
        <v>6</v>
      </c>
      <c r="H24" s="18"/>
      <c r="I24" s="128">
        <v>2</v>
      </c>
      <c r="J24" s="18"/>
      <c r="K24" s="18"/>
      <c r="L24" s="18"/>
      <c r="M24" s="18"/>
      <c r="N24" s="18"/>
      <c r="O24" s="18"/>
      <c r="P24" s="18"/>
      <c r="Q24" s="18"/>
      <c r="R24" s="18"/>
      <c r="S24" s="18"/>
      <c r="T24" s="18"/>
      <c r="U24" s="18"/>
      <c r="V24" s="18"/>
      <c r="W24" s="18"/>
      <c r="X24" s="18"/>
      <c r="Y24" s="18"/>
    </row>
    <row r="25" spans="1:25">
      <c r="A25" s="18"/>
      <c r="B25" s="18"/>
      <c r="C25" s="18"/>
      <c r="D25" s="18"/>
      <c r="E25" s="18"/>
      <c r="F25" s="18"/>
      <c r="G25" s="18"/>
      <c r="H25" s="18"/>
      <c r="I25" s="18"/>
      <c r="J25" s="18"/>
      <c r="K25" s="18"/>
      <c r="L25" s="18"/>
      <c r="M25" s="18"/>
      <c r="N25" s="18"/>
      <c r="O25" s="18"/>
      <c r="P25" s="18"/>
      <c r="Q25" s="18"/>
      <c r="R25" s="18"/>
      <c r="S25" s="18"/>
      <c r="T25" s="18"/>
      <c r="U25" s="18"/>
      <c r="V25" s="18"/>
      <c r="W25" s="18"/>
      <c r="X25" s="18"/>
      <c r="Y25" s="18"/>
    </row>
    <row r="26" spans="1:25" ht="16">
      <c r="A26" s="24"/>
      <c r="B26" s="24"/>
      <c r="C26" s="24"/>
      <c r="D26" s="24" t="s">
        <v>8</v>
      </c>
      <c r="E26" s="24"/>
      <c r="F26" s="24"/>
      <c r="G26" s="24"/>
      <c r="H26" s="24"/>
      <c r="I26" s="24"/>
      <c r="J26" s="24"/>
      <c r="K26" s="24"/>
      <c r="L26" s="24"/>
      <c r="M26" s="24"/>
      <c r="N26" s="24"/>
      <c r="O26" s="24"/>
      <c r="P26" s="24"/>
      <c r="Q26" s="24"/>
      <c r="R26" s="24"/>
      <c r="S26" s="24"/>
      <c r="T26" s="24"/>
      <c r="U26" s="24"/>
      <c r="V26" s="24"/>
      <c r="W26" s="24"/>
      <c r="X26" s="24"/>
      <c r="Y26" s="24"/>
    </row>
  </sheetData>
  <sheetProtection algorithmName="SHA-512" hashValue="PpdpYEHnJ/RK+3ZKz6FAg/M4aBG246IdH4q37Sr2FVFSrEOMJ2b/Q0ampYm/Pn8oBkYio9aI0fZ7eD6oOJWpwQ==" saltValue="sxXSVAV3FN5gtGhIywnPCw==" spinCount="100000" sheet="1" objects="1" scenarios="1"/>
  <conditionalFormatting sqref="C5:F5">
    <cfRule type="expression" dxfId="32" priority="1">
      <formula>IF(AND(sysChk=0,sysWarn=0),1,0)</formula>
    </cfRule>
    <cfRule type="expression" dxfId="31" priority="2">
      <formula>IF(AND(sysChk=0,sysWarn&lt;&gt;0),1,0)</formula>
    </cfRule>
    <cfRule type="expression" dxfId="30" priority="3">
      <formula>IF(sysChk&lt;&gt;0,1,0)</formula>
    </cfRule>
  </conditionalFormatting>
  <dataValidations count="2">
    <dataValidation type="decimal" allowBlank="1" showInputMessage="1" showErrorMessage="1" sqref="I16" xr:uid="{222C229F-406B-4007-9E33-5A0214B02789}">
      <formula1>0</formula1>
      <formula2>1</formula2>
    </dataValidation>
    <dataValidation type="whole" allowBlank="1" showInputMessage="1" showErrorMessage="1" sqref="I14 I24" xr:uid="{3423F698-44D4-432C-940E-F1FBA46019C9}">
      <formula1>1</formula1>
      <formula2>3</formula2>
    </dataValidation>
  </dataValidations>
  <pageMargins left="0.70866141732283472" right="0.70866141732283472" top="0.74803149606299213" bottom="0.74803149606299213" header="0.31496062992125984" footer="0.31496062992125984"/>
  <pageSetup paperSize="9" scale="64" orientation="landscape" r:id="rId1"/>
  <headerFooter>
    <oddFooter>&amp;F</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1267" r:id="rId4" name="Drop Down 3">
              <controlPr defaultSize="0" autoLine="0" autoPict="0">
                <anchor moveWithCells="1">
                  <from>
                    <xdr:col>8</xdr:col>
                    <xdr:colOff>25400</xdr:colOff>
                    <xdr:row>10</xdr:row>
                    <xdr:rowOff>139700</xdr:rowOff>
                  </from>
                  <to>
                    <xdr:col>10</xdr:col>
                    <xdr:colOff>101600</xdr:colOff>
                    <xdr:row>12</xdr:row>
                    <xdr:rowOff>0</xdr:rowOff>
                  </to>
                </anchor>
              </controlPr>
            </control>
          </mc:Choice>
        </mc:AlternateContent>
        <mc:AlternateContent xmlns:mc="http://schemas.openxmlformats.org/markup-compatibility/2006">
          <mc:Choice Requires="x14">
            <control shapeId="11269" r:id="rId5" name="Drop Down 5">
              <controlPr defaultSize="0" autoLine="0" autoPict="0">
                <anchor moveWithCells="1">
                  <from>
                    <xdr:col>8</xdr:col>
                    <xdr:colOff>0</xdr:colOff>
                    <xdr:row>20</xdr:row>
                    <xdr:rowOff>139700</xdr:rowOff>
                  </from>
                  <to>
                    <xdr:col>10</xdr:col>
                    <xdr:colOff>88900</xdr:colOff>
                    <xdr:row>21</xdr:row>
                    <xdr:rowOff>139700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272EE0-34E0-478C-9139-B22A8E765773}">
  <sheetPr codeName="Sheet10">
    <tabColor rgb="FFFFFFCC"/>
    <pageSetUpPr fitToPage="1"/>
  </sheetPr>
  <dimension ref="A1:X181"/>
  <sheetViews>
    <sheetView showGridLines="0" zoomScale="80" zoomScaleNormal="80" workbookViewId="0">
      <pane ySplit="9" topLeftCell="A10" activePane="bottomLeft" state="frozen"/>
      <selection pane="bottomLeft"/>
    </sheetView>
  </sheetViews>
  <sheetFormatPr baseColWidth="10" defaultColWidth="0" defaultRowHeight="12"/>
  <cols>
    <col min="1" max="2" width="5.796875" style="40" customWidth="1"/>
    <col min="3" max="3" width="10.796875" style="40" bestFit="1" customWidth="1"/>
    <col min="4" max="4" width="2.59765625" style="40" bestFit="1" customWidth="1"/>
    <col min="5" max="5" width="4.19921875" style="40" customWidth="1"/>
    <col min="6" max="6" width="27.796875" style="40" bestFit="1" customWidth="1"/>
    <col min="7" max="7" width="14.59765625" style="40" bestFit="1" customWidth="1"/>
    <col min="8" max="10" width="8.796875" style="40" customWidth="1"/>
    <col min="11" max="11" width="23.19921875" style="40" customWidth="1"/>
    <col min="12" max="12" width="8.19921875" style="40" customWidth="1"/>
    <col min="13" max="15" width="11.3984375" style="40" customWidth="1"/>
    <col min="16" max="16" width="8.796875" style="40" customWidth="1"/>
    <col min="17" max="17" width="13.59765625" style="40" bestFit="1" customWidth="1"/>
    <col min="18" max="18" width="8.796875" style="40" customWidth="1"/>
    <col min="19" max="20" width="11.3984375" style="40" bestFit="1" customWidth="1"/>
    <col min="21" max="24" width="0" style="40" hidden="1" customWidth="1"/>
    <col min="25" max="16384" width="8.796875" style="40" hidden="1"/>
  </cols>
  <sheetData>
    <row r="1" spans="1:24">
      <c r="A1" s="95"/>
      <c r="B1" s="95"/>
      <c r="C1" s="96" t="s">
        <v>436</v>
      </c>
      <c r="D1" s="95"/>
      <c r="E1" s="95"/>
      <c r="F1" s="95"/>
      <c r="G1" s="95"/>
      <c r="H1" s="95"/>
      <c r="I1" s="95"/>
      <c r="J1" s="95"/>
      <c r="K1" s="95"/>
      <c r="L1" s="95"/>
      <c r="M1" s="95"/>
      <c r="N1" s="95"/>
      <c r="O1" s="95"/>
      <c r="P1" s="95"/>
      <c r="Q1" s="95"/>
      <c r="R1" s="95"/>
      <c r="S1" s="95"/>
      <c r="T1" s="95"/>
      <c r="U1" s="95"/>
      <c r="V1" s="95"/>
      <c r="W1" s="95"/>
      <c r="X1" s="95"/>
    </row>
    <row r="2" spans="1:24" ht="13">
      <c r="A2" s="95"/>
      <c r="B2" s="95"/>
      <c r="C2" s="98" t="str">
        <f>cstProjectName</f>
        <v>Should Cost Modelling Case Study - Illustrative SCM</v>
      </c>
      <c r="D2" s="95"/>
      <c r="E2" s="95"/>
      <c r="F2" s="95"/>
      <c r="G2" s="95"/>
      <c r="H2" s="95"/>
      <c r="I2" s="95"/>
      <c r="J2" s="95"/>
      <c r="K2" s="95"/>
      <c r="L2" s="95"/>
      <c r="M2" s="95"/>
      <c r="N2" s="95"/>
      <c r="O2" s="95"/>
      <c r="P2" s="95"/>
      <c r="Q2" s="95"/>
      <c r="R2" s="95"/>
      <c r="S2" s="95"/>
      <c r="T2" s="95"/>
      <c r="U2" s="95"/>
      <c r="V2" s="95"/>
      <c r="W2" s="95"/>
      <c r="X2" s="95"/>
    </row>
    <row r="3" spans="1:24" ht="13">
      <c r="A3" s="95"/>
      <c r="B3" s="95"/>
      <c r="C3" s="100" t="str">
        <f ca="1">MID(CELL("filename",A1),FIND("]",CELL("filename",A1))+1,256)&amp;" Sheet"</f>
        <v>iOptions Sheet</v>
      </c>
      <c r="D3" s="95"/>
      <c r="E3" s="95"/>
      <c r="F3" s="95"/>
      <c r="G3" s="95"/>
      <c r="H3" s="95"/>
      <c r="I3" s="95"/>
      <c r="J3" s="95"/>
      <c r="K3" s="95"/>
      <c r="L3" s="95"/>
      <c r="M3" s="95"/>
      <c r="N3" s="95"/>
      <c r="O3" s="95"/>
      <c r="P3" s="95"/>
      <c r="Q3" s="95"/>
      <c r="R3" s="95"/>
      <c r="S3" s="95"/>
      <c r="T3" s="95"/>
      <c r="U3" s="95"/>
      <c r="V3" s="95"/>
      <c r="W3" s="95"/>
      <c r="X3" s="95"/>
    </row>
    <row r="4" spans="1:24">
      <c r="A4" s="95"/>
      <c r="B4" s="95"/>
      <c r="C4" s="96" t="str">
        <f>IF(ISBLANK(cstProtectiveMarking),"",cstProtectiveMarking)</f>
        <v>Not Protectively Marked</v>
      </c>
      <c r="D4" s="95"/>
      <c r="E4" s="95"/>
      <c r="F4" s="95"/>
      <c r="G4" s="95"/>
      <c r="H4" s="95"/>
      <c r="I4" s="95"/>
      <c r="J4" s="95"/>
      <c r="K4" s="95"/>
      <c r="L4" s="95"/>
      <c r="M4" s="95"/>
      <c r="N4" s="95"/>
      <c r="O4" s="95"/>
      <c r="P4" s="95"/>
      <c r="Q4" s="95"/>
      <c r="R4" s="95"/>
      <c r="S4" s="95"/>
      <c r="T4" s="95"/>
      <c r="U4" s="95"/>
      <c r="V4" s="95"/>
      <c r="W4" s="95"/>
      <c r="X4" s="95"/>
    </row>
    <row r="5" spans="1:24">
      <c r="A5" s="95"/>
      <c r="B5" s="95"/>
      <c r="C5" s="101" t="str">
        <f>HYPERLINK("#'Contents'!A1",sysChkWord)</f>
        <v>All Checks OK</v>
      </c>
      <c r="D5" s="101"/>
      <c r="E5" s="101"/>
      <c r="F5" s="101"/>
      <c r="G5" s="95"/>
      <c r="H5" s="95"/>
      <c r="I5" s="95"/>
      <c r="J5" s="95"/>
      <c r="K5" s="95"/>
      <c r="L5" s="95"/>
      <c r="M5" s="95"/>
      <c r="N5" s="95"/>
      <c r="O5" s="95"/>
      <c r="P5" s="95"/>
      <c r="Q5" s="95"/>
      <c r="R5" s="95"/>
      <c r="S5" s="95"/>
      <c r="T5" s="95"/>
      <c r="U5" s="95"/>
      <c r="V5" s="95"/>
      <c r="W5" s="95"/>
      <c r="X5" s="95"/>
    </row>
    <row r="6" spans="1:24" ht="13">
      <c r="A6" s="95"/>
      <c r="B6" s="102"/>
      <c r="C6" s="103" t="str">
        <f>HYPERLINK("#'Contents'!A1","Click for Contents")</f>
        <v>Click for Contents</v>
      </c>
      <c r="D6" s="101"/>
      <c r="E6" s="101"/>
      <c r="F6" s="101"/>
      <c r="G6" s="95"/>
      <c r="H6" s="95"/>
      <c r="I6" s="95"/>
      <c r="J6" s="95"/>
      <c r="K6" s="95"/>
      <c r="L6" s="95"/>
      <c r="M6" s="95"/>
      <c r="N6" s="95"/>
      <c r="O6" s="95"/>
      <c r="P6" s="95"/>
      <c r="Q6" s="95"/>
      <c r="R6" s="95"/>
      <c r="S6" s="95"/>
      <c r="T6" s="95"/>
      <c r="U6" s="95"/>
      <c r="V6" s="95"/>
      <c r="W6" s="95"/>
      <c r="X6" s="95"/>
    </row>
    <row r="7" spans="1:24">
      <c r="A7" s="95"/>
      <c r="B7" s="95"/>
      <c r="C7" s="95"/>
      <c r="D7" s="95"/>
      <c r="E7" s="95"/>
      <c r="F7" s="95"/>
      <c r="G7" s="95"/>
      <c r="H7" s="95"/>
      <c r="I7" s="104"/>
      <c r="J7" s="104"/>
      <c r="K7" s="104"/>
      <c r="L7" s="104"/>
      <c r="M7" s="104"/>
      <c r="N7" s="104" t="s">
        <v>81</v>
      </c>
      <c r="O7" s="104"/>
      <c r="P7" s="104"/>
      <c r="Q7" s="104"/>
      <c r="R7" s="104"/>
      <c r="S7" s="95"/>
      <c r="T7" s="95"/>
      <c r="U7" s="95"/>
      <c r="V7" s="95"/>
      <c r="W7" s="95"/>
      <c r="X7" s="95"/>
    </row>
    <row r="8" spans="1:24">
      <c r="A8" s="97">
        <f>SUM(A9:A181)</f>
        <v>0</v>
      </c>
      <c r="B8" s="99">
        <f>SUM(B9:B181)</f>
        <v>0</v>
      </c>
      <c r="C8" s="104"/>
      <c r="D8" s="104"/>
      <c r="E8" s="104"/>
      <c r="F8" s="104"/>
      <c r="G8" s="104" t="s">
        <v>5</v>
      </c>
      <c r="H8" s="104"/>
      <c r="I8" s="104" t="s">
        <v>66</v>
      </c>
      <c r="J8" s="104"/>
      <c r="K8" s="104" t="s">
        <v>322</v>
      </c>
      <c r="L8" s="104"/>
      <c r="M8" s="104" t="str">
        <f>SysConfig!F101</f>
        <v>Low Case</v>
      </c>
      <c r="N8" s="104" t="str">
        <f>SysConfig!F102</f>
        <v>Base Case</v>
      </c>
      <c r="O8" s="104" t="str">
        <f>SysConfig!F103</f>
        <v>High Case</v>
      </c>
      <c r="P8" s="104"/>
      <c r="Q8" s="104" t="s">
        <v>82</v>
      </c>
      <c r="R8" s="104"/>
      <c r="S8" s="95"/>
      <c r="T8" s="95"/>
      <c r="U8" s="95"/>
      <c r="V8" s="95"/>
      <c r="W8" s="95"/>
      <c r="X8" s="95"/>
    </row>
    <row r="10" spans="1:24" ht="16">
      <c r="A10" s="24"/>
      <c r="B10" s="24"/>
      <c r="C10" s="24"/>
      <c r="D10" s="24">
        <v>1</v>
      </c>
      <c r="E10" s="24" t="s">
        <v>83</v>
      </c>
      <c r="F10" s="24"/>
      <c r="G10" s="24"/>
      <c r="H10" s="24"/>
      <c r="I10" s="24"/>
      <c r="J10" s="24"/>
      <c r="K10" s="24"/>
      <c r="L10" s="24"/>
      <c r="M10" s="24"/>
      <c r="N10" s="24"/>
      <c r="O10" s="24"/>
      <c r="P10" s="24"/>
      <c r="Q10" s="24"/>
      <c r="R10" s="24"/>
      <c r="S10" s="24"/>
      <c r="T10" s="24"/>
    </row>
    <row r="11" spans="1:24">
      <c r="A11" s="18"/>
      <c r="B11" s="18"/>
      <c r="C11" s="18"/>
      <c r="D11" s="18"/>
      <c r="E11" s="18"/>
      <c r="F11" s="18"/>
      <c r="G11" s="18"/>
      <c r="H11" s="18"/>
      <c r="I11" s="18"/>
      <c r="J11" s="18"/>
      <c r="K11" s="18"/>
      <c r="L11" s="18"/>
      <c r="M11" s="18"/>
      <c r="N11" s="18"/>
      <c r="O11" s="18"/>
      <c r="P11" s="18"/>
      <c r="Q11" s="18"/>
      <c r="R11" s="18"/>
      <c r="S11" s="18"/>
      <c r="T11" s="18"/>
    </row>
    <row r="12" spans="1:24" s="25" customFormat="1" ht="14" thickBot="1">
      <c r="E12" s="25" t="s">
        <v>387</v>
      </c>
      <c r="F12" s="25" t="s">
        <v>84</v>
      </c>
    </row>
    <row r="13" spans="1:24">
      <c r="A13" s="18"/>
      <c r="B13" s="18"/>
      <c r="C13" s="18"/>
      <c r="D13" s="18"/>
      <c r="E13" s="18"/>
      <c r="F13" s="18"/>
      <c r="G13" s="18"/>
      <c r="H13" s="18"/>
      <c r="I13" s="18"/>
      <c r="J13" s="18"/>
      <c r="K13" s="18"/>
      <c r="L13" s="18"/>
      <c r="M13" s="18"/>
      <c r="N13" s="18"/>
      <c r="O13" s="18"/>
      <c r="P13" s="18"/>
      <c r="Q13" s="18"/>
      <c r="R13" s="18"/>
      <c r="S13" s="18"/>
      <c r="T13" s="18"/>
    </row>
    <row r="14" spans="1:24" ht="13">
      <c r="A14" s="18"/>
      <c r="B14" s="18"/>
      <c r="C14" s="18"/>
      <c r="D14" s="18"/>
      <c r="E14" s="18"/>
      <c r="F14" s="26" t="s">
        <v>77</v>
      </c>
      <c r="G14" s="18"/>
      <c r="H14" s="18"/>
      <c r="I14" s="18"/>
      <c r="J14" s="18"/>
      <c r="K14" s="18"/>
      <c r="L14" s="18"/>
      <c r="M14" s="18"/>
      <c r="N14" s="18"/>
      <c r="O14" s="18"/>
      <c r="P14" s="18"/>
      <c r="Q14" s="18"/>
      <c r="R14" s="18"/>
      <c r="S14" s="18"/>
      <c r="T14" s="18"/>
    </row>
    <row r="15" spans="1:24">
      <c r="A15" s="18"/>
      <c r="B15" s="18"/>
      <c r="C15" s="18"/>
      <c r="D15" s="18"/>
      <c r="E15" s="18"/>
      <c r="F15" s="18"/>
      <c r="G15" s="18"/>
      <c r="H15" s="18"/>
      <c r="I15" s="18"/>
      <c r="J15" s="18"/>
      <c r="K15" s="18"/>
      <c r="L15" s="18"/>
      <c r="M15" s="18"/>
      <c r="N15" s="18"/>
      <c r="O15" s="18"/>
      <c r="P15" s="18"/>
      <c r="Q15" s="18"/>
      <c r="R15" s="18"/>
      <c r="S15" s="18"/>
      <c r="T15" s="18"/>
    </row>
    <row r="16" spans="1:24">
      <c r="A16" s="18"/>
      <c r="B16" s="18"/>
      <c r="C16" s="18"/>
      <c r="D16" s="18"/>
      <c r="E16" s="18"/>
      <c r="F16" s="18" t="str">
        <f>SysConfig!F95</f>
        <v>Scenario A</v>
      </c>
      <c r="G16" s="17" t="str">
        <f>cstHours</f>
        <v>Hrs</v>
      </c>
      <c r="H16" s="18"/>
      <c r="I16" s="49">
        <v>1</v>
      </c>
      <c r="J16" s="18"/>
      <c r="K16" s="5"/>
      <c r="L16" s="18"/>
      <c r="M16" s="39"/>
      <c r="N16" s="8">
        <v>100000</v>
      </c>
      <c r="O16" s="39"/>
      <c r="P16" s="18"/>
      <c r="Q16" s="39"/>
      <c r="R16" s="18"/>
      <c r="S16" s="18"/>
      <c r="T16" s="18"/>
    </row>
    <row r="17" spans="1:20">
      <c r="A17" s="18"/>
      <c r="B17" s="18"/>
      <c r="C17" s="18"/>
      <c r="D17" s="18"/>
      <c r="E17" s="18"/>
      <c r="F17" s="18" t="str">
        <f>SysConfig!F96</f>
        <v>Scenario B</v>
      </c>
      <c r="G17" s="17" t="str">
        <f>cstHours</f>
        <v>Hrs</v>
      </c>
      <c r="H17" s="18"/>
      <c r="I17" s="49">
        <v>1</v>
      </c>
      <c r="J17" s="18"/>
      <c r="K17" s="5"/>
      <c r="L17" s="18"/>
      <c r="M17" s="39"/>
      <c r="N17" s="8">
        <v>150000</v>
      </c>
      <c r="O17" s="39"/>
      <c r="P17" s="18"/>
      <c r="Q17" s="39"/>
      <c r="R17" s="18"/>
      <c r="S17" s="18"/>
      <c r="T17" s="18"/>
    </row>
    <row r="18" spans="1:20">
      <c r="A18" s="18"/>
      <c r="B18" s="18"/>
      <c r="C18" s="18"/>
      <c r="D18" s="18"/>
      <c r="E18" s="18"/>
      <c r="F18" s="18" t="str">
        <f>SysConfig!F97</f>
        <v>Scenario C</v>
      </c>
      <c r="G18" s="17" t="str">
        <f>cstHours</f>
        <v>Hrs</v>
      </c>
      <c r="H18" s="18"/>
      <c r="I18" s="49">
        <v>1</v>
      </c>
      <c r="J18" s="18"/>
      <c r="K18" s="5"/>
      <c r="L18" s="18"/>
      <c r="M18" s="39"/>
      <c r="N18" s="8">
        <v>200000</v>
      </c>
      <c r="O18" s="39"/>
      <c r="P18" s="18"/>
      <c r="Q18" s="39"/>
      <c r="R18" s="18"/>
      <c r="S18" s="18"/>
      <c r="T18" s="18"/>
    </row>
    <row r="19" spans="1:20">
      <c r="A19" s="18"/>
      <c r="B19" s="18"/>
      <c r="C19" s="18"/>
      <c r="D19" s="18"/>
      <c r="E19" s="18"/>
      <c r="F19" s="18"/>
      <c r="G19" s="18"/>
      <c r="H19" s="18"/>
      <c r="I19" s="18"/>
      <c r="J19" s="18"/>
      <c r="K19" s="18"/>
      <c r="L19" s="18"/>
      <c r="M19" s="18"/>
      <c r="N19" s="18"/>
      <c r="O19" s="18"/>
      <c r="P19" s="18"/>
      <c r="Q19" s="18"/>
      <c r="R19" s="18"/>
      <c r="S19" s="18"/>
      <c r="T19" s="18"/>
    </row>
    <row r="20" spans="1:20" ht="16">
      <c r="A20" s="24"/>
      <c r="B20" s="24"/>
      <c r="C20" s="24"/>
      <c r="D20" s="24">
        <v>2</v>
      </c>
      <c r="E20" s="24" t="s">
        <v>85</v>
      </c>
      <c r="F20" s="24"/>
      <c r="G20" s="24"/>
      <c r="H20" s="24"/>
      <c r="I20" s="24"/>
      <c r="J20" s="24"/>
      <c r="K20" s="24"/>
      <c r="L20" s="24"/>
      <c r="M20" s="24"/>
      <c r="N20" s="24"/>
      <c r="O20" s="24"/>
      <c r="P20" s="24"/>
      <c r="Q20" s="24"/>
      <c r="R20" s="24"/>
      <c r="S20" s="24"/>
      <c r="T20" s="24"/>
    </row>
    <row r="21" spans="1:20">
      <c r="A21" s="18"/>
      <c r="B21" s="18"/>
      <c r="C21" s="18"/>
      <c r="D21" s="18"/>
      <c r="E21" s="18"/>
      <c r="F21" s="18"/>
      <c r="G21" s="18"/>
      <c r="H21" s="18"/>
      <c r="I21" s="18"/>
      <c r="J21" s="18"/>
      <c r="K21" s="18"/>
      <c r="L21" s="18"/>
      <c r="M21" s="18"/>
      <c r="N21" s="18"/>
      <c r="O21" s="18"/>
      <c r="P21" s="18"/>
      <c r="Q21" s="18"/>
      <c r="R21" s="18"/>
      <c r="S21" s="18"/>
      <c r="T21" s="18"/>
    </row>
    <row r="22" spans="1:20" s="25" customFormat="1" ht="14" thickBot="1">
      <c r="E22" s="25" t="s">
        <v>388</v>
      </c>
      <c r="F22" s="25" t="s">
        <v>86</v>
      </c>
    </row>
    <row r="23" spans="1:20">
      <c r="A23" s="18"/>
      <c r="B23" s="18"/>
      <c r="C23" s="18"/>
      <c r="D23" s="18"/>
      <c r="E23" s="18"/>
      <c r="F23" s="18"/>
      <c r="G23" s="18"/>
      <c r="H23" s="18"/>
      <c r="I23" s="18"/>
      <c r="J23" s="18"/>
      <c r="K23" s="18"/>
      <c r="L23" s="18"/>
      <c r="M23" s="18"/>
      <c r="N23" s="18"/>
      <c r="O23" s="18"/>
      <c r="P23" s="18"/>
      <c r="Q23" s="18"/>
      <c r="R23" s="18"/>
      <c r="S23" s="18"/>
      <c r="T23" s="18"/>
    </row>
    <row r="24" spans="1:20" ht="13">
      <c r="A24" s="18"/>
      <c r="B24" s="18"/>
      <c r="C24" s="18"/>
      <c r="D24" s="18"/>
      <c r="E24" s="18"/>
      <c r="F24" s="26" t="s">
        <v>87</v>
      </c>
      <c r="G24" s="18"/>
      <c r="H24" s="18"/>
      <c r="I24" s="18"/>
      <c r="J24" s="18"/>
      <c r="K24" s="18"/>
      <c r="L24" s="18"/>
      <c r="M24" s="18"/>
      <c r="N24" s="18"/>
      <c r="O24" s="18"/>
      <c r="P24" s="18"/>
      <c r="Q24" s="18"/>
      <c r="R24" s="18"/>
      <c r="S24" s="18"/>
      <c r="T24" s="18"/>
    </row>
    <row r="25" spans="1:20">
      <c r="A25" s="18"/>
      <c r="B25" s="18"/>
      <c r="C25" s="18"/>
      <c r="D25" s="18"/>
      <c r="E25" s="18"/>
      <c r="F25" s="18"/>
      <c r="G25" s="18"/>
      <c r="H25" s="18"/>
      <c r="I25" s="18"/>
      <c r="J25" s="18"/>
      <c r="K25" s="18"/>
      <c r="L25" s="18"/>
      <c r="M25" s="18"/>
      <c r="N25" s="18"/>
      <c r="O25" s="18"/>
      <c r="P25" s="18"/>
      <c r="Q25" s="18"/>
      <c r="R25" s="18"/>
      <c r="S25" s="18"/>
      <c r="T25" s="18"/>
    </row>
    <row r="26" spans="1:20">
      <c r="A26" s="19">
        <f>IF(N26=0,1,0)</f>
        <v>0</v>
      </c>
      <c r="B26" s="18"/>
      <c r="C26" s="18"/>
      <c r="D26" s="18"/>
      <c r="E26" s="18"/>
      <c r="F26" s="18" t="s">
        <v>201</v>
      </c>
      <c r="G26" s="17" t="str">
        <f>cstHours</f>
        <v>Hrs</v>
      </c>
      <c r="H26" s="18"/>
      <c r="I26" s="49">
        <v>2</v>
      </c>
      <c r="J26" s="18"/>
      <c r="K26" s="5"/>
      <c r="L26" s="18"/>
      <c r="M26" s="39"/>
      <c r="N26" s="8">
        <v>1912</v>
      </c>
      <c r="O26" s="39"/>
      <c r="P26" s="18"/>
      <c r="Q26" s="39"/>
      <c r="R26" s="18"/>
      <c r="S26" s="18"/>
      <c r="T26" s="18"/>
    </row>
    <row r="27" spans="1:20">
      <c r="A27" s="18"/>
      <c r="B27" s="18"/>
      <c r="C27" s="18"/>
      <c r="D27" s="18"/>
      <c r="E27" s="18"/>
      <c r="F27" s="18"/>
      <c r="G27" s="18"/>
      <c r="H27" s="18"/>
      <c r="I27" s="18"/>
      <c r="J27" s="18"/>
      <c r="K27" s="18"/>
      <c r="L27" s="18"/>
      <c r="M27" s="18"/>
      <c r="N27" s="18"/>
      <c r="O27" s="18"/>
      <c r="P27" s="18"/>
      <c r="Q27"/>
      <c r="R27" s="18"/>
      <c r="S27" s="18"/>
      <c r="T27" s="18"/>
    </row>
    <row r="28" spans="1:20">
      <c r="A28" s="19">
        <f>IF(OR(M28&lt;=0,M28&gt;1,N28&lt;=0,N28&gt;1,O28&lt;=0,O28&gt;1),1,0)</f>
        <v>0</v>
      </c>
      <c r="C28" s="18"/>
      <c r="D28" s="18"/>
      <c r="E28" s="18"/>
      <c r="F28" s="18" t="s">
        <v>202</v>
      </c>
      <c r="G28" s="17" t="str">
        <f>cstPercent</f>
        <v>%</v>
      </c>
      <c r="H28" s="18"/>
      <c r="I28" s="49">
        <v>3</v>
      </c>
      <c r="J28" s="18"/>
      <c r="K28" s="5"/>
      <c r="L28" s="18"/>
      <c r="M28" s="6">
        <v>0.75</v>
      </c>
      <c r="N28" s="6">
        <v>0.8</v>
      </c>
      <c r="O28" s="6">
        <v>0.85</v>
      </c>
      <c r="P28" s="18"/>
      <c r="Q28" s="39"/>
      <c r="R28" s="18"/>
      <c r="T28"/>
    </row>
    <row r="29" spans="1:20">
      <c r="A29" s="18"/>
      <c r="B29" s="18"/>
      <c r="C29" s="18"/>
      <c r="D29" s="18"/>
      <c r="E29" s="18"/>
      <c r="F29" s="18"/>
      <c r="G29" s="18"/>
      <c r="H29" s="18"/>
      <c r="I29" s="18"/>
      <c r="J29" s="18"/>
      <c r="K29" s="18"/>
      <c r="L29" s="18"/>
      <c r="M29" s="18"/>
      <c r="N29" s="18"/>
      <c r="O29" s="18"/>
      <c r="P29" s="18"/>
      <c r="Q29" s="18"/>
      <c r="R29" s="18"/>
      <c r="S29" s="18"/>
      <c r="T29" s="18"/>
    </row>
    <row r="30" spans="1:20" s="25" customFormat="1" ht="14" thickBot="1">
      <c r="E30" s="25" t="s">
        <v>389</v>
      </c>
      <c r="F30" s="25" t="s">
        <v>97</v>
      </c>
    </row>
    <row r="31" spans="1:20">
      <c r="A31" s="18"/>
      <c r="B31" s="18"/>
      <c r="C31" s="18"/>
      <c r="D31" s="18"/>
      <c r="E31" s="18"/>
      <c r="F31" s="18"/>
      <c r="G31" s="18"/>
      <c r="H31" s="18"/>
      <c r="I31" s="18"/>
      <c r="J31" s="18"/>
      <c r="K31" s="18"/>
      <c r="L31" s="18"/>
      <c r="M31" s="18"/>
      <c r="N31" s="18"/>
      <c r="O31" s="18"/>
      <c r="P31" s="18"/>
      <c r="Q31" s="18"/>
      <c r="R31" s="18"/>
      <c r="S31" s="18"/>
      <c r="T31" s="18"/>
    </row>
    <row r="32" spans="1:20" ht="13">
      <c r="A32" s="18"/>
      <c r="B32" s="18"/>
      <c r="C32" s="18"/>
      <c r="D32" s="18"/>
      <c r="E32" s="18"/>
      <c r="F32" s="26" t="s">
        <v>88</v>
      </c>
      <c r="G32" s="18"/>
      <c r="H32" s="18"/>
      <c r="I32" s="18"/>
      <c r="J32" s="18"/>
      <c r="K32" s="18"/>
      <c r="L32" s="18"/>
      <c r="M32" s="18"/>
      <c r="N32" s="18"/>
      <c r="O32" s="18"/>
      <c r="P32" s="18"/>
      <c r="Q32" s="18"/>
      <c r="R32" s="18"/>
      <c r="S32" s="18"/>
      <c r="T32" s="18"/>
    </row>
    <row r="33" spans="1:20">
      <c r="A33" s="18"/>
      <c r="B33" s="18"/>
      <c r="C33" s="18"/>
      <c r="D33" s="18"/>
      <c r="E33" s="18"/>
      <c r="F33" s="18"/>
      <c r="G33" s="18"/>
      <c r="H33" s="18"/>
      <c r="I33" s="18"/>
      <c r="J33" s="18"/>
      <c r="K33" s="18"/>
      <c r="L33" s="18"/>
      <c r="M33" s="18"/>
      <c r="N33" s="18"/>
      <c r="O33" s="18"/>
      <c r="P33" s="18"/>
      <c r="Q33" s="18"/>
      <c r="R33" s="18"/>
      <c r="S33" s="18"/>
      <c r="T33" s="18"/>
    </row>
    <row r="34" spans="1:20">
      <c r="A34" s="19">
        <f>IF(OR(M34=0,N34=0,O34=0),1,0)</f>
        <v>0</v>
      </c>
      <c r="B34" s="18"/>
      <c r="C34" s="18"/>
      <c r="D34" s="18"/>
      <c r="E34" s="18"/>
      <c r="F34" s="18" t="s">
        <v>88</v>
      </c>
      <c r="G34" s="17" t="str">
        <f>cstNum</f>
        <v>#</v>
      </c>
      <c r="H34" s="18"/>
      <c r="I34" s="49">
        <v>4</v>
      </c>
      <c r="J34" s="18"/>
      <c r="K34" s="5"/>
      <c r="L34" s="18"/>
      <c r="M34" s="8">
        <v>13</v>
      </c>
      <c r="N34" s="8">
        <v>15</v>
      </c>
      <c r="O34" s="8">
        <v>17</v>
      </c>
      <c r="P34" s="18"/>
      <c r="Q34" s="39"/>
      <c r="R34" s="18"/>
      <c r="S34" s="18"/>
      <c r="T34" s="18"/>
    </row>
    <row r="35" spans="1:20">
      <c r="A35" s="18"/>
      <c r="B35" s="18"/>
      <c r="C35" s="18"/>
      <c r="D35" s="18"/>
      <c r="E35" s="18"/>
      <c r="F35" s="18"/>
      <c r="G35" s="18"/>
      <c r="H35" s="18"/>
      <c r="I35" s="18"/>
      <c r="J35" s="18"/>
      <c r="K35" s="18"/>
      <c r="L35" s="18"/>
      <c r="M35" s="18"/>
      <c r="N35" s="18"/>
      <c r="O35" s="18"/>
      <c r="P35" s="18"/>
      <c r="Q35" s="18"/>
      <c r="R35" s="18"/>
      <c r="S35" s="18"/>
      <c r="T35" s="18"/>
    </row>
    <row r="36" spans="1:20" s="25" customFormat="1" ht="14" thickBot="1">
      <c r="E36" s="25" t="s">
        <v>89</v>
      </c>
    </row>
    <row r="37" spans="1:20">
      <c r="A37" s="18"/>
      <c r="B37" s="18"/>
      <c r="C37" s="18"/>
      <c r="D37" s="18"/>
      <c r="E37" s="18"/>
      <c r="F37" s="18"/>
      <c r="G37" s="18"/>
      <c r="H37" s="18"/>
      <c r="I37" s="18"/>
      <c r="J37" s="18"/>
      <c r="K37" s="18"/>
      <c r="L37" s="18"/>
      <c r="M37" s="18"/>
      <c r="N37" s="18"/>
      <c r="O37" s="18"/>
      <c r="P37" s="18"/>
      <c r="Q37" s="18"/>
      <c r="R37" s="18"/>
      <c r="S37" s="18"/>
      <c r="T37" s="18"/>
    </row>
    <row r="38" spans="1:20" ht="13">
      <c r="A38" s="18"/>
      <c r="B38" s="18"/>
      <c r="C38" s="18"/>
      <c r="D38" s="18"/>
      <c r="E38" s="18"/>
      <c r="F38" s="26" t="s">
        <v>90</v>
      </c>
      <c r="G38" s="18"/>
      <c r="H38" s="18"/>
      <c r="I38" s="18"/>
      <c r="J38" s="18"/>
      <c r="K38" s="18"/>
      <c r="L38" s="18"/>
      <c r="M38" s="18"/>
      <c r="N38" s="18"/>
      <c r="O38" s="18"/>
      <c r="P38" s="18"/>
      <c r="Q38" s="18"/>
      <c r="R38" s="18"/>
      <c r="S38" s="18"/>
      <c r="T38" s="18"/>
    </row>
    <row r="39" spans="1:20">
      <c r="A39" s="18"/>
      <c r="B39" s="18"/>
      <c r="C39" s="18"/>
      <c r="D39" s="18"/>
      <c r="E39" s="18"/>
      <c r="F39" s="18"/>
      <c r="G39" s="18"/>
      <c r="H39" s="18"/>
      <c r="I39" s="18"/>
      <c r="J39" s="18"/>
      <c r="K39" s="18"/>
      <c r="L39" s="18"/>
      <c r="M39" s="18"/>
      <c r="N39" s="18"/>
      <c r="O39" s="18"/>
      <c r="P39" s="18"/>
      <c r="Q39" s="18"/>
      <c r="R39" s="18"/>
      <c r="S39" s="18"/>
      <c r="T39" s="18"/>
    </row>
    <row r="40" spans="1:20">
      <c r="A40" s="18"/>
      <c r="B40" s="18"/>
      <c r="C40" s="18"/>
      <c r="D40" s="18"/>
      <c r="E40" s="18"/>
      <c r="F40" s="18" t="s">
        <v>91</v>
      </c>
      <c r="G40" s="17" t="str">
        <f>cstNum</f>
        <v>#</v>
      </c>
      <c r="H40" s="18"/>
      <c r="I40" s="49">
        <v>5</v>
      </c>
      <c r="J40" s="18"/>
      <c r="K40" s="5"/>
      <c r="L40" s="18"/>
      <c r="M40" s="39"/>
      <c r="N40" s="8">
        <v>3</v>
      </c>
      <c r="O40" s="39"/>
      <c r="P40" s="18"/>
      <c r="Q40" s="39"/>
      <c r="R40" s="18"/>
      <c r="S40" s="18"/>
      <c r="T40" s="18"/>
    </row>
    <row r="41" spans="1:20">
      <c r="A41" s="18"/>
      <c r="B41" s="18"/>
      <c r="C41" s="18"/>
      <c r="D41" s="18"/>
      <c r="E41" s="18"/>
      <c r="F41" s="18" t="s">
        <v>92</v>
      </c>
      <c r="G41" s="17" t="str">
        <f>cstNum</f>
        <v>#</v>
      </c>
      <c r="H41" s="18"/>
      <c r="I41" s="49">
        <v>5</v>
      </c>
      <c r="J41" s="18"/>
      <c r="K41" s="5"/>
      <c r="L41" s="18"/>
      <c r="M41" s="39"/>
      <c r="N41" s="8">
        <v>2</v>
      </c>
      <c r="O41" s="39"/>
      <c r="P41" s="18"/>
      <c r="Q41" s="39"/>
      <c r="R41" s="18"/>
      <c r="S41" s="18"/>
      <c r="T41" s="18"/>
    </row>
    <row r="42" spans="1:20">
      <c r="A42" s="18"/>
      <c r="B42" s="18"/>
      <c r="C42" s="18"/>
      <c r="D42" s="18"/>
      <c r="E42" s="18"/>
      <c r="F42" s="18" t="s">
        <v>93</v>
      </c>
      <c r="G42" s="17" t="str">
        <f>cstNum</f>
        <v>#</v>
      </c>
      <c r="H42" s="18"/>
      <c r="I42" s="49">
        <v>5</v>
      </c>
      <c r="J42" s="18"/>
      <c r="K42" s="5"/>
      <c r="L42" s="18"/>
      <c r="M42" s="39"/>
      <c r="N42" s="8">
        <v>1</v>
      </c>
      <c r="O42" s="39"/>
      <c r="P42" s="18"/>
      <c r="Q42" s="39"/>
      <c r="R42" s="18"/>
      <c r="S42" s="18"/>
      <c r="T42" s="18"/>
    </row>
    <row r="43" spans="1:20">
      <c r="A43" s="18"/>
      <c r="B43" s="18"/>
      <c r="C43" s="18"/>
      <c r="D43" s="18"/>
      <c r="E43" s="18"/>
      <c r="F43" s="18" t="s">
        <v>94</v>
      </c>
      <c r="G43" s="17" t="str">
        <f>cstNum</f>
        <v>#</v>
      </c>
      <c r="H43" s="18"/>
      <c r="I43" s="49">
        <v>5</v>
      </c>
      <c r="J43" s="18"/>
      <c r="K43" s="5"/>
      <c r="L43" s="18"/>
      <c r="M43" s="39"/>
      <c r="N43" s="8">
        <v>1</v>
      </c>
      <c r="O43" s="39"/>
      <c r="P43" s="18"/>
      <c r="Q43" s="39"/>
      <c r="R43" s="18"/>
      <c r="S43" s="18"/>
      <c r="T43" s="18"/>
    </row>
    <row r="44" spans="1:20">
      <c r="A44" s="18"/>
      <c r="B44" s="18"/>
      <c r="C44" s="18"/>
      <c r="D44" s="18"/>
      <c r="E44" s="18"/>
      <c r="F44" s="18"/>
      <c r="G44" s="18"/>
      <c r="H44" s="18"/>
      <c r="I44" s="18"/>
      <c r="J44" s="18"/>
      <c r="K44" s="18"/>
      <c r="L44" s="18"/>
      <c r="M44" s="18"/>
      <c r="N44" s="18"/>
      <c r="O44" s="18"/>
      <c r="P44" s="18"/>
      <c r="Q44" s="18"/>
      <c r="R44" s="18"/>
      <c r="S44" s="18"/>
      <c r="T44" s="18"/>
    </row>
    <row r="45" spans="1:20" s="25" customFormat="1" ht="14" thickBot="1">
      <c r="E45" s="25" t="s">
        <v>95</v>
      </c>
    </row>
    <row r="46" spans="1:20">
      <c r="A46" s="18"/>
      <c r="B46" s="18"/>
      <c r="C46" s="18"/>
      <c r="D46" s="18"/>
      <c r="E46" s="18"/>
      <c r="F46" s="18"/>
      <c r="G46" s="18"/>
      <c r="H46" s="18"/>
      <c r="I46" s="18"/>
      <c r="J46" s="18"/>
      <c r="K46" s="18"/>
      <c r="L46" s="18"/>
      <c r="M46" s="18"/>
      <c r="N46" s="18"/>
      <c r="O46" s="18"/>
      <c r="P46" s="18"/>
      <c r="Q46" s="18"/>
      <c r="R46" s="18"/>
      <c r="S46" s="18"/>
      <c r="T46" s="18"/>
    </row>
    <row r="47" spans="1:20" ht="13">
      <c r="A47" s="18"/>
      <c r="B47" s="18"/>
      <c r="C47" s="18"/>
      <c r="D47" s="18"/>
      <c r="E47" s="18"/>
      <c r="F47" s="26" t="s">
        <v>96</v>
      </c>
      <c r="G47" s="18"/>
      <c r="H47" s="18"/>
      <c r="I47" s="18"/>
      <c r="J47" s="18"/>
      <c r="K47" s="18"/>
      <c r="L47" s="18"/>
      <c r="M47" s="18"/>
      <c r="N47" s="18"/>
      <c r="O47" s="18"/>
      <c r="P47" s="18"/>
      <c r="Q47" s="18"/>
      <c r="R47" s="18"/>
      <c r="S47" s="18"/>
      <c r="T47" s="18"/>
    </row>
    <row r="48" spans="1:20">
      <c r="A48" s="18"/>
      <c r="B48" s="18"/>
      <c r="C48" s="18"/>
      <c r="D48" s="18"/>
      <c r="E48" s="18"/>
      <c r="F48" s="18"/>
      <c r="G48" s="18"/>
      <c r="H48" s="18"/>
      <c r="I48" s="18"/>
      <c r="J48" s="18"/>
      <c r="K48" s="18"/>
      <c r="L48" s="18"/>
      <c r="M48" s="18"/>
      <c r="N48" s="18"/>
      <c r="O48" s="18"/>
      <c r="P48" s="18"/>
      <c r="Q48" s="18"/>
      <c r="R48" s="18"/>
      <c r="S48" s="18"/>
      <c r="T48" s="18"/>
    </row>
    <row r="49" spans="1:20">
      <c r="A49" s="19">
        <f>IF(ISNA(MATCH(Q49,iIndices!$F$16:$F$21,0)),1,0)</f>
        <v>0</v>
      </c>
      <c r="B49" s="18"/>
      <c r="C49" s="18"/>
      <c r="D49" s="18"/>
      <c r="E49" s="18"/>
      <c r="F49" s="18" t="s">
        <v>86</v>
      </c>
      <c r="G49" s="17" t="str">
        <f t="shared" ref="G49:G54" si="0">cstConstantUnit</f>
        <v>£ 2022/23</v>
      </c>
      <c r="H49" s="18"/>
      <c r="I49" s="49">
        <v>6</v>
      </c>
      <c r="J49" s="18"/>
      <c r="K49" s="5"/>
      <c r="L49" s="18"/>
      <c r="M49" s="8">
        <v>26000</v>
      </c>
      <c r="N49" s="8">
        <v>29000</v>
      </c>
      <c r="O49" s="8">
        <v>33000</v>
      </c>
      <c r="P49" s="18"/>
      <c r="Q49" s="3" t="s">
        <v>164</v>
      </c>
      <c r="R49" s="18"/>
      <c r="S49" s="18"/>
      <c r="T49" s="18"/>
    </row>
    <row r="50" spans="1:20">
      <c r="A50" s="19">
        <f>IF(ISNA(MATCH(Q50,iIndices!$F$16:$F$21,0)),1,0)</f>
        <v>0</v>
      </c>
      <c r="B50" s="18"/>
      <c r="C50" s="18"/>
      <c r="D50" s="18"/>
      <c r="E50" s="18"/>
      <c r="F50" s="18" t="s">
        <v>97</v>
      </c>
      <c r="G50" s="17" t="str">
        <f t="shared" si="0"/>
        <v>£ 2022/23</v>
      </c>
      <c r="H50" s="18"/>
      <c r="I50" s="49">
        <v>6</v>
      </c>
      <c r="J50" s="18"/>
      <c r="K50" s="5"/>
      <c r="L50" s="18"/>
      <c r="M50" s="8">
        <v>34000</v>
      </c>
      <c r="N50" s="8">
        <v>38000</v>
      </c>
      <c r="O50" s="8">
        <v>44000</v>
      </c>
      <c r="P50" s="18"/>
      <c r="Q50" s="3" t="s">
        <v>164</v>
      </c>
      <c r="R50" s="18"/>
      <c r="S50" s="18"/>
      <c r="T50" s="18"/>
    </row>
    <row r="51" spans="1:20">
      <c r="A51" s="19">
        <f>IF(ISNA(MATCH(Q51,iIndices!$F$16:$F$21,0)),1,0)</f>
        <v>0</v>
      </c>
      <c r="B51" s="18"/>
      <c r="C51" s="18"/>
      <c r="D51" s="18"/>
      <c r="E51" s="18"/>
      <c r="F51" s="18" t="s">
        <v>91</v>
      </c>
      <c r="G51" s="17" t="str">
        <f t="shared" si="0"/>
        <v>£ 2022/23</v>
      </c>
      <c r="H51" s="18"/>
      <c r="I51" s="49">
        <v>6</v>
      </c>
      <c r="J51" s="18"/>
      <c r="K51" s="5"/>
      <c r="L51" s="18"/>
      <c r="M51" s="8">
        <v>24000</v>
      </c>
      <c r="N51" s="8">
        <v>27000</v>
      </c>
      <c r="O51" s="8">
        <v>31000</v>
      </c>
      <c r="P51" s="18"/>
      <c r="Q51" s="3" t="s">
        <v>164</v>
      </c>
      <c r="R51" s="18"/>
      <c r="S51" s="18"/>
      <c r="T51" s="18"/>
    </row>
    <row r="52" spans="1:20">
      <c r="A52" s="19">
        <f>IF(ISNA(MATCH(Q52,iIndices!$F$16:$F$21,0)),1,0)</f>
        <v>0</v>
      </c>
      <c r="B52" s="18"/>
      <c r="C52" s="18"/>
      <c r="D52" s="18"/>
      <c r="E52" s="18"/>
      <c r="F52" s="18" t="s">
        <v>92</v>
      </c>
      <c r="G52" s="17" t="str">
        <f t="shared" si="0"/>
        <v>£ 2022/23</v>
      </c>
      <c r="H52" s="18"/>
      <c r="I52" s="49">
        <v>6</v>
      </c>
      <c r="J52" s="18"/>
      <c r="K52" s="5"/>
      <c r="L52" s="18"/>
      <c r="M52" s="8">
        <v>32000</v>
      </c>
      <c r="N52" s="8">
        <v>36000</v>
      </c>
      <c r="O52" s="8">
        <v>41000</v>
      </c>
      <c r="P52" s="18"/>
      <c r="Q52" s="3" t="s">
        <v>164</v>
      </c>
      <c r="R52" s="18"/>
      <c r="S52" s="18"/>
      <c r="T52" s="18"/>
    </row>
    <row r="53" spans="1:20">
      <c r="A53" s="19">
        <f>IF(ISNA(MATCH(Q53,iIndices!$F$16:$F$21,0)),1,0)</f>
        <v>0</v>
      </c>
      <c r="B53" s="18"/>
      <c r="C53" s="18"/>
      <c r="D53" s="18"/>
      <c r="E53" s="18"/>
      <c r="F53" s="18" t="s">
        <v>93</v>
      </c>
      <c r="G53" s="17" t="str">
        <f t="shared" si="0"/>
        <v>£ 2022/23</v>
      </c>
      <c r="H53" s="18"/>
      <c r="I53" s="49">
        <v>6</v>
      </c>
      <c r="J53" s="18"/>
      <c r="K53" s="5"/>
      <c r="L53" s="18"/>
      <c r="M53" s="8">
        <v>46000</v>
      </c>
      <c r="N53" s="8">
        <v>51000</v>
      </c>
      <c r="O53" s="8">
        <v>59000</v>
      </c>
      <c r="P53" s="18"/>
      <c r="Q53" s="3" t="s">
        <v>164</v>
      </c>
      <c r="R53" s="18"/>
      <c r="S53" s="18"/>
      <c r="T53" s="18"/>
    </row>
    <row r="54" spans="1:20">
      <c r="A54" s="19">
        <f>IF(ISNA(MATCH(Q54,iIndices!$F$16:$F$21,0)),1,0)</f>
        <v>0</v>
      </c>
      <c r="B54" s="18"/>
      <c r="C54" s="18"/>
      <c r="D54" s="18"/>
      <c r="E54" s="18"/>
      <c r="F54" s="18" t="s">
        <v>94</v>
      </c>
      <c r="G54" s="17" t="str">
        <f t="shared" si="0"/>
        <v>£ 2022/23</v>
      </c>
      <c r="H54" s="18"/>
      <c r="I54" s="49">
        <v>6</v>
      </c>
      <c r="J54" s="18"/>
      <c r="K54" s="5"/>
      <c r="L54" s="18"/>
      <c r="M54" s="8">
        <v>36000</v>
      </c>
      <c r="N54" s="8">
        <v>40000</v>
      </c>
      <c r="O54" s="8">
        <v>46000</v>
      </c>
      <c r="P54" s="18"/>
      <c r="Q54" s="3" t="s">
        <v>164</v>
      </c>
      <c r="R54" s="18"/>
      <c r="S54" s="18"/>
      <c r="T54" s="18"/>
    </row>
    <row r="55" spans="1:20">
      <c r="A55" s="18"/>
      <c r="B55" s="18"/>
      <c r="C55" s="18"/>
      <c r="D55" s="18"/>
      <c r="E55" s="18"/>
      <c r="F55" s="18"/>
      <c r="G55" s="18"/>
      <c r="H55" s="18"/>
      <c r="I55" s="18"/>
      <c r="J55" s="18"/>
      <c r="K55" s="18"/>
      <c r="L55" s="18"/>
      <c r="M55" s="18"/>
      <c r="N55" s="18"/>
      <c r="O55" s="18"/>
      <c r="P55" s="18"/>
      <c r="Q55" s="18"/>
      <c r="R55" s="18"/>
      <c r="S55" s="18"/>
      <c r="T55" s="18"/>
    </row>
    <row r="56" spans="1:20" s="24" customFormat="1" ht="16">
      <c r="D56" s="24">
        <v>3</v>
      </c>
      <c r="E56" s="24" t="s">
        <v>118</v>
      </c>
    </row>
    <row r="57" spans="1:20">
      <c r="A57" s="18"/>
      <c r="B57" s="18"/>
      <c r="C57" s="18"/>
      <c r="D57" s="18"/>
      <c r="E57" s="18"/>
      <c r="F57" s="18"/>
      <c r="G57" s="18"/>
      <c r="H57" s="18"/>
      <c r="I57" s="18"/>
      <c r="J57" s="18"/>
      <c r="K57" s="18"/>
      <c r="L57" s="18"/>
      <c r="M57" s="18"/>
      <c r="N57" s="18"/>
      <c r="O57" s="18"/>
      <c r="P57" s="18"/>
      <c r="Q57" s="18"/>
      <c r="R57" s="18"/>
      <c r="S57" s="18"/>
      <c r="T57" s="18"/>
    </row>
    <row r="58" spans="1:20" s="25" customFormat="1" ht="14" thickBot="1">
      <c r="E58" s="25" t="s">
        <v>390</v>
      </c>
      <c r="F58" s="25" t="s">
        <v>119</v>
      </c>
    </row>
    <row r="59" spans="1:20">
      <c r="A59" s="18"/>
      <c r="B59" s="18"/>
      <c r="C59" s="18"/>
      <c r="D59" s="18"/>
      <c r="E59" s="18"/>
      <c r="F59" s="18"/>
      <c r="G59" s="18"/>
      <c r="H59" s="18"/>
      <c r="I59" s="18"/>
      <c r="J59" s="18"/>
      <c r="K59" s="18"/>
      <c r="L59" s="18"/>
      <c r="M59" s="18"/>
      <c r="N59" s="18"/>
      <c r="O59" s="18"/>
      <c r="P59" s="18"/>
      <c r="Q59" s="18"/>
      <c r="R59" s="18"/>
      <c r="S59" s="18"/>
      <c r="T59" s="18"/>
    </row>
    <row r="60" spans="1:20" ht="13">
      <c r="A60" s="18"/>
      <c r="B60" s="18"/>
      <c r="C60" s="18"/>
      <c r="D60" s="18"/>
      <c r="E60" s="18"/>
      <c r="F60" s="26" t="s">
        <v>98</v>
      </c>
      <c r="G60" s="18"/>
      <c r="H60" s="18"/>
      <c r="I60" s="18"/>
      <c r="J60" s="18"/>
      <c r="K60" s="18"/>
      <c r="L60" s="18"/>
      <c r="M60" s="18"/>
      <c r="N60" s="18"/>
      <c r="O60" s="18"/>
      <c r="P60" s="18"/>
      <c r="Q60" s="18"/>
      <c r="R60" s="18"/>
      <c r="S60" s="18"/>
      <c r="T60" s="18"/>
    </row>
    <row r="61" spans="1:20">
      <c r="A61" s="18"/>
      <c r="B61" s="18"/>
      <c r="C61" s="18"/>
      <c r="D61" s="18"/>
      <c r="E61" s="18"/>
      <c r="F61" s="18"/>
      <c r="G61" s="18"/>
      <c r="H61" s="18"/>
      <c r="I61" s="18"/>
      <c r="J61" s="18"/>
      <c r="K61" s="18"/>
      <c r="L61" s="18"/>
      <c r="M61" s="18"/>
      <c r="N61" s="18"/>
      <c r="O61" s="18"/>
      <c r="P61" s="18"/>
      <c r="Q61" s="18"/>
      <c r="R61" s="18"/>
      <c r="S61" s="18"/>
      <c r="T61" s="18"/>
    </row>
    <row r="62" spans="1:20">
      <c r="A62" s="19">
        <f>IF(ISNA(MATCH(Q62,iIndices!$F$16:$F$21,0)),1,0)</f>
        <v>0</v>
      </c>
      <c r="B62" s="18"/>
      <c r="C62" s="18"/>
      <c r="D62" s="18"/>
      <c r="E62" s="18"/>
      <c r="F62" s="18" t="s">
        <v>99</v>
      </c>
      <c r="G62" s="17" t="str">
        <f>cstConstantUnit</f>
        <v>£ 2022/23</v>
      </c>
      <c r="H62" s="18"/>
      <c r="I62" s="49">
        <v>7</v>
      </c>
      <c r="J62" s="18"/>
      <c r="K62" s="5"/>
      <c r="L62" s="18"/>
      <c r="M62" s="8">
        <v>175000</v>
      </c>
      <c r="N62" s="8">
        <v>200000</v>
      </c>
      <c r="O62" s="8">
        <v>225000</v>
      </c>
      <c r="P62" s="18"/>
      <c r="Q62" s="3" t="s">
        <v>325</v>
      </c>
      <c r="R62" s="18"/>
      <c r="S62" s="18"/>
      <c r="T62" s="18"/>
    </row>
    <row r="63" spans="1:20">
      <c r="A63" s="19">
        <f>IF(OR(M63&lt;0,N63&lt;0,O63&lt;0),1,0)</f>
        <v>0</v>
      </c>
      <c r="C63" s="18"/>
      <c r="D63" s="18"/>
      <c r="E63" s="18"/>
      <c r="F63" s="18" t="s">
        <v>100</v>
      </c>
      <c r="G63" s="17" t="str">
        <f>cstPercent</f>
        <v>%</v>
      </c>
      <c r="H63" s="18"/>
      <c r="I63" s="49">
        <v>8</v>
      </c>
      <c r="J63" s="18"/>
      <c r="K63" s="5" t="s">
        <v>430</v>
      </c>
      <c r="L63" s="18"/>
      <c r="M63" s="6">
        <v>0.18</v>
      </c>
      <c r="N63" s="6">
        <v>0.2</v>
      </c>
      <c r="O63" s="6">
        <v>0.23</v>
      </c>
      <c r="P63" s="18"/>
      <c r="Q63" s="39"/>
      <c r="R63" s="18"/>
      <c r="T63"/>
    </row>
    <row r="64" spans="1:20">
      <c r="A64" s="18"/>
      <c r="B64" s="18"/>
      <c r="C64" s="18"/>
      <c r="D64" s="18"/>
      <c r="E64" s="18"/>
      <c r="F64" s="18" t="s">
        <v>101</v>
      </c>
      <c r="G64" s="17" t="str">
        <f>cstConstantUnit</f>
        <v>£ 2022/23</v>
      </c>
      <c r="H64" s="18"/>
      <c r="I64" s="49">
        <v>9</v>
      </c>
      <c r="J64" s="18"/>
      <c r="K64" s="5"/>
      <c r="L64" s="18"/>
      <c r="M64" s="8">
        <v>300</v>
      </c>
      <c r="N64" s="8">
        <v>400</v>
      </c>
      <c r="O64" s="8">
        <v>500</v>
      </c>
      <c r="P64" s="18"/>
      <c r="Q64" s="39"/>
      <c r="R64" s="18"/>
      <c r="S64" s="18"/>
      <c r="T64" s="18"/>
    </row>
    <row r="65" spans="1:20">
      <c r="A65" s="18"/>
      <c r="B65" s="18"/>
      <c r="C65" s="18"/>
      <c r="D65" s="18"/>
      <c r="E65" s="18"/>
      <c r="F65" s="18"/>
      <c r="G65" s="18"/>
      <c r="H65" s="18"/>
      <c r="I65" s="18"/>
      <c r="J65" s="18"/>
      <c r="K65" s="18"/>
      <c r="L65" s="18"/>
      <c r="M65" s="18"/>
      <c r="N65" s="18"/>
      <c r="O65" s="18"/>
      <c r="P65" s="18"/>
      <c r="Q65" s="18"/>
      <c r="R65" s="18"/>
      <c r="S65" s="18"/>
      <c r="T65" s="18"/>
    </row>
    <row r="66" spans="1:20" ht="13">
      <c r="A66" s="18"/>
      <c r="B66" s="18"/>
      <c r="C66" s="18"/>
      <c r="D66" s="18"/>
      <c r="E66" s="18"/>
      <c r="F66" s="26" t="s">
        <v>102</v>
      </c>
      <c r="G66" s="18"/>
      <c r="H66" s="18"/>
      <c r="I66" s="18"/>
      <c r="J66" s="18"/>
      <c r="K66" s="18"/>
      <c r="L66" s="18"/>
      <c r="M66" s="18"/>
      <c r="N66" s="18"/>
      <c r="O66" s="18"/>
      <c r="P66" s="18"/>
      <c r="Q66" s="18"/>
      <c r="R66" s="18"/>
      <c r="S66" s="18"/>
      <c r="T66" s="18"/>
    </row>
    <row r="67" spans="1:20">
      <c r="A67" s="18"/>
      <c r="B67" s="18"/>
      <c r="C67" s="18"/>
      <c r="D67" s="18"/>
      <c r="E67" s="18"/>
      <c r="F67" s="18"/>
      <c r="G67" s="18"/>
      <c r="H67" s="18"/>
      <c r="I67" s="18"/>
      <c r="J67" s="18"/>
      <c r="K67" s="18"/>
      <c r="L67" s="18"/>
      <c r="M67" s="18"/>
      <c r="N67" s="18"/>
      <c r="O67" s="18"/>
      <c r="P67" s="18"/>
      <c r="Q67" s="18"/>
      <c r="R67" s="18"/>
      <c r="S67" s="18"/>
      <c r="T67" s="18"/>
    </row>
    <row r="68" spans="1:20">
      <c r="A68" s="19">
        <f>IF(ISNA(MATCH(Q68,iIndices!$F$16:$F$21,0)),1,0)</f>
        <v>0</v>
      </c>
      <c r="B68" s="18"/>
      <c r="C68" s="18"/>
      <c r="D68" s="18"/>
      <c r="E68" s="18"/>
      <c r="F68" s="18" t="s">
        <v>103</v>
      </c>
      <c r="G68" s="17" t="str">
        <f>cstConstantUnit</f>
        <v>£ 2022/23</v>
      </c>
      <c r="H68" s="18"/>
      <c r="I68" s="49">
        <f>MAX(I61:I67)+1</f>
        <v>10</v>
      </c>
      <c r="J68" s="18"/>
      <c r="K68" s="5"/>
      <c r="L68" s="18"/>
      <c r="M68" s="8">
        <v>20000</v>
      </c>
      <c r="N68" s="8">
        <v>25000</v>
      </c>
      <c r="O68" s="8">
        <v>30000</v>
      </c>
      <c r="P68" s="18"/>
      <c r="Q68" s="3" t="s">
        <v>325</v>
      </c>
      <c r="R68" s="18"/>
      <c r="S68" s="18"/>
      <c r="T68" s="18"/>
    </row>
    <row r="69" spans="1:20">
      <c r="A69" s="19">
        <f>IF(N69&lt;0,1,0)</f>
        <v>0</v>
      </c>
      <c r="C69" s="18"/>
      <c r="D69" s="18"/>
      <c r="E69" s="18"/>
      <c r="F69" s="18" t="s">
        <v>104</v>
      </c>
      <c r="G69" s="17" t="str">
        <f>cstPercent</f>
        <v>%</v>
      </c>
      <c r="H69" s="18"/>
      <c r="I69" s="49">
        <f>MAX(I62:I68)+1</f>
        <v>11</v>
      </c>
      <c r="J69" s="18"/>
      <c r="K69" s="5"/>
      <c r="L69" s="18"/>
      <c r="M69" s="39"/>
      <c r="N69" s="6">
        <v>0.5</v>
      </c>
      <c r="O69" s="39"/>
      <c r="P69" s="18"/>
      <c r="Q69" s="39"/>
      <c r="R69" s="18"/>
    </row>
    <row r="70" spans="1:20">
      <c r="A70" s="19">
        <f>IF(N70&lt;=0,1,0)</f>
        <v>0</v>
      </c>
      <c r="B70" s="18"/>
      <c r="C70" s="18"/>
      <c r="D70" s="18"/>
      <c r="E70" s="18"/>
      <c r="F70" s="18" t="s">
        <v>105</v>
      </c>
      <c r="G70" s="17" t="str">
        <f>cstYears</f>
        <v>Yrs</v>
      </c>
      <c r="H70" s="18"/>
      <c r="I70" s="49">
        <f>MAX(I63:I69)+1</f>
        <v>12</v>
      </c>
      <c r="J70" s="18"/>
      <c r="K70" s="5"/>
      <c r="L70" s="18"/>
      <c r="M70" s="39"/>
      <c r="N70" s="8">
        <v>5</v>
      </c>
      <c r="O70" s="39"/>
      <c r="P70" s="18"/>
      <c r="Q70" s="39"/>
      <c r="R70" s="18"/>
      <c r="S70" s="18"/>
      <c r="T70" s="18"/>
    </row>
    <row r="71" spans="1:20">
      <c r="A71" s="18"/>
      <c r="B71" s="18"/>
      <c r="C71" s="18"/>
      <c r="D71" s="18"/>
      <c r="E71" s="18"/>
      <c r="F71" s="18"/>
      <c r="G71" s="18"/>
      <c r="H71" s="18"/>
      <c r="I71" s="18"/>
      <c r="J71" s="18"/>
      <c r="K71" s="18"/>
      <c r="L71" s="18"/>
      <c r="M71" s="18"/>
      <c r="N71" s="18"/>
      <c r="O71" s="18"/>
      <c r="P71" s="18"/>
      <c r="Q71" s="18"/>
      <c r="R71" s="18"/>
      <c r="S71" s="18"/>
      <c r="T71" s="18"/>
    </row>
    <row r="72" spans="1:20" ht="13">
      <c r="A72" s="18"/>
      <c r="B72" s="18"/>
      <c r="C72" s="18"/>
      <c r="D72" s="18"/>
      <c r="E72" s="18"/>
      <c r="F72" s="26" t="s">
        <v>107</v>
      </c>
      <c r="G72" s="18"/>
      <c r="H72" s="18"/>
      <c r="I72" s="18"/>
      <c r="J72" s="18"/>
      <c r="K72" s="18"/>
      <c r="L72" s="18"/>
      <c r="M72" s="18"/>
      <c r="N72" s="18"/>
      <c r="O72" s="18"/>
      <c r="P72" s="18"/>
      <c r="Q72" s="18"/>
      <c r="R72" s="18"/>
      <c r="S72" s="18"/>
      <c r="T72" s="18"/>
    </row>
    <row r="73" spans="1:20">
      <c r="A73" s="18"/>
      <c r="B73" s="18"/>
      <c r="C73" s="18"/>
      <c r="D73" s="18"/>
      <c r="E73" s="18"/>
      <c r="F73" s="18"/>
      <c r="G73" s="18"/>
      <c r="H73" s="18"/>
      <c r="I73" s="18"/>
      <c r="J73" s="18"/>
      <c r="K73" s="18"/>
      <c r="L73" s="18"/>
      <c r="M73" s="18"/>
      <c r="N73" s="18"/>
      <c r="O73" s="18"/>
      <c r="P73" s="18"/>
      <c r="Q73" s="18"/>
      <c r="R73" s="18"/>
      <c r="S73" s="18"/>
      <c r="T73" s="18"/>
    </row>
    <row r="74" spans="1:20">
      <c r="A74" s="19">
        <f>IF(ISNA(MATCH(Q74,iIndices!$F$16:$F$21,0)),1,0)</f>
        <v>0</v>
      </c>
      <c r="B74" s="18"/>
      <c r="C74" s="18"/>
      <c r="D74" s="18"/>
      <c r="E74" s="18"/>
      <c r="F74" s="18" t="s">
        <v>108</v>
      </c>
      <c r="G74" s="17" t="str">
        <f>cstConstantUnit</f>
        <v>£ 2022/23</v>
      </c>
      <c r="H74" s="18"/>
      <c r="I74" s="49">
        <f>MAX(I67:I73)+1</f>
        <v>13</v>
      </c>
      <c r="J74" s="18"/>
      <c r="K74" s="5"/>
      <c r="L74" s="18"/>
      <c r="M74" s="8">
        <v>175000</v>
      </c>
      <c r="N74" s="8">
        <v>200000</v>
      </c>
      <c r="O74" s="8">
        <v>225000</v>
      </c>
      <c r="P74" s="18"/>
      <c r="Q74" s="3" t="s">
        <v>325</v>
      </c>
      <c r="R74" s="18"/>
      <c r="S74" s="18"/>
      <c r="T74" s="18"/>
    </row>
    <row r="75" spans="1:20">
      <c r="A75" s="19">
        <f>IF(N75&lt;0,1,0)</f>
        <v>0</v>
      </c>
      <c r="C75" s="18"/>
      <c r="D75" s="18"/>
      <c r="E75" s="18"/>
      <c r="F75" s="18" t="s">
        <v>104</v>
      </c>
      <c r="G75" s="17" t="str">
        <f>cstPercent</f>
        <v>%</v>
      </c>
      <c r="H75" s="18"/>
      <c r="I75" s="49">
        <f>MAX(I68:I74)+1</f>
        <v>14</v>
      </c>
      <c r="J75" s="18"/>
      <c r="K75" s="5"/>
      <c r="L75" s="18"/>
      <c r="M75" s="39"/>
      <c r="N75" s="6">
        <v>0.5</v>
      </c>
      <c r="O75" s="39"/>
      <c r="P75" s="18"/>
      <c r="Q75" s="39"/>
      <c r="R75" s="18"/>
    </row>
    <row r="76" spans="1:20">
      <c r="A76" s="19">
        <f>IF(N76&lt;=0,1,0)</f>
        <v>0</v>
      </c>
      <c r="B76" s="18"/>
      <c r="C76" s="18"/>
      <c r="D76" s="18"/>
      <c r="E76" s="18"/>
      <c r="F76" s="18" t="s">
        <v>105</v>
      </c>
      <c r="G76" s="17" t="str">
        <f>cstYears</f>
        <v>Yrs</v>
      </c>
      <c r="H76" s="18"/>
      <c r="I76" s="49">
        <f>MAX(I69:I75)+1</f>
        <v>15</v>
      </c>
      <c r="J76" s="18"/>
      <c r="K76" s="5"/>
      <c r="L76" s="18"/>
      <c r="M76" s="39"/>
      <c r="N76" s="8">
        <v>5</v>
      </c>
      <c r="O76" s="39"/>
      <c r="P76" s="18"/>
      <c r="Q76" s="39"/>
      <c r="R76" s="18"/>
      <c r="S76" s="18"/>
      <c r="T76" s="18"/>
    </row>
    <row r="77" spans="1:20">
      <c r="A77" s="18"/>
      <c r="B77" s="18"/>
      <c r="C77" s="18"/>
      <c r="D77" s="18"/>
      <c r="E77" s="18"/>
      <c r="F77" s="18"/>
      <c r="G77" s="18"/>
      <c r="H77" s="18"/>
      <c r="I77" s="18"/>
      <c r="J77" s="18"/>
      <c r="K77" s="18"/>
      <c r="L77" s="18"/>
      <c r="M77" s="18"/>
      <c r="N77" s="18"/>
      <c r="O77" s="18"/>
      <c r="P77" s="18"/>
      <c r="Q77" s="18"/>
      <c r="R77" s="18"/>
      <c r="S77" s="18"/>
      <c r="T77" s="18"/>
    </row>
    <row r="78" spans="1:20" ht="13">
      <c r="A78" s="18"/>
      <c r="B78" s="18"/>
      <c r="C78" s="18"/>
      <c r="D78" s="18"/>
      <c r="E78" s="18"/>
      <c r="F78" s="26" t="s">
        <v>109</v>
      </c>
      <c r="G78" s="18"/>
      <c r="H78" s="18"/>
      <c r="I78" s="18"/>
      <c r="J78" s="18"/>
      <c r="K78" s="18"/>
      <c r="L78" s="18"/>
      <c r="M78" s="18"/>
      <c r="N78" s="18"/>
      <c r="O78" s="18"/>
      <c r="P78" s="18"/>
      <c r="Q78" s="18"/>
      <c r="R78" s="18"/>
      <c r="S78" s="18"/>
      <c r="T78" s="18"/>
    </row>
    <row r="79" spans="1:20">
      <c r="A79" s="18"/>
      <c r="B79" s="18"/>
      <c r="C79" s="18"/>
      <c r="D79" s="18"/>
      <c r="E79" s="18"/>
      <c r="F79" s="18"/>
      <c r="G79" s="18"/>
      <c r="H79" s="18"/>
      <c r="I79" s="18"/>
      <c r="J79" s="18"/>
      <c r="K79" s="18"/>
      <c r="L79" s="18"/>
      <c r="M79" s="18"/>
      <c r="N79" s="18"/>
      <c r="O79" s="18"/>
      <c r="P79" s="18"/>
      <c r="Q79" s="18"/>
      <c r="R79" s="18"/>
      <c r="S79" s="18"/>
      <c r="T79" s="18"/>
    </row>
    <row r="80" spans="1:20">
      <c r="A80" s="19">
        <f>IF(ISNA(MATCH(Q80,iIndices!$F$16:$F$21,0)),1,0)</f>
        <v>0</v>
      </c>
      <c r="B80" s="18"/>
      <c r="C80" s="18"/>
      <c r="D80" s="18"/>
      <c r="E80" s="18"/>
      <c r="F80" s="18" t="s">
        <v>108</v>
      </c>
      <c r="G80" s="17" t="str">
        <f>cstConstantUnit</f>
        <v>£ 2022/23</v>
      </c>
      <c r="H80" s="18"/>
      <c r="I80" s="49">
        <f>MAX(I73:I79)+1</f>
        <v>16</v>
      </c>
      <c r="J80" s="18"/>
      <c r="K80" s="5"/>
      <c r="L80" s="18"/>
      <c r="M80" s="8">
        <v>30000</v>
      </c>
      <c r="N80" s="8">
        <v>40000</v>
      </c>
      <c r="O80" s="8">
        <v>45000</v>
      </c>
      <c r="P80" s="18"/>
      <c r="Q80" s="3" t="s">
        <v>325</v>
      </c>
      <c r="R80" s="18"/>
      <c r="S80" s="18"/>
      <c r="T80" s="18"/>
    </row>
    <row r="81" spans="1:20">
      <c r="A81" s="19">
        <f>IF(N81&lt;0,1,0)</f>
        <v>0</v>
      </c>
      <c r="C81" s="18"/>
      <c r="D81" s="18"/>
      <c r="E81" s="18"/>
      <c r="F81" s="18" t="s">
        <v>110</v>
      </c>
      <c r="G81" s="17" t="str">
        <f>cstPercent</f>
        <v>%</v>
      </c>
      <c r="H81" s="18"/>
      <c r="I81" s="49">
        <f>MAX(I74:I80)+1</f>
        <v>17</v>
      </c>
      <c r="J81" s="18"/>
      <c r="K81" s="5"/>
      <c r="L81" s="18"/>
      <c r="M81" s="39"/>
      <c r="N81" s="6">
        <v>0.5</v>
      </c>
      <c r="O81" s="39"/>
      <c r="P81" s="18"/>
      <c r="Q81" s="39"/>
      <c r="R81" s="18"/>
    </row>
    <row r="82" spans="1:20">
      <c r="A82" s="19">
        <f>IF(N82&lt;=0,1,0)</f>
        <v>0</v>
      </c>
      <c r="B82" s="18"/>
      <c r="C82" s="18"/>
      <c r="D82" s="18"/>
      <c r="E82" s="18"/>
      <c r="F82" s="18" t="s">
        <v>111</v>
      </c>
      <c r="G82" s="17" t="str">
        <f>cstYears</f>
        <v>Yrs</v>
      </c>
      <c r="H82" s="18"/>
      <c r="I82" s="49">
        <f>MAX(I75:I81)+1</f>
        <v>18</v>
      </c>
      <c r="J82" s="18"/>
      <c r="K82" s="5"/>
      <c r="L82" s="18"/>
      <c r="M82" s="39"/>
      <c r="N82" s="8">
        <v>5</v>
      </c>
      <c r="O82" s="39"/>
      <c r="P82" s="18"/>
      <c r="Q82" s="39"/>
      <c r="R82" s="18"/>
      <c r="S82" s="18"/>
      <c r="T82" s="18"/>
    </row>
    <row r="83" spans="1:20">
      <c r="A83" s="18"/>
      <c r="B83" s="18"/>
      <c r="C83" s="18"/>
      <c r="D83" s="18"/>
      <c r="E83" s="18"/>
      <c r="F83" s="18"/>
      <c r="G83" s="18"/>
      <c r="H83" s="18"/>
      <c r="I83" s="18"/>
      <c r="J83" s="18"/>
      <c r="K83" s="18"/>
      <c r="L83" s="18"/>
      <c r="M83" s="18"/>
      <c r="N83" s="18"/>
      <c r="O83" s="18"/>
      <c r="P83" s="18"/>
      <c r="Q83" s="18"/>
      <c r="R83" s="18"/>
      <c r="S83" s="18"/>
      <c r="T83" s="18"/>
    </row>
    <row r="84" spans="1:20">
      <c r="A84" s="19">
        <f>IF(ISNA(MATCH(Q84,iIndices!$F$16:$F$21,0)),1,0)</f>
        <v>0</v>
      </c>
      <c r="B84" s="18"/>
      <c r="C84" s="18"/>
      <c r="D84" s="18"/>
      <c r="E84" s="18"/>
      <c r="F84" s="18" t="s">
        <v>112</v>
      </c>
      <c r="G84" s="17" t="str">
        <f>cstConstantUnit</f>
        <v>£ 2022/23</v>
      </c>
      <c r="H84" s="18"/>
      <c r="I84" s="49">
        <f>MAX(I77:I83)+1</f>
        <v>19</v>
      </c>
      <c r="J84" s="18"/>
      <c r="K84" s="5"/>
      <c r="L84" s="18"/>
      <c r="M84" s="8">
        <v>800</v>
      </c>
      <c r="N84" s="8">
        <v>1000</v>
      </c>
      <c r="O84" s="8">
        <v>1200</v>
      </c>
      <c r="P84" s="18"/>
      <c r="Q84" s="3" t="s">
        <v>325</v>
      </c>
      <c r="R84" s="18"/>
      <c r="S84" s="18"/>
      <c r="T84" s="18"/>
    </row>
    <row r="85" spans="1:20">
      <c r="A85" s="18"/>
      <c r="B85" s="18"/>
      <c r="C85" s="18"/>
      <c r="D85" s="18"/>
      <c r="E85" s="18"/>
      <c r="F85" s="18"/>
      <c r="G85" s="18"/>
      <c r="H85" s="18"/>
      <c r="I85" s="18"/>
      <c r="J85" s="18"/>
      <c r="K85" s="18"/>
      <c r="L85" s="18"/>
      <c r="M85" s="18"/>
      <c r="N85" s="18"/>
      <c r="O85" s="18"/>
      <c r="P85" s="18"/>
      <c r="Q85" s="18"/>
      <c r="R85" s="18"/>
      <c r="S85" s="18"/>
      <c r="T85" s="18"/>
    </row>
    <row r="86" spans="1:20" s="25" customFormat="1" ht="14" thickBot="1">
      <c r="E86" s="25" t="s">
        <v>326</v>
      </c>
    </row>
    <row r="87" spans="1:20">
      <c r="A87" s="18"/>
      <c r="B87" s="18"/>
      <c r="C87" s="18"/>
      <c r="D87" s="18"/>
      <c r="E87" s="18"/>
      <c r="F87" s="18"/>
      <c r="G87" s="18"/>
      <c r="H87" s="18"/>
      <c r="I87" s="18"/>
      <c r="J87" s="18"/>
      <c r="K87" s="18"/>
      <c r="L87" s="18"/>
      <c r="M87" s="18"/>
      <c r="N87" s="18"/>
      <c r="O87" s="18"/>
      <c r="P87" s="18"/>
      <c r="Q87" s="18"/>
      <c r="R87" s="18"/>
      <c r="S87" s="18"/>
      <c r="T87" s="18"/>
    </row>
    <row r="88" spans="1:20" ht="13">
      <c r="A88" s="18"/>
      <c r="B88" s="18"/>
      <c r="C88" s="18"/>
      <c r="D88" s="18"/>
      <c r="E88" s="18"/>
      <c r="F88" s="26" t="s">
        <v>98</v>
      </c>
      <c r="G88" s="18"/>
      <c r="H88" s="18"/>
      <c r="I88" s="18"/>
      <c r="J88" s="18"/>
      <c r="K88" s="18"/>
      <c r="L88" s="18"/>
      <c r="M88" s="18"/>
      <c r="N88" s="18"/>
      <c r="O88" s="18"/>
      <c r="P88" s="18"/>
      <c r="Q88" s="18"/>
      <c r="R88" s="18"/>
      <c r="S88" s="18"/>
      <c r="T88" s="18"/>
    </row>
    <row r="89" spans="1:20">
      <c r="A89" s="18"/>
      <c r="B89" s="18"/>
      <c r="C89" s="18"/>
      <c r="D89" s="18"/>
      <c r="E89" s="18"/>
      <c r="F89" s="18"/>
      <c r="G89" s="18"/>
      <c r="H89" s="18"/>
      <c r="I89" s="18"/>
      <c r="J89" s="18"/>
      <c r="K89" s="18"/>
      <c r="L89" s="18"/>
      <c r="M89" s="18"/>
      <c r="N89" s="18"/>
      <c r="O89" s="18"/>
      <c r="P89" s="18"/>
      <c r="Q89" s="18"/>
      <c r="R89" s="18"/>
      <c r="S89" s="18"/>
      <c r="T89" s="18"/>
    </row>
    <row r="90" spans="1:20">
      <c r="A90" s="19">
        <f>IF(ISNA(MATCH(Q90,iIndices!$F$16:$F$21,0)),1,0)</f>
        <v>0</v>
      </c>
      <c r="B90" s="18"/>
      <c r="C90" s="18"/>
      <c r="D90" s="18"/>
      <c r="E90" s="18"/>
      <c r="F90" s="18" t="s">
        <v>334</v>
      </c>
      <c r="G90" s="17" t="str">
        <f>cstConstantUnit</f>
        <v>£ 2022/23</v>
      </c>
      <c r="H90" s="18"/>
      <c r="I90" s="49">
        <f>MAX(I83:I89)+1</f>
        <v>20</v>
      </c>
      <c r="J90" s="18"/>
      <c r="K90" s="5"/>
      <c r="L90" s="18"/>
      <c r="M90" s="8">
        <v>300</v>
      </c>
      <c r="N90" s="8">
        <v>400</v>
      </c>
      <c r="O90" s="8">
        <v>500</v>
      </c>
      <c r="P90" s="18"/>
      <c r="Q90" s="3" t="s">
        <v>325</v>
      </c>
      <c r="R90" s="18"/>
      <c r="S90" s="18"/>
      <c r="T90" s="18"/>
    </row>
    <row r="91" spans="1:20">
      <c r="A91" s="18"/>
      <c r="B91" s="18"/>
      <c r="C91" s="18"/>
      <c r="D91" s="18"/>
      <c r="E91" s="18"/>
      <c r="F91" s="18"/>
      <c r="G91" s="18"/>
      <c r="H91" s="18"/>
      <c r="I91" s="18"/>
      <c r="J91" s="18"/>
      <c r="K91" s="18"/>
      <c r="L91" s="18"/>
      <c r="M91" s="18"/>
      <c r="N91" s="18"/>
      <c r="O91" s="18"/>
      <c r="P91" s="18"/>
      <c r="Q91" s="18"/>
      <c r="R91" s="18"/>
      <c r="S91" s="18"/>
      <c r="T91" s="18"/>
    </row>
    <row r="92" spans="1:20" ht="13">
      <c r="A92" s="18"/>
      <c r="B92" s="18"/>
      <c r="C92" s="18"/>
      <c r="D92" s="18"/>
      <c r="E92" s="18"/>
      <c r="F92" s="26" t="s">
        <v>415</v>
      </c>
      <c r="G92" s="18"/>
      <c r="H92" s="18"/>
      <c r="I92" s="18"/>
      <c r="J92" s="18"/>
      <c r="K92" s="18"/>
      <c r="L92" s="18"/>
      <c r="M92" s="18"/>
      <c r="N92" s="18"/>
      <c r="O92" s="18"/>
      <c r="P92" s="18"/>
      <c r="Q92" s="18"/>
      <c r="R92" s="18"/>
      <c r="S92" s="18"/>
      <c r="T92" s="18"/>
    </row>
    <row r="93" spans="1:20">
      <c r="A93" s="18"/>
      <c r="B93" s="18"/>
      <c r="C93" s="18"/>
      <c r="D93" s="18"/>
      <c r="E93" s="18"/>
      <c r="F93" s="18"/>
      <c r="G93" s="18"/>
      <c r="H93" s="18"/>
      <c r="I93" s="18"/>
      <c r="J93" s="18"/>
      <c r="K93" s="18"/>
      <c r="L93" s="18"/>
      <c r="M93" s="18"/>
      <c r="N93" s="18"/>
      <c r="O93" s="18"/>
      <c r="P93" s="18"/>
      <c r="Q93" s="18"/>
      <c r="R93" s="18"/>
      <c r="S93" s="18"/>
      <c r="T93" s="18"/>
    </row>
    <row r="94" spans="1:20">
      <c r="A94" s="19">
        <f>IF(ISNA(MATCH(Q94,iIndices!$F$16:$F$21,0)),1,0)</f>
        <v>0</v>
      </c>
      <c r="B94" s="18"/>
      <c r="C94" s="18"/>
      <c r="D94" s="18"/>
      <c r="E94" s="18"/>
      <c r="F94" s="18" t="s">
        <v>103</v>
      </c>
      <c r="G94" s="17" t="str">
        <f>cstConstantUnit</f>
        <v>£ 2022/23</v>
      </c>
      <c r="H94" s="18"/>
      <c r="I94" s="49">
        <f>MAX(I87:I93)+1</f>
        <v>21</v>
      </c>
      <c r="J94" s="18"/>
      <c r="K94" s="5"/>
      <c r="L94" s="18"/>
      <c r="M94" s="8">
        <v>1200</v>
      </c>
      <c r="N94" s="8">
        <v>1500</v>
      </c>
      <c r="O94" s="8">
        <v>1700</v>
      </c>
      <c r="P94" s="18"/>
      <c r="Q94" s="3" t="s">
        <v>325</v>
      </c>
      <c r="R94" s="18"/>
      <c r="S94" s="18"/>
      <c r="T94" s="18"/>
    </row>
    <row r="95" spans="1:20">
      <c r="A95" s="19">
        <f>IF(N95&lt;0,1,0)</f>
        <v>0</v>
      </c>
      <c r="C95" s="18"/>
      <c r="D95" s="18"/>
      <c r="E95" s="18"/>
      <c r="F95" s="18" t="s">
        <v>104</v>
      </c>
      <c r="G95" s="17" t="str">
        <f>cstPercent</f>
        <v>%</v>
      </c>
      <c r="H95" s="18"/>
      <c r="I95" s="49">
        <f>MAX(I88:I94)+1</f>
        <v>22</v>
      </c>
      <c r="J95" s="18"/>
      <c r="K95" s="5"/>
      <c r="L95" s="18"/>
      <c r="M95" s="39"/>
      <c r="N95" s="6">
        <v>0.5</v>
      </c>
      <c r="O95" s="39"/>
      <c r="P95" s="18"/>
      <c r="Q95" s="39"/>
      <c r="R95" s="18"/>
    </row>
    <row r="96" spans="1:20">
      <c r="A96" s="19">
        <f>IF(N96&lt;=0,1,0)</f>
        <v>0</v>
      </c>
      <c r="B96" s="18"/>
      <c r="C96" s="18"/>
      <c r="D96" s="18"/>
      <c r="E96" s="18"/>
      <c r="F96" s="18" t="s">
        <v>105</v>
      </c>
      <c r="G96" s="17" t="str">
        <f>cstYears</f>
        <v>Yrs</v>
      </c>
      <c r="H96" s="18"/>
      <c r="I96" s="49">
        <f>MAX(I89:I95)+1</f>
        <v>23</v>
      </c>
      <c r="J96" s="18"/>
      <c r="K96" s="5"/>
      <c r="L96" s="18"/>
      <c r="M96" s="39"/>
      <c r="N96" s="8">
        <v>3</v>
      </c>
      <c r="O96" s="39"/>
      <c r="P96" s="18"/>
      <c r="Q96" s="39"/>
      <c r="R96" s="18"/>
      <c r="S96" s="18"/>
      <c r="T96" s="18"/>
    </row>
    <row r="97" spans="1:20">
      <c r="A97" s="18"/>
      <c r="B97" s="18"/>
      <c r="C97" s="18"/>
      <c r="D97" s="18"/>
      <c r="E97" s="18"/>
      <c r="F97" s="18"/>
      <c r="G97" s="18"/>
      <c r="H97" s="18"/>
      <c r="I97" s="18"/>
      <c r="J97" s="18"/>
      <c r="K97" s="18"/>
      <c r="L97" s="18"/>
      <c r="M97" s="18"/>
      <c r="N97" s="18"/>
      <c r="O97" s="18"/>
      <c r="P97" s="18"/>
      <c r="Q97" s="18"/>
      <c r="R97" s="18"/>
      <c r="S97" s="18"/>
      <c r="T97" s="18"/>
    </row>
    <row r="98" spans="1:20" ht="13">
      <c r="A98" s="18"/>
      <c r="B98" s="18"/>
      <c r="C98" s="18"/>
      <c r="D98" s="18"/>
      <c r="E98" s="18"/>
      <c r="F98" s="26" t="s">
        <v>113</v>
      </c>
      <c r="G98" s="18"/>
      <c r="H98" s="18"/>
      <c r="I98" s="18"/>
      <c r="J98" s="18"/>
      <c r="K98" s="18"/>
      <c r="L98" s="18"/>
      <c r="M98" s="18"/>
      <c r="N98" s="18"/>
      <c r="O98" s="18"/>
      <c r="P98" s="18"/>
      <c r="Q98" s="18"/>
      <c r="R98" s="18"/>
      <c r="S98" s="18"/>
      <c r="T98" s="18"/>
    </row>
    <row r="99" spans="1:20">
      <c r="A99" s="18"/>
      <c r="B99" s="18"/>
      <c r="C99" s="18"/>
      <c r="D99" s="18"/>
      <c r="E99" s="18"/>
      <c r="F99" s="18"/>
      <c r="G99" s="18"/>
      <c r="H99" s="18"/>
      <c r="I99" s="18"/>
      <c r="J99" s="18"/>
      <c r="K99" s="18"/>
      <c r="L99" s="18"/>
      <c r="M99" s="18"/>
      <c r="N99" s="18"/>
      <c r="O99" s="18"/>
      <c r="P99" s="18"/>
      <c r="Q99" s="18"/>
      <c r="R99" s="18"/>
      <c r="S99" s="18"/>
      <c r="T99" s="18"/>
    </row>
    <row r="100" spans="1:20">
      <c r="A100" s="19">
        <f>IF(ISNA(MATCH(Q100,iIndices!$F$16:$F$21,0)),1,0)</f>
        <v>0</v>
      </c>
      <c r="B100" s="18"/>
      <c r="C100" s="18"/>
      <c r="D100" s="18"/>
      <c r="E100" s="18"/>
      <c r="F100" s="18" t="s">
        <v>114</v>
      </c>
      <c r="G100" s="17" t="str">
        <f>cstConstantUnit</f>
        <v>£ 2022/23</v>
      </c>
      <c r="H100" s="18"/>
      <c r="I100" s="49">
        <f>MAX(I93:I99)+1</f>
        <v>24</v>
      </c>
      <c r="J100" s="18"/>
      <c r="K100" s="5"/>
      <c r="L100" s="18"/>
      <c r="M100" s="8">
        <v>150</v>
      </c>
      <c r="N100" s="8">
        <v>200</v>
      </c>
      <c r="O100" s="8">
        <v>250</v>
      </c>
      <c r="P100" s="18"/>
      <c r="Q100" s="3" t="s">
        <v>325</v>
      </c>
      <c r="R100" s="18"/>
      <c r="S100" s="18"/>
      <c r="T100" s="18"/>
    </row>
    <row r="101" spans="1:20">
      <c r="A101" s="18"/>
      <c r="B101" s="18"/>
      <c r="C101" s="18"/>
      <c r="D101" s="18"/>
      <c r="E101" s="18"/>
      <c r="F101" s="18"/>
      <c r="G101" s="18"/>
      <c r="H101" s="18"/>
      <c r="I101" s="18"/>
      <c r="J101" s="18"/>
      <c r="K101" s="18"/>
      <c r="L101" s="18"/>
      <c r="M101" s="18"/>
      <c r="N101" s="18"/>
      <c r="O101" s="18"/>
      <c r="P101" s="18"/>
      <c r="Q101" s="18"/>
      <c r="R101" s="18"/>
      <c r="S101" s="18"/>
      <c r="T101" s="18"/>
    </row>
    <row r="102" spans="1:20" s="25" customFormat="1" ht="14" thickBot="1">
      <c r="E102" s="25" t="s">
        <v>115</v>
      </c>
    </row>
    <row r="103" spans="1:20">
      <c r="A103" s="18"/>
      <c r="B103" s="18"/>
      <c r="C103" s="18"/>
      <c r="D103" s="18"/>
      <c r="E103" s="18"/>
      <c r="F103" s="18"/>
      <c r="G103" s="18"/>
      <c r="H103" s="18"/>
      <c r="I103" s="18"/>
      <c r="J103" s="18"/>
      <c r="K103" s="18"/>
      <c r="L103" s="18"/>
      <c r="M103" s="18"/>
      <c r="N103" s="18"/>
      <c r="O103" s="18"/>
      <c r="P103" s="18"/>
      <c r="Q103" s="18"/>
      <c r="R103" s="18"/>
      <c r="S103" s="18"/>
      <c r="T103" s="18"/>
    </row>
    <row r="104" spans="1:20" ht="13">
      <c r="A104" s="18"/>
      <c r="B104" s="18"/>
      <c r="C104" s="18"/>
      <c r="D104" s="18"/>
      <c r="E104" s="18"/>
      <c r="F104" s="26" t="s">
        <v>116</v>
      </c>
      <c r="G104" s="18"/>
      <c r="H104" s="18"/>
      <c r="I104" s="18"/>
      <c r="J104" s="18"/>
      <c r="K104" s="18"/>
      <c r="L104" s="18"/>
      <c r="M104" s="18"/>
      <c r="N104" s="18"/>
      <c r="O104" s="18"/>
      <c r="P104" s="18"/>
      <c r="Q104" s="18"/>
      <c r="R104" s="18"/>
      <c r="S104" s="18"/>
      <c r="T104" s="18"/>
    </row>
    <row r="105" spans="1:20">
      <c r="A105" s="18"/>
      <c r="B105" s="18"/>
      <c r="C105" s="18"/>
      <c r="D105" s="18"/>
      <c r="E105" s="18"/>
      <c r="F105" s="18"/>
      <c r="G105" s="18"/>
      <c r="H105" s="18"/>
      <c r="I105" s="18"/>
      <c r="J105" s="18"/>
      <c r="K105" s="18"/>
      <c r="L105" s="18"/>
      <c r="M105" s="18"/>
      <c r="N105" s="18"/>
      <c r="O105" s="18"/>
      <c r="P105" s="18"/>
      <c r="Q105" s="18"/>
      <c r="R105" s="18"/>
      <c r="S105" s="18"/>
      <c r="T105" s="18"/>
    </row>
    <row r="106" spans="1:20">
      <c r="A106" s="19">
        <f>IF(ISNA(MATCH(Q106,iIndices!$F$16:$F$21,0)),1,0)</f>
        <v>0</v>
      </c>
      <c r="B106" s="18"/>
      <c r="C106" s="18"/>
      <c r="D106" s="18"/>
      <c r="E106" s="18"/>
      <c r="F106" s="18" t="s">
        <v>103</v>
      </c>
      <c r="G106" s="17" t="str">
        <f>cstConstantUnit</f>
        <v>£ 2022/23</v>
      </c>
      <c r="H106" s="18"/>
      <c r="I106" s="49">
        <f>MAX(I99:I105)+1</f>
        <v>25</v>
      </c>
      <c r="J106" s="18"/>
      <c r="K106" s="5"/>
      <c r="L106" s="18"/>
      <c r="M106" s="8">
        <v>300000</v>
      </c>
      <c r="N106" s="8">
        <v>350000</v>
      </c>
      <c r="O106" s="8">
        <v>500000</v>
      </c>
      <c r="P106" s="18"/>
      <c r="Q106" s="3" t="s">
        <v>325</v>
      </c>
      <c r="R106" s="18"/>
      <c r="S106" s="18"/>
      <c r="T106" s="18"/>
    </row>
    <row r="107" spans="1:20">
      <c r="A107" s="19">
        <f>IF(N107&lt;0,1,0)</f>
        <v>0</v>
      </c>
      <c r="C107" s="18"/>
      <c r="D107" s="18"/>
      <c r="E107" s="18"/>
      <c r="F107" s="18" t="s">
        <v>117</v>
      </c>
      <c r="G107" s="17" t="str">
        <f>cstPercent</f>
        <v>%</v>
      </c>
      <c r="H107" s="18"/>
      <c r="I107" s="49">
        <f>MAX(I100:I106)+1</f>
        <v>26</v>
      </c>
      <c r="J107" s="18"/>
      <c r="K107" s="5"/>
      <c r="L107" s="18"/>
      <c r="M107" s="6">
        <v>0.05</v>
      </c>
      <c r="N107" s="6">
        <v>7.0000000000000007E-2</v>
      </c>
      <c r="O107" s="6">
        <v>0.09</v>
      </c>
      <c r="P107" s="18"/>
      <c r="Q107" s="39"/>
      <c r="R107" s="18"/>
    </row>
    <row r="108" spans="1:20">
      <c r="A108" s="18"/>
      <c r="B108" s="18"/>
      <c r="C108" s="18"/>
      <c r="D108" s="18"/>
      <c r="E108" s="18"/>
      <c r="F108" s="18"/>
      <c r="G108" s="18"/>
      <c r="H108" s="18"/>
      <c r="I108" s="18"/>
      <c r="J108" s="18"/>
      <c r="K108" s="18"/>
      <c r="L108" s="18"/>
      <c r="M108" s="18"/>
      <c r="N108" s="18"/>
      <c r="O108" s="18"/>
      <c r="P108" s="18"/>
      <c r="Q108" s="18"/>
      <c r="R108" s="18"/>
      <c r="S108" s="18"/>
      <c r="T108" s="18"/>
    </row>
    <row r="109" spans="1:20" s="24" customFormat="1" ht="16">
      <c r="D109" s="24">
        <v>4</v>
      </c>
      <c r="E109" s="24" t="s">
        <v>157</v>
      </c>
    </row>
    <row r="110" spans="1:20">
      <c r="A110" s="18"/>
      <c r="B110" s="18"/>
      <c r="C110" s="18"/>
      <c r="D110" s="18"/>
      <c r="E110" s="18"/>
      <c r="F110" s="18"/>
      <c r="G110" s="18"/>
      <c r="H110" s="18"/>
      <c r="I110" s="18"/>
      <c r="J110" s="18"/>
      <c r="K110" s="18"/>
      <c r="L110" s="18"/>
      <c r="M110" s="18"/>
      <c r="N110" s="18"/>
      <c r="O110" s="18"/>
      <c r="P110" s="18"/>
      <c r="Q110" s="18"/>
      <c r="R110" s="18"/>
      <c r="S110" s="18"/>
      <c r="T110" s="18"/>
    </row>
    <row r="111" spans="1:20" s="25" customFormat="1" ht="14" thickBot="1">
      <c r="E111" s="25" t="s">
        <v>391</v>
      </c>
      <c r="F111" s="25" t="s">
        <v>160</v>
      </c>
    </row>
    <row r="112" spans="1:20">
      <c r="A112" s="18"/>
      <c r="B112" s="18"/>
      <c r="C112" s="18"/>
      <c r="D112" s="18"/>
      <c r="E112" s="18"/>
      <c r="F112" s="18"/>
      <c r="G112" s="18"/>
      <c r="H112" s="18"/>
      <c r="I112" s="18"/>
      <c r="J112" s="18"/>
      <c r="K112" s="18"/>
      <c r="L112" s="18"/>
      <c r="M112" s="18"/>
      <c r="N112" s="18"/>
      <c r="O112" s="18"/>
      <c r="P112" s="18"/>
      <c r="Q112" s="18"/>
      <c r="R112" s="18"/>
      <c r="S112" s="18"/>
      <c r="T112" s="18"/>
    </row>
    <row r="113" spans="1:20" ht="13">
      <c r="A113" s="18"/>
      <c r="B113" s="18"/>
      <c r="C113" s="18"/>
      <c r="D113" s="18"/>
      <c r="E113" s="18"/>
      <c r="F113" s="26" t="s">
        <v>120</v>
      </c>
      <c r="G113" s="18"/>
      <c r="H113" s="18"/>
      <c r="I113" s="18"/>
      <c r="J113" s="18"/>
      <c r="K113" s="18"/>
      <c r="L113" s="18"/>
      <c r="M113" s="18"/>
      <c r="N113" s="18"/>
      <c r="O113" s="18"/>
      <c r="P113" s="18"/>
      <c r="Q113" s="18"/>
      <c r="R113" s="18"/>
      <c r="S113" s="18"/>
      <c r="T113" s="18"/>
    </row>
    <row r="114" spans="1:20">
      <c r="A114" s="18"/>
      <c r="B114" s="18"/>
      <c r="C114" s="18"/>
      <c r="D114" s="18"/>
      <c r="E114" s="18"/>
      <c r="F114" s="18"/>
      <c r="G114" s="18"/>
      <c r="H114" s="18"/>
      <c r="I114" s="18"/>
      <c r="J114" s="18"/>
      <c r="K114" s="18"/>
      <c r="L114" s="18"/>
      <c r="M114" s="18"/>
      <c r="N114" s="18"/>
      <c r="O114" s="18"/>
      <c r="P114" s="18"/>
      <c r="Q114" s="18"/>
      <c r="R114" s="18"/>
      <c r="S114" s="18"/>
      <c r="T114" s="18"/>
    </row>
    <row r="115" spans="1:20">
      <c r="A115" s="19">
        <f>IF(ISNA(MATCH(Q115,iIndices!$F$16:$F$21,0)),1,0)</f>
        <v>0</v>
      </c>
      <c r="B115" s="18"/>
      <c r="C115" s="18"/>
      <c r="D115" s="18"/>
      <c r="E115" s="18"/>
      <c r="F115" s="18" t="s">
        <v>120</v>
      </c>
      <c r="G115" s="17" t="str">
        <f>cstConstantUnit</f>
        <v>£ 2022/23</v>
      </c>
      <c r="H115" s="18"/>
      <c r="I115" s="49">
        <f>MAX(I58:I114)+1</f>
        <v>27</v>
      </c>
      <c r="J115" s="18"/>
      <c r="K115" s="5"/>
      <c r="L115" s="18"/>
      <c r="M115" s="8">
        <v>25</v>
      </c>
      <c r="N115" s="8">
        <v>30</v>
      </c>
      <c r="O115" s="8">
        <v>40</v>
      </c>
      <c r="P115" s="18"/>
      <c r="Q115" s="3" t="s">
        <v>325</v>
      </c>
      <c r="R115" s="18"/>
      <c r="S115" s="18"/>
      <c r="T115" s="18"/>
    </row>
    <row r="116" spans="1:20">
      <c r="A116" s="18"/>
      <c r="B116" s="18"/>
      <c r="C116" s="18"/>
      <c r="D116" s="18"/>
      <c r="E116" s="18"/>
      <c r="F116" s="18"/>
      <c r="G116" s="18"/>
      <c r="H116" s="18"/>
      <c r="I116" s="18"/>
      <c r="J116" s="18"/>
      <c r="K116" s="18"/>
      <c r="L116" s="18"/>
      <c r="M116" s="18"/>
      <c r="N116" s="18"/>
      <c r="O116" s="18"/>
      <c r="P116" s="18"/>
      <c r="Q116" s="18"/>
      <c r="R116" s="18"/>
      <c r="S116" s="18"/>
      <c r="T116" s="18"/>
    </row>
    <row r="117" spans="1:20" s="24" customFormat="1" ht="16">
      <c r="D117" s="24">
        <v>5</v>
      </c>
      <c r="E117" s="24" t="s">
        <v>158</v>
      </c>
    </row>
    <row r="118" spans="1:20">
      <c r="A118" s="18"/>
      <c r="B118" s="18"/>
      <c r="C118" s="18"/>
      <c r="D118" s="18"/>
      <c r="E118" s="18"/>
      <c r="F118" s="18"/>
      <c r="G118" s="18"/>
      <c r="H118" s="18"/>
      <c r="I118" s="18"/>
      <c r="J118" s="18"/>
      <c r="K118" s="18"/>
      <c r="L118" s="18"/>
      <c r="M118" s="18"/>
      <c r="N118" s="18"/>
      <c r="O118" s="18"/>
      <c r="P118" s="18"/>
      <c r="Q118" s="18"/>
      <c r="R118" s="18"/>
      <c r="S118" s="18"/>
      <c r="T118" s="18"/>
    </row>
    <row r="119" spans="1:20" s="25" customFormat="1" ht="14" thickBot="1">
      <c r="E119" s="25" t="s">
        <v>392</v>
      </c>
      <c r="F119" s="25" t="s">
        <v>162</v>
      </c>
    </row>
    <row r="120" spans="1:20">
      <c r="A120" s="18"/>
      <c r="B120" s="18"/>
      <c r="C120" s="18"/>
      <c r="D120" s="18"/>
      <c r="E120" s="18"/>
      <c r="F120" s="18"/>
      <c r="G120" s="18"/>
      <c r="H120" s="18"/>
      <c r="I120" s="18"/>
      <c r="J120" s="18"/>
      <c r="K120" s="18"/>
      <c r="L120" s="18"/>
      <c r="M120" s="18"/>
      <c r="N120" s="18"/>
      <c r="O120" s="18"/>
      <c r="P120" s="18"/>
      <c r="Q120" s="18"/>
      <c r="R120" s="18"/>
      <c r="S120" s="18"/>
      <c r="T120" s="18"/>
    </row>
    <row r="121" spans="1:20" ht="13">
      <c r="A121" s="18"/>
      <c r="B121" s="18"/>
      <c r="C121" s="18"/>
      <c r="D121" s="18"/>
      <c r="E121" s="18"/>
      <c r="F121" s="26" t="s">
        <v>121</v>
      </c>
      <c r="G121" s="18"/>
      <c r="H121" s="18"/>
      <c r="I121" s="18"/>
      <c r="J121" s="18"/>
      <c r="K121" s="18"/>
      <c r="L121" s="18"/>
      <c r="M121" s="18"/>
      <c r="N121" s="18"/>
      <c r="O121" s="18"/>
      <c r="P121" s="18"/>
      <c r="Q121" s="18"/>
      <c r="R121" s="18"/>
      <c r="S121" s="18"/>
      <c r="T121" s="18"/>
    </row>
    <row r="122" spans="1:20">
      <c r="A122" s="18"/>
      <c r="B122" s="18"/>
      <c r="C122" s="18"/>
      <c r="D122" s="18"/>
      <c r="E122" s="18"/>
      <c r="F122" s="18"/>
      <c r="G122" s="18"/>
      <c r="H122" s="18"/>
      <c r="I122" s="18"/>
      <c r="J122" s="18"/>
      <c r="K122" s="18"/>
      <c r="L122" s="18"/>
      <c r="M122" s="18"/>
      <c r="N122" s="18"/>
      <c r="O122" s="18"/>
      <c r="P122" s="18"/>
      <c r="Q122" s="18"/>
      <c r="R122" s="18"/>
      <c r="S122" s="18"/>
      <c r="T122" s="18"/>
    </row>
    <row r="123" spans="1:20">
      <c r="A123" s="19">
        <f>IF(ISNA(MATCH(Q123,iIndices!$F$16:$F$21,0)),1,0)</f>
        <v>0</v>
      </c>
      <c r="B123" s="18"/>
      <c r="C123" s="18"/>
      <c r="D123" s="18"/>
      <c r="E123" s="18"/>
      <c r="F123" s="18" t="s">
        <v>122</v>
      </c>
      <c r="G123" s="17" t="str">
        <f>cstConstantUnit</f>
        <v>£ 2022/23</v>
      </c>
      <c r="H123" s="18"/>
      <c r="I123" s="49">
        <f>MAX(I66:I122)+1</f>
        <v>28</v>
      </c>
      <c r="J123" s="18"/>
      <c r="K123" s="5"/>
      <c r="L123" s="18"/>
      <c r="M123" s="8">
        <v>600</v>
      </c>
      <c r="N123" s="8">
        <v>850</v>
      </c>
      <c r="O123" s="8">
        <v>1100</v>
      </c>
      <c r="P123" s="18"/>
      <c r="Q123" s="3" t="s">
        <v>325</v>
      </c>
      <c r="R123" s="18"/>
      <c r="S123" s="18"/>
      <c r="T123" s="18"/>
    </row>
    <row r="124" spans="1:20">
      <c r="A124" s="18"/>
      <c r="B124" s="18"/>
      <c r="C124" s="18"/>
      <c r="D124" s="18"/>
      <c r="E124" s="18"/>
      <c r="F124" s="18"/>
      <c r="G124" s="18"/>
      <c r="H124" s="18"/>
      <c r="I124" s="18"/>
      <c r="J124" s="18"/>
      <c r="K124" s="18"/>
      <c r="L124" s="18"/>
      <c r="M124" s="18"/>
      <c r="N124" s="18"/>
      <c r="O124" s="18"/>
      <c r="P124" s="18"/>
      <c r="Q124" s="18"/>
      <c r="R124" s="18"/>
      <c r="S124" s="18"/>
      <c r="T124" s="18"/>
    </row>
    <row r="125" spans="1:20" s="24" customFormat="1" ht="16">
      <c r="D125" s="24">
        <v>6</v>
      </c>
      <c r="E125" s="24" t="s">
        <v>159</v>
      </c>
    </row>
    <row r="126" spans="1:20">
      <c r="A126" s="18"/>
      <c r="B126" s="18"/>
      <c r="C126" s="18"/>
      <c r="D126" s="18"/>
      <c r="E126" s="18"/>
      <c r="F126" s="18"/>
      <c r="G126" s="18"/>
      <c r="H126" s="18"/>
      <c r="I126" s="18"/>
      <c r="J126" s="18"/>
      <c r="K126" s="18"/>
      <c r="L126" s="18"/>
      <c r="M126" s="18"/>
      <c r="N126" s="18"/>
      <c r="O126" s="18"/>
      <c r="P126" s="18"/>
      <c r="Q126" s="18"/>
      <c r="R126" s="18"/>
      <c r="S126" s="18"/>
      <c r="T126" s="18"/>
    </row>
    <row r="127" spans="1:20" s="25" customFormat="1" ht="14" thickBot="1">
      <c r="E127" s="25" t="s">
        <v>393</v>
      </c>
      <c r="F127" s="25" t="s">
        <v>161</v>
      </c>
    </row>
    <row r="128" spans="1:20">
      <c r="A128" s="18"/>
      <c r="B128" s="18"/>
      <c r="C128" s="18"/>
      <c r="D128" s="18"/>
      <c r="E128" s="18"/>
      <c r="F128" s="18"/>
      <c r="G128" s="18"/>
      <c r="H128" s="18"/>
      <c r="I128" s="18"/>
      <c r="J128" s="18"/>
      <c r="K128" s="18"/>
      <c r="L128" s="18"/>
      <c r="M128" s="18"/>
      <c r="N128" s="18"/>
      <c r="O128" s="18"/>
      <c r="P128" s="18"/>
      <c r="Q128" s="18"/>
      <c r="R128" s="18"/>
      <c r="S128" s="18"/>
      <c r="T128" s="18"/>
    </row>
    <row r="129" spans="1:20" ht="13">
      <c r="A129" s="18"/>
      <c r="B129" s="18"/>
      <c r="C129" s="18"/>
      <c r="D129" s="18"/>
      <c r="E129" s="18"/>
      <c r="F129" s="26" t="s">
        <v>123</v>
      </c>
      <c r="G129" s="18"/>
      <c r="H129" s="18"/>
      <c r="I129" s="18"/>
      <c r="J129" s="18"/>
      <c r="K129" s="18"/>
      <c r="L129" s="18"/>
      <c r="M129" s="18"/>
      <c r="N129" s="18"/>
      <c r="O129" s="18"/>
      <c r="P129" s="18"/>
      <c r="Q129" s="18"/>
      <c r="R129" s="18"/>
      <c r="S129" s="18"/>
      <c r="T129" s="18"/>
    </row>
    <row r="130" spans="1:20">
      <c r="A130" s="18"/>
      <c r="B130" s="18"/>
      <c r="C130" s="18"/>
      <c r="D130" s="18"/>
      <c r="E130" s="18"/>
      <c r="F130" s="18"/>
      <c r="G130" s="18"/>
      <c r="H130" s="18"/>
      <c r="I130" s="18"/>
      <c r="J130" s="18"/>
      <c r="K130" s="18"/>
      <c r="L130" s="18"/>
      <c r="M130" s="18"/>
      <c r="N130" s="18"/>
      <c r="O130" s="18"/>
      <c r="P130" s="18"/>
      <c r="Q130" s="18"/>
      <c r="R130" s="18"/>
      <c r="S130" s="18"/>
      <c r="T130" s="18"/>
    </row>
    <row r="131" spans="1:20">
      <c r="A131" s="18"/>
      <c r="B131" s="18"/>
      <c r="C131" s="18"/>
      <c r="D131" s="18"/>
      <c r="E131" s="18"/>
      <c r="F131" s="18" t="s">
        <v>323</v>
      </c>
      <c r="G131" s="17" t="str" cm="1">
        <f t="array" ref="G131">cstArea&amp;"/"&amp;cstFTE</f>
        <v>m2/FTE</v>
      </c>
      <c r="H131" s="18"/>
      <c r="I131" s="49">
        <f>MAX(I74:I130)+1</f>
        <v>29</v>
      </c>
      <c r="J131" s="18"/>
      <c r="K131" s="5"/>
      <c r="L131" s="18"/>
      <c r="M131" s="8">
        <v>10</v>
      </c>
      <c r="N131" s="8">
        <v>15</v>
      </c>
      <c r="O131" s="8">
        <v>20</v>
      </c>
      <c r="P131" s="18"/>
      <c r="Q131" s="39"/>
      <c r="R131" s="18"/>
      <c r="S131" s="18"/>
      <c r="T131" s="18"/>
    </row>
    <row r="132" spans="1:20">
      <c r="A132" s="18"/>
      <c r="B132" s="18"/>
      <c r="C132" s="18"/>
      <c r="D132" s="18"/>
      <c r="E132" s="18"/>
      <c r="F132" s="18"/>
      <c r="G132" s="18"/>
      <c r="H132" s="18"/>
      <c r="I132" s="18"/>
      <c r="J132" s="18"/>
      <c r="K132" s="18"/>
      <c r="L132" s="18"/>
      <c r="M132" s="18"/>
      <c r="N132" s="18"/>
      <c r="O132" s="18"/>
      <c r="P132" s="18"/>
      <c r="Q132" s="18"/>
      <c r="R132" s="18"/>
      <c r="S132" s="18"/>
      <c r="T132" s="18"/>
    </row>
    <row r="133" spans="1:20" s="25" customFormat="1" ht="14" thickBot="1">
      <c r="E133" s="25" t="s">
        <v>124</v>
      </c>
    </row>
    <row r="134" spans="1:20">
      <c r="A134" s="18"/>
      <c r="B134" s="18"/>
      <c r="C134" s="18"/>
      <c r="D134" s="18"/>
      <c r="E134" s="18"/>
      <c r="F134" s="18"/>
      <c r="G134" s="18"/>
      <c r="H134" s="18"/>
      <c r="I134" s="18"/>
      <c r="J134" s="18"/>
      <c r="K134" s="18"/>
      <c r="L134" s="18"/>
      <c r="M134" s="18"/>
      <c r="N134" s="18"/>
      <c r="O134" s="18"/>
      <c r="P134" s="18"/>
      <c r="Q134" s="18"/>
      <c r="R134" s="18"/>
      <c r="S134" s="18"/>
      <c r="T134" s="18"/>
    </row>
    <row r="135" spans="1:20" ht="13">
      <c r="A135" s="18"/>
      <c r="B135" s="18"/>
      <c r="C135" s="18"/>
      <c r="D135" s="18"/>
      <c r="E135" s="18"/>
      <c r="F135" s="26" t="s">
        <v>125</v>
      </c>
      <c r="G135" s="18"/>
      <c r="H135" s="18"/>
      <c r="I135" s="18"/>
      <c r="J135" s="18"/>
      <c r="K135" s="18"/>
      <c r="L135" s="18"/>
      <c r="M135" s="18"/>
      <c r="N135" s="18"/>
      <c r="O135" s="18"/>
      <c r="P135" s="18"/>
      <c r="Q135" s="18"/>
      <c r="R135" s="18"/>
      <c r="S135" s="18"/>
      <c r="T135" s="18"/>
    </row>
    <row r="136" spans="1:20">
      <c r="A136" s="18"/>
      <c r="B136" s="18"/>
      <c r="C136" s="18"/>
      <c r="D136" s="18"/>
      <c r="E136" s="18"/>
      <c r="F136" s="18"/>
      <c r="G136" s="18"/>
      <c r="H136" s="18"/>
      <c r="I136" s="18"/>
      <c r="J136" s="18"/>
      <c r="K136" s="18"/>
      <c r="L136" s="18"/>
      <c r="M136" s="18"/>
      <c r="N136" s="18"/>
      <c r="O136" s="18"/>
      <c r="P136" s="18"/>
      <c r="Q136" s="18"/>
      <c r="R136" s="18"/>
      <c r="S136" s="18"/>
      <c r="T136" s="18"/>
    </row>
    <row r="137" spans="1:20">
      <c r="A137" s="19">
        <f>IF(N137&lt;0,1,0)</f>
        <v>0</v>
      </c>
      <c r="B137"/>
      <c r="C137" s="18"/>
      <c r="D137" s="18"/>
      <c r="E137" s="18"/>
      <c r="F137" s="18" t="s">
        <v>246</v>
      </c>
      <c r="G137" s="17" t="str">
        <f>cstPercent</f>
        <v>%</v>
      </c>
      <c r="H137" s="18"/>
      <c r="I137" s="49">
        <f>MAX(I80:I136)+1</f>
        <v>30</v>
      </c>
      <c r="J137" s="18"/>
      <c r="K137" s="5"/>
      <c r="L137" s="18"/>
      <c r="M137" s="6">
        <v>0.02</v>
      </c>
      <c r="N137" s="6">
        <v>0.03</v>
      </c>
      <c r="O137" s="6">
        <v>0.04</v>
      </c>
      <c r="P137" s="18"/>
      <c r="Q137" s="39"/>
      <c r="R137" s="18"/>
    </row>
    <row r="138" spans="1:20">
      <c r="A138" s="18"/>
      <c r="B138" s="18"/>
      <c r="C138" s="18"/>
      <c r="D138" s="18"/>
      <c r="E138" s="18"/>
      <c r="F138" s="18"/>
      <c r="G138" s="18"/>
      <c r="H138" s="18"/>
      <c r="I138" s="18"/>
      <c r="J138" s="18"/>
      <c r="K138" s="18"/>
      <c r="L138" s="18"/>
      <c r="M138" s="18"/>
      <c r="N138" s="18"/>
      <c r="O138" s="18"/>
      <c r="P138" s="18"/>
      <c r="Q138" s="18"/>
      <c r="R138" s="18"/>
      <c r="S138" s="18"/>
      <c r="T138" s="18"/>
    </row>
    <row r="139" spans="1:20" ht="13">
      <c r="A139" s="18"/>
      <c r="B139" s="18"/>
      <c r="C139" s="18"/>
      <c r="D139" s="18"/>
      <c r="E139" s="18"/>
      <c r="F139" s="26" t="s">
        <v>429</v>
      </c>
      <c r="G139" s="18"/>
      <c r="H139" s="18"/>
      <c r="I139" s="18"/>
      <c r="J139" s="18"/>
      <c r="K139" s="18"/>
      <c r="L139" s="18"/>
      <c r="M139" s="18"/>
      <c r="N139" s="18"/>
      <c r="O139" s="18"/>
      <c r="P139" s="18"/>
      <c r="Q139" s="18"/>
      <c r="R139" s="18"/>
      <c r="S139" s="18"/>
      <c r="T139" s="18"/>
    </row>
    <row r="140" spans="1:20">
      <c r="A140" s="18"/>
      <c r="B140" s="18"/>
      <c r="C140" s="18"/>
      <c r="D140" s="18"/>
      <c r="E140" s="18"/>
      <c r="F140" s="18"/>
      <c r="G140" s="18"/>
      <c r="H140" s="18"/>
      <c r="I140" s="18"/>
      <c r="J140" s="18"/>
      <c r="K140" s="18"/>
      <c r="L140" s="18"/>
      <c r="M140" s="18"/>
      <c r="N140" s="18"/>
      <c r="O140" s="18"/>
      <c r="P140" s="18"/>
      <c r="Q140" s="18"/>
      <c r="R140" s="18"/>
      <c r="S140" s="18"/>
      <c r="T140" s="18"/>
    </row>
    <row r="141" spans="1:20">
      <c r="A141" s="19">
        <f>IF(ISNA(MATCH(Q141,iIndices!$F$16:$F$21,0)),1,0)</f>
        <v>0</v>
      </c>
      <c r="B141" s="18"/>
      <c r="C141" s="18"/>
      <c r="D141" s="18"/>
      <c r="E141" s="18"/>
      <c r="F141" s="18" t="s">
        <v>127</v>
      </c>
      <c r="G141" s="17" t="str">
        <f t="shared" ref="G141:G165" si="1">cstConstantUnit&amp;" per "&amp;cstArea</f>
        <v>£ 2022/23 per m2</v>
      </c>
      <c r="H141" s="18"/>
      <c r="I141" s="49">
        <f>MAX(I84:I140)+1</f>
        <v>31</v>
      </c>
      <c r="J141" s="18"/>
      <c r="K141" s="5"/>
      <c r="L141" s="18"/>
      <c r="M141" s="8">
        <v>123.5</v>
      </c>
      <c r="N141" s="8">
        <v>137.80000000000001</v>
      </c>
      <c r="O141" s="8">
        <v>158.6</v>
      </c>
      <c r="P141" s="18"/>
      <c r="Q141" s="3" t="s">
        <v>325</v>
      </c>
      <c r="R141" s="18"/>
      <c r="S141" s="18"/>
      <c r="T141" s="18"/>
    </row>
    <row r="142" spans="1:20">
      <c r="A142" s="19">
        <f>IF(ISNA(MATCH(Q142,iIndices!$F$16:$F$21,0)),1,0)</f>
        <v>0</v>
      </c>
      <c r="B142" s="18"/>
      <c r="C142" s="18"/>
      <c r="D142" s="18"/>
      <c r="E142" s="18"/>
      <c r="F142" s="18" t="s">
        <v>128</v>
      </c>
      <c r="G142" s="17" t="str">
        <f t="shared" si="1"/>
        <v>£ 2022/23 per m2</v>
      </c>
      <c r="H142" s="18"/>
      <c r="I142" s="49">
        <f>I141</f>
        <v>31</v>
      </c>
      <c r="J142" s="18"/>
      <c r="K142" s="5"/>
      <c r="L142" s="18"/>
      <c r="M142" s="8">
        <v>163.80000000000001</v>
      </c>
      <c r="N142" s="8">
        <v>182</v>
      </c>
      <c r="O142" s="8">
        <v>209.3</v>
      </c>
      <c r="P142" s="18"/>
      <c r="Q142" s="3" t="s">
        <v>325</v>
      </c>
      <c r="R142" s="18"/>
      <c r="S142" s="18"/>
      <c r="T142" s="18"/>
    </row>
    <row r="143" spans="1:20">
      <c r="A143" s="19">
        <f>IF(ISNA(MATCH(Q143,iIndices!$F$16:$F$21,0)),1,0)</f>
        <v>0</v>
      </c>
      <c r="B143" s="18"/>
      <c r="C143" s="18"/>
      <c r="D143" s="18"/>
      <c r="E143" s="18"/>
      <c r="F143" s="18" t="s">
        <v>129</v>
      </c>
      <c r="G143" s="17" t="str">
        <f t="shared" si="1"/>
        <v>£ 2022/23 per m2</v>
      </c>
      <c r="H143" s="18"/>
      <c r="I143" s="49">
        <f t="shared" ref="I143:I164" si="2">I142</f>
        <v>31</v>
      </c>
      <c r="J143" s="18"/>
      <c r="K143" s="5"/>
      <c r="L143" s="18"/>
      <c r="M143" s="8">
        <v>32.5</v>
      </c>
      <c r="N143" s="8">
        <v>36.4</v>
      </c>
      <c r="O143" s="8">
        <v>41.6</v>
      </c>
      <c r="P143" s="18"/>
      <c r="Q143" s="3" t="s">
        <v>325</v>
      </c>
      <c r="R143" s="18"/>
      <c r="S143" s="18"/>
      <c r="T143" s="18"/>
    </row>
    <row r="144" spans="1:20">
      <c r="A144" s="19">
        <f>IF(ISNA(MATCH(Q144,iIndices!$F$16:$F$21,0)),1,0)</f>
        <v>0</v>
      </c>
      <c r="B144" s="18"/>
      <c r="C144" s="18"/>
      <c r="D144" s="18"/>
      <c r="E144" s="18"/>
      <c r="F144" s="18" t="s">
        <v>130</v>
      </c>
      <c r="G144" s="17" t="str">
        <f t="shared" si="1"/>
        <v>£ 2022/23 per m2</v>
      </c>
      <c r="H144" s="18"/>
      <c r="I144" s="49">
        <f t="shared" si="2"/>
        <v>31</v>
      </c>
      <c r="J144" s="18"/>
      <c r="K144" s="5"/>
      <c r="L144" s="18"/>
      <c r="M144" s="8">
        <v>135.20000000000002</v>
      </c>
      <c r="N144" s="8">
        <v>149.5</v>
      </c>
      <c r="O144" s="8">
        <v>171.6</v>
      </c>
      <c r="P144" s="18"/>
      <c r="Q144" s="3" t="s">
        <v>325</v>
      </c>
      <c r="R144" s="18"/>
      <c r="S144" s="18"/>
      <c r="T144" s="18"/>
    </row>
    <row r="145" spans="1:20">
      <c r="A145" s="19">
        <f>IF(ISNA(MATCH(Q145,iIndices!$F$16:$F$21,0)),1,0)</f>
        <v>0</v>
      </c>
      <c r="B145" s="18"/>
      <c r="C145" s="18"/>
      <c r="D145" s="18"/>
      <c r="E145" s="18"/>
      <c r="F145" s="18" t="s">
        <v>131</v>
      </c>
      <c r="G145" s="17" t="str">
        <f t="shared" si="1"/>
        <v>£ 2022/23 per m2</v>
      </c>
      <c r="H145" s="18"/>
      <c r="I145" s="49">
        <f t="shared" si="2"/>
        <v>31</v>
      </c>
      <c r="J145" s="18"/>
      <c r="K145" s="5"/>
      <c r="L145" s="18"/>
      <c r="M145" s="8">
        <v>14.3</v>
      </c>
      <c r="N145" s="8">
        <v>15.600000000000001</v>
      </c>
      <c r="O145" s="8">
        <v>18.2</v>
      </c>
      <c r="P145" s="18"/>
      <c r="Q145" s="3" t="s">
        <v>325</v>
      </c>
      <c r="R145" s="18"/>
      <c r="S145" s="18"/>
      <c r="T145" s="18"/>
    </row>
    <row r="146" spans="1:20">
      <c r="A146" s="19">
        <f>IF(ISNA(MATCH(Q146,iIndices!$F$16:$F$21,0)),1,0)</f>
        <v>0</v>
      </c>
      <c r="B146" s="18"/>
      <c r="C146" s="18"/>
      <c r="D146" s="18"/>
      <c r="E146" s="18"/>
      <c r="F146" s="18" t="s">
        <v>132</v>
      </c>
      <c r="G146" s="17" t="str">
        <f t="shared" si="1"/>
        <v>£ 2022/23 per m2</v>
      </c>
      <c r="H146" s="18"/>
      <c r="I146" s="49">
        <f t="shared" si="2"/>
        <v>31</v>
      </c>
      <c r="J146" s="18"/>
      <c r="K146" s="5"/>
      <c r="L146" s="18"/>
      <c r="M146" s="8">
        <v>228.8</v>
      </c>
      <c r="N146" s="8">
        <v>253.5</v>
      </c>
      <c r="O146" s="8">
        <v>291.2</v>
      </c>
      <c r="P146" s="18"/>
      <c r="Q146" s="3" t="s">
        <v>325</v>
      </c>
      <c r="R146" s="18"/>
      <c r="S146" s="18"/>
      <c r="T146" s="18"/>
    </row>
    <row r="147" spans="1:20">
      <c r="A147" s="19">
        <f>IF(ISNA(MATCH(Q147,iIndices!$F$16:$F$21,0)),1,0)</f>
        <v>0</v>
      </c>
      <c r="B147" s="18"/>
      <c r="C147" s="18"/>
      <c r="D147" s="18"/>
      <c r="E147" s="18"/>
      <c r="F147" s="18" t="s">
        <v>133</v>
      </c>
      <c r="G147" s="17" t="str">
        <f t="shared" si="1"/>
        <v>£ 2022/23 per m2</v>
      </c>
      <c r="H147" s="18"/>
      <c r="I147" s="49">
        <f t="shared" si="2"/>
        <v>31</v>
      </c>
      <c r="J147" s="18"/>
      <c r="K147" s="5"/>
      <c r="L147" s="18"/>
      <c r="M147" s="8">
        <v>111.8</v>
      </c>
      <c r="N147" s="8">
        <v>123.5</v>
      </c>
      <c r="O147" s="8">
        <v>141.70000000000002</v>
      </c>
      <c r="P147" s="18"/>
      <c r="Q147" s="3" t="s">
        <v>325</v>
      </c>
      <c r="R147" s="18"/>
      <c r="S147" s="18"/>
      <c r="T147" s="18"/>
    </row>
    <row r="148" spans="1:20">
      <c r="A148" s="19">
        <f>IF(ISNA(MATCH(Q148,iIndices!$F$16:$F$21,0)),1,0)</f>
        <v>0</v>
      </c>
      <c r="B148" s="18"/>
      <c r="C148" s="18"/>
      <c r="D148" s="18"/>
      <c r="E148" s="18"/>
      <c r="F148" s="18" t="s">
        <v>134</v>
      </c>
      <c r="G148" s="17" t="str">
        <f t="shared" si="1"/>
        <v>£ 2022/23 per m2</v>
      </c>
      <c r="H148" s="18"/>
      <c r="I148" s="49">
        <f t="shared" si="2"/>
        <v>31</v>
      </c>
      <c r="J148" s="18"/>
      <c r="K148" s="5"/>
      <c r="L148" s="18"/>
      <c r="M148" s="8">
        <v>33.800000000000004</v>
      </c>
      <c r="N148" s="8">
        <v>37.700000000000003</v>
      </c>
      <c r="O148" s="8">
        <v>42.9</v>
      </c>
      <c r="P148" s="18"/>
      <c r="Q148" s="3" t="s">
        <v>325</v>
      </c>
      <c r="R148" s="18"/>
      <c r="S148" s="18"/>
      <c r="T148" s="18"/>
    </row>
    <row r="149" spans="1:20">
      <c r="A149" s="19">
        <f>IF(ISNA(MATCH(Q149,iIndices!$F$16:$F$21,0)),1,0)</f>
        <v>0</v>
      </c>
      <c r="B149" s="18"/>
      <c r="C149" s="18"/>
      <c r="D149" s="18"/>
      <c r="E149" s="18"/>
      <c r="F149" s="18" t="s">
        <v>135</v>
      </c>
      <c r="G149" s="17" t="str">
        <f t="shared" si="1"/>
        <v>£ 2022/23 per m2</v>
      </c>
      <c r="H149" s="18"/>
      <c r="I149" s="49">
        <f t="shared" si="2"/>
        <v>31</v>
      </c>
      <c r="J149" s="18"/>
      <c r="K149" s="5"/>
      <c r="L149" s="18"/>
      <c r="M149" s="8">
        <v>36.4</v>
      </c>
      <c r="N149" s="8">
        <v>40.300000000000004</v>
      </c>
      <c r="O149" s="8">
        <v>46.800000000000004</v>
      </c>
      <c r="P149" s="18"/>
      <c r="Q149" s="3" t="s">
        <v>325</v>
      </c>
      <c r="R149" s="18"/>
      <c r="S149" s="18"/>
      <c r="T149" s="18"/>
    </row>
    <row r="150" spans="1:20">
      <c r="A150" s="19">
        <f>IF(ISNA(MATCH(Q150,iIndices!$F$16:$F$21,0)),1,0)</f>
        <v>0</v>
      </c>
      <c r="B150" s="18"/>
      <c r="C150" s="18"/>
      <c r="D150" s="18"/>
      <c r="E150" s="18"/>
      <c r="F150" s="18" t="s">
        <v>136</v>
      </c>
      <c r="G150" s="17" t="str">
        <f t="shared" si="1"/>
        <v>£ 2022/23 per m2</v>
      </c>
      <c r="H150" s="18"/>
      <c r="I150" s="49">
        <f t="shared" si="2"/>
        <v>31</v>
      </c>
      <c r="J150" s="18"/>
      <c r="K150" s="5"/>
      <c r="L150" s="18"/>
      <c r="M150" s="8">
        <v>166.4</v>
      </c>
      <c r="N150" s="8">
        <v>184.6</v>
      </c>
      <c r="O150" s="8">
        <v>211.9</v>
      </c>
      <c r="P150" s="18"/>
      <c r="Q150" s="3" t="s">
        <v>325</v>
      </c>
      <c r="R150" s="18"/>
      <c r="S150" s="18"/>
      <c r="T150" s="18"/>
    </row>
    <row r="151" spans="1:20">
      <c r="A151" s="19">
        <f>IF(ISNA(MATCH(Q151,iIndices!$F$16:$F$21,0)),1,0)</f>
        <v>0</v>
      </c>
      <c r="B151" s="18"/>
      <c r="C151" s="18"/>
      <c r="D151" s="18"/>
      <c r="E151" s="18"/>
      <c r="F151" s="18" t="s">
        <v>137</v>
      </c>
      <c r="G151" s="17" t="str">
        <f t="shared" si="1"/>
        <v>£ 2022/23 per m2</v>
      </c>
      <c r="H151" s="18"/>
      <c r="I151" s="49">
        <f t="shared" si="2"/>
        <v>31</v>
      </c>
      <c r="J151" s="18"/>
      <c r="K151" s="5"/>
      <c r="L151" s="18"/>
      <c r="M151" s="8">
        <v>31.200000000000003</v>
      </c>
      <c r="N151" s="8">
        <v>35.1</v>
      </c>
      <c r="O151" s="8">
        <v>40.300000000000004</v>
      </c>
      <c r="P151" s="18"/>
      <c r="Q151" s="3" t="s">
        <v>325</v>
      </c>
      <c r="R151" s="18"/>
      <c r="S151" s="18"/>
      <c r="T151" s="18"/>
    </row>
    <row r="152" spans="1:20">
      <c r="A152" s="19">
        <f>IF(ISNA(MATCH(Q152,iIndices!$F$16:$F$21,0)),1,0)</f>
        <v>0</v>
      </c>
      <c r="B152" s="18"/>
      <c r="C152" s="18"/>
      <c r="D152" s="18"/>
      <c r="E152" s="18"/>
      <c r="F152" s="18" t="s">
        <v>138</v>
      </c>
      <c r="G152" s="17" t="str">
        <f t="shared" si="1"/>
        <v>£ 2022/23 per m2</v>
      </c>
      <c r="H152" s="18"/>
      <c r="I152" s="49">
        <f t="shared" si="2"/>
        <v>31</v>
      </c>
      <c r="J152" s="18"/>
      <c r="K152" s="5"/>
      <c r="L152" s="18"/>
      <c r="M152" s="8">
        <v>80.600000000000009</v>
      </c>
      <c r="N152" s="8">
        <v>89.7</v>
      </c>
      <c r="O152" s="8">
        <v>102.7</v>
      </c>
      <c r="P152" s="18"/>
      <c r="Q152" s="3" t="s">
        <v>325</v>
      </c>
      <c r="R152" s="18"/>
      <c r="S152" s="18"/>
      <c r="T152" s="18"/>
    </row>
    <row r="153" spans="1:20">
      <c r="A153" s="19">
        <f>IF(ISNA(MATCH(Q153,iIndices!$F$16:$F$21,0)),1,0)</f>
        <v>0</v>
      </c>
      <c r="B153" s="18"/>
      <c r="C153" s="18"/>
      <c r="D153" s="18"/>
      <c r="E153" s="18"/>
      <c r="F153" s="18" t="s">
        <v>139</v>
      </c>
      <c r="G153" s="17" t="str">
        <f t="shared" si="1"/>
        <v>£ 2022/23 per m2</v>
      </c>
      <c r="H153" s="18"/>
      <c r="I153" s="49">
        <f t="shared" si="2"/>
        <v>31</v>
      </c>
      <c r="J153" s="18"/>
      <c r="K153" s="5"/>
      <c r="L153" s="18"/>
      <c r="M153" s="8">
        <v>11.700000000000001</v>
      </c>
      <c r="N153" s="8">
        <v>13</v>
      </c>
      <c r="O153" s="8">
        <v>15.600000000000001</v>
      </c>
      <c r="P153" s="18"/>
      <c r="Q153" s="3" t="s">
        <v>325</v>
      </c>
      <c r="R153" s="18"/>
      <c r="S153" s="18"/>
      <c r="T153" s="18"/>
    </row>
    <row r="154" spans="1:20">
      <c r="A154" s="19">
        <f>IF(ISNA(MATCH(Q154,iIndices!$F$16:$F$21,0)),1,0)</f>
        <v>0</v>
      </c>
      <c r="B154" s="18"/>
      <c r="C154" s="18"/>
      <c r="D154" s="18"/>
      <c r="E154" s="18"/>
      <c r="F154" s="18" t="s">
        <v>140</v>
      </c>
      <c r="G154" s="17" t="str">
        <f t="shared" si="1"/>
        <v>£ 2022/23 per m2</v>
      </c>
      <c r="H154" s="18"/>
      <c r="I154" s="49">
        <f t="shared" si="2"/>
        <v>31</v>
      </c>
      <c r="J154" s="18"/>
      <c r="K154" s="5"/>
      <c r="L154" s="18"/>
      <c r="M154" s="8">
        <v>94.9</v>
      </c>
      <c r="N154" s="8">
        <v>105.3</v>
      </c>
      <c r="O154" s="8">
        <v>120.9</v>
      </c>
      <c r="P154" s="18"/>
      <c r="Q154" s="3" t="s">
        <v>325</v>
      </c>
      <c r="R154" s="18"/>
      <c r="S154" s="18"/>
      <c r="T154" s="18"/>
    </row>
    <row r="155" spans="1:20">
      <c r="A155" s="19">
        <f>IF(ISNA(MATCH(Q155,iIndices!$F$16:$F$21,0)),1,0)</f>
        <v>0</v>
      </c>
      <c r="B155" s="18"/>
      <c r="C155" s="18"/>
      <c r="D155" s="18"/>
      <c r="E155" s="18"/>
      <c r="F155" s="18" t="s">
        <v>416</v>
      </c>
      <c r="G155" s="17" t="str">
        <f t="shared" si="1"/>
        <v>£ 2022/23 per m2</v>
      </c>
      <c r="H155" s="18"/>
      <c r="I155" s="49">
        <f t="shared" si="2"/>
        <v>31</v>
      </c>
      <c r="J155" s="18"/>
      <c r="K155" s="5"/>
      <c r="L155" s="18"/>
      <c r="M155" s="8">
        <v>18.2</v>
      </c>
      <c r="N155" s="8">
        <v>20.8</v>
      </c>
      <c r="O155" s="8">
        <v>23.400000000000002</v>
      </c>
      <c r="P155" s="18"/>
      <c r="Q155" s="3" t="s">
        <v>325</v>
      </c>
      <c r="R155" s="18"/>
      <c r="S155" s="18"/>
      <c r="T155" s="18"/>
    </row>
    <row r="156" spans="1:20">
      <c r="A156" s="19">
        <f>IF(ISNA(MATCH(Q156,iIndices!$F$16:$F$21,0)),1,0)</f>
        <v>0</v>
      </c>
      <c r="B156" s="18"/>
      <c r="C156" s="18"/>
      <c r="D156" s="18"/>
      <c r="E156" s="18"/>
      <c r="F156" s="18" t="s">
        <v>141</v>
      </c>
      <c r="G156" s="17" t="str">
        <f t="shared" si="1"/>
        <v>£ 2022/23 per m2</v>
      </c>
      <c r="H156" s="18"/>
      <c r="I156" s="49">
        <f t="shared" si="2"/>
        <v>31</v>
      </c>
      <c r="J156" s="18"/>
      <c r="K156" s="5"/>
      <c r="L156" s="18"/>
      <c r="M156" s="8">
        <v>15.600000000000001</v>
      </c>
      <c r="N156" s="8">
        <v>16.900000000000002</v>
      </c>
      <c r="O156" s="8">
        <v>19.5</v>
      </c>
      <c r="P156" s="18"/>
      <c r="Q156" s="3" t="s">
        <v>325</v>
      </c>
      <c r="R156" s="18"/>
      <c r="S156" s="18"/>
      <c r="T156" s="18"/>
    </row>
    <row r="157" spans="1:20">
      <c r="A157" s="19">
        <f>IF(ISNA(MATCH(Q157,iIndices!$F$16:$F$21,0)),1,0)</f>
        <v>0</v>
      </c>
      <c r="B157" s="18"/>
      <c r="C157" s="18"/>
      <c r="D157" s="18"/>
      <c r="E157" s="18"/>
      <c r="F157" s="18" t="s">
        <v>142</v>
      </c>
      <c r="G157" s="17" t="str">
        <f t="shared" si="1"/>
        <v>£ 2022/23 per m2</v>
      </c>
      <c r="H157" s="18"/>
      <c r="I157" s="49">
        <f t="shared" si="2"/>
        <v>31</v>
      </c>
      <c r="J157" s="18"/>
      <c r="K157" s="5"/>
      <c r="L157" s="18"/>
      <c r="M157" s="8">
        <v>521.30000000000007</v>
      </c>
      <c r="N157" s="8">
        <v>579.80000000000007</v>
      </c>
      <c r="O157" s="8">
        <v>666.9</v>
      </c>
      <c r="P157" s="18"/>
      <c r="Q157" s="3" t="s">
        <v>325</v>
      </c>
      <c r="R157" s="18"/>
      <c r="S157" s="18"/>
      <c r="T157" s="18"/>
    </row>
    <row r="158" spans="1:20">
      <c r="A158" s="19">
        <f>IF(ISNA(MATCH(Q158,iIndices!$F$16:$F$21,0)),1,0)</f>
        <v>0</v>
      </c>
      <c r="B158" s="18"/>
      <c r="C158" s="18"/>
      <c r="D158" s="18"/>
      <c r="E158" s="18"/>
      <c r="F158" s="18" t="s">
        <v>143</v>
      </c>
      <c r="G158" s="17" t="str">
        <f t="shared" si="1"/>
        <v>£ 2022/23 per m2</v>
      </c>
      <c r="H158" s="18"/>
      <c r="I158" s="49">
        <f t="shared" si="2"/>
        <v>31</v>
      </c>
      <c r="J158" s="18"/>
      <c r="K158" s="5"/>
      <c r="L158" s="18"/>
      <c r="M158" s="8">
        <v>193.70000000000002</v>
      </c>
      <c r="N158" s="8">
        <v>214.5</v>
      </c>
      <c r="O158" s="8">
        <v>247</v>
      </c>
      <c r="P158" s="18"/>
      <c r="Q158" s="3" t="s">
        <v>325</v>
      </c>
      <c r="R158" s="18"/>
      <c r="S158" s="18"/>
      <c r="T158" s="18"/>
    </row>
    <row r="159" spans="1:20">
      <c r="A159" s="19">
        <f>IF(ISNA(MATCH(Q159,iIndices!$F$16:$F$21,0)),1,0)</f>
        <v>0</v>
      </c>
      <c r="B159" s="18"/>
      <c r="C159" s="18"/>
      <c r="D159" s="18"/>
      <c r="E159" s="18"/>
      <c r="F159" s="18" t="s">
        <v>144</v>
      </c>
      <c r="G159" s="17" t="str">
        <f t="shared" si="1"/>
        <v>£ 2022/23 per m2</v>
      </c>
      <c r="H159" s="18"/>
      <c r="I159" s="49">
        <f t="shared" si="2"/>
        <v>31</v>
      </c>
      <c r="J159" s="18"/>
      <c r="K159" s="5"/>
      <c r="L159" s="18"/>
      <c r="M159" s="8">
        <v>13</v>
      </c>
      <c r="N159" s="8">
        <v>14.3</v>
      </c>
      <c r="O159" s="8">
        <v>16.900000000000002</v>
      </c>
      <c r="P159" s="18"/>
      <c r="Q159" s="3" t="s">
        <v>325</v>
      </c>
      <c r="R159" s="18"/>
      <c r="S159" s="18"/>
      <c r="T159" s="18"/>
    </row>
    <row r="160" spans="1:20">
      <c r="A160" s="19">
        <f>IF(ISNA(MATCH(Q160,iIndices!$F$16:$F$21,0)),1,0)</f>
        <v>0</v>
      </c>
      <c r="B160" s="18"/>
      <c r="C160" s="18"/>
      <c r="D160" s="18"/>
      <c r="E160" s="18"/>
      <c r="F160" s="18" t="s">
        <v>145</v>
      </c>
      <c r="G160" s="17" t="str">
        <f t="shared" si="1"/>
        <v>£ 2022/23 per m2</v>
      </c>
      <c r="H160" s="18"/>
      <c r="I160" s="49">
        <f t="shared" si="2"/>
        <v>31</v>
      </c>
      <c r="J160" s="18"/>
      <c r="K160" s="5"/>
      <c r="L160" s="18"/>
      <c r="M160" s="8">
        <v>16.900000000000002</v>
      </c>
      <c r="N160" s="8">
        <v>18.2</v>
      </c>
      <c r="O160" s="8">
        <v>20.8</v>
      </c>
      <c r="P160" s="18"/>
      <c r="Q160" s="3" t="s">
        <v>325</v>
      </c>
      <c r="R160" s="18"/>
      <c r="S160" s="18"/>
      <c r="T160" s="18"/>
    </row>
    <row r="161" spans="1:20">
      <c r="A161" s="19">
        <f>IF(ISNA(MATCH(Q161,iIndices!$F$16:$F$21,0)),1,0)</f>
        <v>0</v>
      </c>
      <c r="B161" s="18"/>
      <c r="C161" s="18"/>
      <c r="D161" s="18"/>
      <c r="E161" s="18"/>
      <c r="F161" s="18" t="s">
        <v>417</v>
      </c>
      <c r="G161" s="17" t="str">
        <f t="shared" si="1"/>
        <v>£ 2022/23 per m2</v>
      </c>
      <c r="H161" s="18"/>
      <c r="I161" s="49">
        <f t="shared" si="2"/>
        <v>31</v>
      </c>
      <c r="J161" s="18"/>
      <c r="K161" s="5"/>
      <c r="L161" s="18"/>
      <c r="M161" s="8">
        <v>276.90000000000003</v>
      </c>
      <c r="N161" s="8">
        <v>308.10000000000002</v>
      </c>
      <c r="O161" s="8">
        <v>354.90000000000003</v>
      </c>
      <c r="P161" s="18"/>
      <c r="Q161" s="3" t="s">
        <v>325</v>
      </c>
      <c r="R161" s="18"/>
      <c r="S161" s="18"/>
      <c r="T161" s="18"/>
    </row>
    <row r="162" spans="1:20">
      <c r="A162" s="19">
        <f>IF(ISNA(MATCH(Q162,iIndices!$F$16:$F$21,0)),1,0)</f>
        <v>0</v>
      </c>
      <c r="B162" s="18"/>
      <c r="C162" s="18"/>
      <c r="D162" s="18"/>
      <c r="E162" s="18"/>
      <c r="F162" s="18" t="s">
        <v>146</v>
      </c>
      <c r="G162" s="17" t="str">
        <f t="shared" si="1"/>
        <v>£ 2022/23 per m2</v>
      </c>
      <c r="H162" s="18"/>
      <c r="I162" s="49">
        <f t="shared" si="2"/>
        <v>31</v>
      </c>
      <c r="J162" s="18"/>
      <c r="K162" s="5"/>
      <c r="L162" s="18"/>
      <c r="M162" s="8">
        <v>75.400000000000006</v>
      </c>
      <c r="N162" s="8">
        <v>83.2</v>
      </c>
      <c r="O162" s="8">
        <v>96.2</v>
      </c>
      <c r="P162" s="18"/>
      <c r="Q162" s="3" t="s">
        <v>325</v>
      </c>
      <c r="R162" s="18"/>
      <c r="S162" s="18"/>
      <c r="T162" s="18"/>
    </row>
    <row r="163" spans="1:20">
      <c r="A163" s="19">
        <f>IF(ISNA(MATCH(Q163,iIndices!$F$16:$F$21,0)),1,0)</f>
        <v>0</v>
      </c>
      <c r="B163" s="18"/>
      <c r="C163" s="18"/>
      <c r="D163" s="18"/>
      <c r="E163" s="18"/>
      <c r="F163" s="18" t="s">
        <v>147</v>
      </c>
      <c r="G163" s="17" t="str">
        <f t="shared" si="1"/>
        <v>£ 2022/23 per m2</v>
      </c>
      <c r="H163" s="18"/>
      <c r="I163" s="49">
        <f t="shared" si="2"/>
        <v>31</v>
      </c>
      <c r="J163" s="18"/>
      <c r="K163" s="5"/>
      <c r="L163" s="18"/>
      <c r="M163" s="8">
        <v>37.700000000000003</v>
      </c>
      <c r="N163" s="8">
        <v>41.6</v>
      </c>
      <c r="O163" s="8">
        <v>48.1</v>
      </c>
      <c r="P163" s="18"/>
      <c r="Q163" s="3" t="s">
        <v>325</v>
      </c>
      <c r="R163" s="18"/>
      <c r="S163" s="18"/>
      <c r="T163" s="18"/>
    </row>
    <row r="164" spans="1:20">
      <c r="A164" s="19">
        <f>IF(ISNA(MATCH(Q164,iIndices!$F$16:$F$21,0)),1,0)</f>
        <v>0</v>
      </c>
      <c r="B164" s="18"/>
      <c r="C164" s="18"/>
      <c r="D164" s="18"/>
      <c r="E164" s="18"/>
      <c r="F164" s="18" t="s">
        <v>148</v>
      </c>
      <c r="G164" s="17" t="str">
        <f t="shared" si="1"/>
        <v>£ 2022/23 per m2</v>
      </c>
      <c r="H164" s="18"/>
      <c r="I164" s="49">
        <f t="shared" si="2"/>
        <v>31</v>
      </c>
      <c r="J164" s="18"/>
      <c r="K164" s="5"/>
      <c r="L164" s="18"/>
      <c r="M164" s="8">
        <v>364</v>
      </c>
      <c r="N164" s="8">
        <v>404.3</v>
      </c>
      <c r="O164" s="8">
        <v>465.40000000000003</v>
      </c>
      <c r="P164" s="18"/>
      <c r="Q164" s="3" t="s">
        <v>325</v>
      </c>
      <c r="R164" s="18"/>
      <c r="S164" s="18"/>
      <c r="T164" s="18"/>
    </row>
    <row r="165" spans="1:20">
      <c r="A165" s="19">
        <f>IF(ISNA(MATCH(Q165,iIndices!$F$16:$F$21,0)),1,0)</f>
        <v>0</v>
      </c>
      <c r="B165" s="18"/>
      <c r="C165" s="18"/>
      <c r="D165" s="18"/>
      <c r="E165" s="18"/>
      <c r="F165" s="18" t="s">
        <v>149</v>
      </c>
      <c r="G165" s="17" t="str">
        <f t="shared" si="1"/>
        <v>£ 2022/23 per m2</v>
      </c>
      <c r="H165" s="18"/>
      <c r="I165" s="49"/>
      <c r="J165" s="18"/>
      <c r="K165" s="8"/>
      <c r="L165" s="18"/>
      <c r="M165" s="8"/>
      <c r="N165" s="8"/>
      <c r="O165" s="8"/>
      <c r="P165" s="18"/>
      <c r="Q165" s="3" t="s">
        <v>325</v>
      </c>
      <c r="R165" s="18"/>
      <c r="S165" s="18"/>
      <c r="T165" s="18"/>
    </row>
    <row r="166" spans="1:20">
      <c r="A166" s="18"/>
      <c r="B166" s="18"/>
      <c r="C166" s="18"/>
      <c r="D166" s="18"/>
      <c r="E166" s="18"/>
      <c r="F166" s="18"/>
      <c r="G166" s="18"/>
      <c r="H166" s="18"/>
      <c r="I166" s="18"/>
      <c r="J166" s="18"/>
      <c r="K166" s="18"/>
      <c r="L166" s="18"/>
      <c r="M166" s="18"/>
      <c r="N166" s="18"/>
      <c r="O166" s="18"/>
      <c r="P166" s="18"/>
      <c r="Q166" s="18"/>
      <c r="R166" s="18"/>
      <c r="S166" s="18"/>
      <c r="T166" s="18"/>
    </row>
    <row r="167" spans="1:20" ht="13">
      <c r="A167" s="18"/>
      <c r="B167" s="18"/>
      <c r="C167" s="18"/>
      <c r="D167" s="18"/>
      <c r="E167" s="18"/>
      <c r="F167" s="26" t="s">
        <v>150</v>
      </c>
      <c r="G167" s="18"/>
      <c r="H167" s="18"/>
      <c r="I167" s="18"/>
      <c r="J167" s="18"/>
      <c r="K167" s="18"/>
      <c r="L167" s="18"/>
      <c r="M167" s="18"/>
      <c r="N167" s="18"/>
      <c r="O167" s="18"/>
      <c r="P167" s="18"/>
      <c r="Q167" s="18"/>
      <c r="R167" s="18"/>
      <c r="S167" s="18"/>
      <c r="T167" s="18"/>
    </row>
    <row r="168" spans="1:20">
      <c r="A168" s="18"/>
      <c r="B168" s="18"/>
      <c r="C168" s="18"/>
      <c r="D168" s="18"/>
      <c r="E168" s="18"/>
      <c r="F168" s="18"/>
      <c r="G168" s="18"/>
      <c r="H168" s="18"/>
      <c r="I168" s="18"/>
      <c r="J168" s="18"/>
      <c r="K168" s="18"/>
      <c r="L168" s="18"/>
      <c r="M168" s="18"/>
      <c r="N168" s="18"/>
      <c r="O168" s="18"/>
      <c r="P168" s="18"/>
      <c r="Q168" s="18"/>
      <c r="R168" s="18"/>
      <c r="S168" s="18"/>
      <c r="T168" s="18"/>
    </row>
    <row r="169" spans="1:20">
      <c r="A169" s="19">
        <f>IF(ISNA(MATCH(Q169,iIndices!$F$16:$F$21,0)),1,0)</f>
        <v>0</v>
      </c>
      <c r="B169" s="18"/>
      <c r="C169" s="18"/>
      <c r="D169" s="18"/>
      <c r="E169" s="18"/>
      <c r="F169" s="18" t="s">
        <v>151</v>
      </c>
      <c r="G169" s="17" t="str">
        <f>cstConstantUnit</f>
        <v>£ 2022/23</v>
      </c>
      <c r="H169" s="18"/>
      <c r="I169" s="49">
        <f>MAX(I112:I168)+1</f>
        <v>32</v>
      </c>
      <c r="J169" s="18"/>
      <c r="K169" s="5"/>
      <c r="L169" s="18"/>
      <c r="M169" s="8">
        <v>200000</v>
      </c>
      <c r="N169" s="8">
        <v>300000</v>
      </c>
      <c r="O169" s="8">
        <v>400000</v>
      </c>
      <c r="P169" s="18"/>
      <c r="Q169" s="3" t="s">
        <v>325</v>
      </c>
      <c r="R169" s="18"/>
      <c r="S169" s="18"/>
      <c r="T169" s="18"/>
    </row>
    <row r="170" spans="1:20">
      <c r="A170" s="18"/>
      <c r="B170" s="18"/>
      <c r="C170" s="18"/>
      <c r="D170" s="18"/>
      <c r="E170" s="18"/>
      <c r="F170" s="18"/>
      <c r="G170" s="18"/>
      <c r="H170" s="18"/>
      <c r="I170" s="18"/>
      <c r="J170" s="18"/>
      <c r="K170" s="18"/>
      <c r="L170" s="18"/>
      <c r="M170" s="18"/>
      <c r="N170" s="18"/>
      <c r="O170" s="18"/>
      <c r="P170" s="18"/>
      <c r="Q170" s="18"/>
      <c r="R170" s="18"/>
      <c r="S170" s="18"/>
      <c r="T170" s="18"/>
    </row>
    <row r="171" spans="1:20" s="25" customFormat="1" ht="14" thickBot="1">
      <c r="E171" s="25" t="s">
        <v>152</v>
      </c>
    </row>
    <row r="172" spans="1:20">
      <c r="A172" s="18"/>
      <c r="B172" s="18"/>
      <c r="C172" s="18"/>
      <c r="D172" s="18"/>
      <c r="E172" s="18"/>
      <c r="F172" s="18"/>
      <c r="G172" s="18"/>
      <c r="H172" s="18"/>
      <c r="I172" s="18"/>
      <c r="J172" s="18"/>
      <c r="K172" s="18"/>
      <c r="L172" s="18"/>
      <c r="M172" s="18"/>
      <c r="N172" s="18"/>
      <c r="O172" s="18"/>
      <c r="P172" s="18"/>
      <c r="Q172" s="18"/>
      <c r="R172" s="18"/>
      <c r="S172" s="18"/>
      <c r="T172" s="18"/>
    </row>
    <row r="173" spans="1:20" ht="13">
      <c r="A173" s="18"/>
      <c r="B173" s="18"/>
      <c r="C173" s="18"/>
      <c r="D173" s="18"/>
      <c r="E173" s="18"/>
      <c r="F173" s="26" t="s">
        <v>153</v>
      </c>
      <c r="G173" s="18"/>
      <c r="H173" s="18"/>
      <c r="I173" s="18"/>
      <c r="J173" s="18"/>
      <c r="K173" s="18"/>
      <c r="L173" s="18"/>
      <c r="M173" s="18"/>
      <c r="N173" s="18"/>
      <c r="O173" s="18"/>
      <c r="P173" s="18"/>
      <c r="Q173" s="18"/>
      <c r="R173" s="18"/>
      <c r="S173" s="18"/>
      <c r="T173" s="18"/>
    </row>
    <row r="174" spans="1:20">
      <c r="A174" s="18"/>
      <c r="B174" s="18"/>
      <c r="C174" s="18"/>
      <c r="D174" s="18"/>
      <c r="E174" s="18"/>
      <c r="F174" s="18"/>
      <c r="G174" s="18"/>
      <c r="H174" s="18"/>
      <c r="I174" s="18"/>
      <c r="J174" s="18"/>
      <c r="K174" s="18"/>
      <c r="L174" s="18"/>
      <c r="M174" s="18"/>
      <c r="N174" s="18"/>
      <c r="O174" s="18"/>
      <c r="P174" s="18"/>
      <c r="Q174" s="18"/>
      <c r="R174" s="18"/>
      <c r="S174" s="18"/>
      <c r="T174" s="18"/>
    </row>
    <row r="175" spans="1:20">
      <c r="A175" s="19">
        <f>IF(ISNA(MATCH(Q175,iIndices!$F$16:$F$21,0)),1,0)</f>
        <v>0</v>
      </c>
      <c r="B175" s="18"/>
      <c r="C175" s="18"/>
      <c r="D175" s="18"/>
      <c r="E175" s="18"/>
      <c r="F175" s="18" t="s">
        <v>154</v>
      </c>
      <c r="G175" s="17" t="str">
        <f>cstConstantUnit&amp;" per "&amp;cstArea</f>
        <v>£ 2022/23 per m2</v>
      </c>
      <c r="H175" s="18"/>
      <c r="I175" s="49">
        <v>33</v>
      </c>
      <c r="J175" s="18"/>
      <c r="K175" s="5"/>
      <c r="L175" s="18"/>
      <c r="M175" s="8">
        <v>9</v>
      </c>
      <c r="N175" s="8">
        <v>10</v>
      </c>
      <c r="O175" s="8">
        <v>11</v>
      </c>
      <c r="P175" s="18"/>
      <c r="Q175" s="3" t="s">
        <v>325</v>
      </c>
      <c r="R175" s="18"/>
      <c r="S175" s="18"/>
      <c r="T175" s="18"/>
    </row>
    <row r="176" spans="1:20">
      <c r="A176" s="19">
        <f>IF(ISNA(MATCH(Q176,iIndices!$F$16:$F$21,0)),1,0)</f>
        <v>0</v>
      </c>
      <c r="B176" s="18"/>
      <c r="C176" s="18"/>
      <c r="D176" s="18"/>
      <c r="E176" s="18"/>
      <c r="F176" s="18" t="s">
        <v>155</v>
      </c>
      <c r="G176" s="17" t="str">
        <f>cstConstantUnit&amp;" per "&amp;cstArea</f>
        <v>£ 2022/23 per m2</v>
      </c>
      <c r="H176" s="18"/>
      <c r="I176" s="49">
        <v>33</v>
      </c>
      <c r="J176" s="18"/>
      <c r="K176" s="5"/>
      <c r="L176" s="18"/>
      <c r="M176" s="8">
        <v>12</v>
      </c>
      <c r="N176" s="8">
        <v>15</v>
      </c>
      <c r="O176" s="8">
        <v>17</v>
      </c>
      <c r="P176" s="18"/>
      <c r="Q176" s="3" t="s">
        <v>325</v>
      </c>
      <c r="R176" s="18"/>
      <c r="S176" s="18"/>
      <c r="T176" s="18"/>
    </row>
    <row r="177" spans="1:20">
      <c r="A177" s="19">
        <f>IF(ISNA(MATCH(Q177,iIndices!$F$16:$F$21,0)),1,0)</f>
        <v>0</v>
      </c>
      <c r="B177" s="18"/>
      <c r="C177" s="18"/>
      <c r="D177" s="18"/>
      <c r="E177" s="18"/>
      <c r="F177" s="18" t="s">
        <v>156</v>
      </c>
      <c r="G177" s="17" t="str">
        <f>cstConstantUnit&amp;" per "&amp;cstArea</f>
        <v>£ 2022/23 per m2</v>
      </c>
      <c r="H177" s="18"/>
      <c r="I177" s="49">
        <v>33</v>
      </c>
      <c r="J177" s="18"/>
      <c r="K177" s="5"/>
      <c r="L177" s="18"/>
      <c r="M177" s="8">
        <v>8</v>
      </c>
      <c r="N177" s="8">
        <v>10</v>
      </c>
      <c r="O177" s="8">
        <v>12</v>
      </c>
      <c r="P177" s="18"/>
      <c r="Q177" s="3" t="s">
        <v>325</v>
      </c>
      <c r="R177" s="18"/>
      <c r="S177" s="18"/>
      <c r="T177" s="18"/>
    </row>
    <row r="178" spans="1:20">
      <c r="A178" s="19">
        <f>IF(ISNA(MATCH(Q178,iIndices!$F$16:$F$21,0)),1,0)</f>
        <v>0</v>
      </c>
      <c r="B178" s="18"/>
      <c r="C178" s="18"/>
      <c r="D178" s="18"/>
      <c r="E178" s="18"/>
      <c r="F178" s="18" t="s">
        <v>360</v>
      </c>
      <c r="G178" s="17" t="str">
        <f>cstConstantUnit&amp;" per "&amp;cstArea</f>
        <v>£ 2022/23 per m2</v>
      </c>
      <c r="H178" s="18"/>
      <c r="I178" s="49"/>
      <c r="J178" s="18"/>
      <c r="K178" s="8"/>
      <c r="L178" s="18"/>
      <c r="M178" s="8"/>
      <c r="N178" s="8"/>
      <c r="O178" s="8"/>
      <c r="P178" s="18"/>
      <c r="Q178" s="3" t="s">
        <v>325</v>
      </c>
      <c r="R178" s="18"/>
      <c r="S178" s="18"/>
      <c r="T178" s="18"/>
    </row>
    <row r="179" spans="1:20">
      <c r="A179" s="19">
        <f>IF(ISNA(MATCH(Q179,iIndices!$F$16:$F$21,0)),1,0)</f>
        <v>0</v>
      </c>
      <c r="B179" s="18"/>
      <c r="C179" s="18"/>
      <c r="D179" s="18"/>
      <c r="E179" s="18"/>
      <c r="F179" s="18" t="s">
        <v>361</v>
      </c>
      <c r="G179" s="17" t="str">
        <f>cstConstantUnit&amp;" per "&amp;cstArea</f>
        <v>£ 2022/23 per m2</v>
      </c>
      <c r="H179" s="18"/>
      <c r="I179" s="49"/>
      <c r="J179" s="18"/>
      <c r="K179" s="8"/>
      <c r="L179" s="18"/>
      <c r="M179" s="8"/>
      <c r="N179" s="8"/>
      <c r="O179" s="8"/>
      <c r="P179" s="18"/>
      <c r="Q179" s="3" t="s">
        <v>325</v>
      </c>
      <c r="R179" s="18"/>
      <c r="S179" s="18"/>
      <c r="T179" s="18"/>
    </row>
    <row r="181" spans="1:20" ht="16">
      <c r="A181" s="24"/>
      <c r="B181" s="24"/>
      <c r="C181" s="24"/>
      <c r="D181" s="24" t="s">
        <v>8</v>
      </c>
      <c r="E181" s="24"/>
      <c r="F181" s="24"/>
      <c r="G181" s="24"/>
      <c r="H181" s="24"/>
      <c r="I181" s="24"/>
      <c r="J181" s="24"/>
      <c r="K181" s="24"/>
      <c r="L181" s="24"/>
      <c r="M181" s="24"/>
      <c r="N181" s="24"/>
      <c r="O181" s="24"/>
      <c r="P181" s="24"/>
      <c r="Q181" s="24"/>
      <c r="R181" s="24"/>
      <c r="S181" s="24"/>
      <c r="T181" s="24"/>
    </row>
  </sheetData>
  <sheetProtection algorithmName="SHA-512" hashValue="DmNBWNY2V+Uk5yOWwIWZY5o86jUueiI7+sWYvDdXQ0h6cFNtD9tHSUKblpVy4mUE6XPTv25d33g8biUgCdW2ww==" saltValue="ZrLjVd9GlF4NjtZTZhk3VA==" spinCount="100000" sheet="1" objects="1" scenarios="1"/>
  <conditionalFormatting sqref="C5:F5">
    <cfRule type="expression" dxfId="29" priority="1">
      <formula>IF(AND(sysChk=0,sysWarn=0),1,0)</formula>
    </cfRule>
    <cfRule type="expression" dxfId="28" priority="2">
      <formula>IF(AND(sysChk=0,sysWarn&lt;&gt;0),1,0)</formula>
    </cfRule>
    <cfRule type="expression" dxfId="27" priority="3">
      <formula>IF(sysChk&lt;&gt;0,1,0)</formula>
    </cfRule>
  </conditionalFormatting>
  <dataValidations count="1">
    <dataValidation type="list" allowBlank="1" showInputMessage="1" showErrorMessage="1" sqref="Q62 Q169 Q100 Q49:Q54 Q141:Q165 Q115 Q80 Q175:Q179 Q74 Q68 Q90 Q94 Q84 Q106 Q123" xr:uid="{59278A6A-858D-4CB4-8B29-3569FF26017E}">
      <formula1>lstInflationRates</formula1>
    </dataValidation>
  </dataValidations>
  <pageMargins left="0.70866141732283472" right="0.70866141732283472" top="0.74803149606299213" bottom="0.74803149606299213" header="0.31496062992125984" footer="0.31496062992125984"/>
  <pageSetup paperSize="9" scale="23" orientation="landscape" r:id="rId1"/>
  <headerFooter>
    <oddFooter>&amp;F</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59F6F-8D29-45EC-A694-0B8E724E30E0}">
  <sheetPr codeName="Sheet11">
    <tabColor rgb="FFFFFFCC"/>
    <pageSetUpPr fitToPage="1"/>
  </sheetPr>
  <dimension ref="A1:BN29"/>
  <sheetViews>
    <sheetView showGridLines="0" zoomScale="80" zoomScaleNormal="80" workbookViewId="0">
      <pane xSplit="26" ySplit="9" topLeftCell="AA10" activePane="bottomRight" state="frozen"/>
      <selection pane="topRight"/>
      <selection pane="bottomLeft"/>
      <selection pane="bottomRight"/>
    </sheetView>
  </sheetViews>
  <sheetFormatPr baseColWidth="10" defaultColWidth="10.19921875" defaultRowHeight="12" outlineLevelCol="1"/>
  <cols>
    <col min="1" max="2" width="5.796875" style="40" customWidth="1"/>
    <col min="3" max="3" width="8" style="40" bestFit="1" customWidth="1"/>
    <col min="4" max="4" width="3" style="40" customWidth="1"/>
    <col min="5" max="5" width="3.796875" style="40" customWidth="1"/>
    <col min="6" max="6" width="30" style="40" customWidth="1"/>
    <col min="7" max="7" width="8.796875" style="40" bestFit="1" customWidth="1"/>
    <col min="8" max="8" width="2.19921875" style="40" customWidth="1"/>
    <col min="9" max="9" width="12.59765625" style="40" bestFit="1" customWidth="1"/>
    <col min="10" max="10" width="2.19921875" style="40" customWidth="1"/>
    <col min="11" max="11" width="17.59765625" style="40" customWidth="1"/>
    <col min="12" max="25" width="2" style="40" hidden="1" customWidth="1" outlineLevel="1"/>
    <col min="26" max="26" width="2" style="40" customWidth="1" collapsed="1"/>
    <col min="27" max="16384" width="10.19921875" style="40"/>
  </cols>
  <sheetData>
    <row r="1" spans="1:66">
      <c r="A1" s="95"/>
      <c r="B1" s="95"/>
      <c r="C1" s="96" t="s">
        <v>436</v>
      </c>
      <c r="D1" s="95"/>
      <c r="E1" s="95"/>
      <c r="F1" s="95"/>
      <c r="G1" s="95"/>
      <c r="H1" s="95"/>
      <c r="I1" s="95"/>
      <c r="J1" s="95"/>
      <c r="K1" s="95"/>
      <c r="L1" s="95"/>
      <c r="M1" s="95"/>
      <c r="N1" s="95"/>
      <c r="O1" s="95"/>
      <c r="P1" s="95"/>
      <c r="Q1" s="95"/>
      <c r="R1" s="95"/>
      <c r="S1" s="95"/>
      <c r="T1" s="95"/>
      <c r="U1" s="95"/>
      <c r="V1" s="95"/>
      <c r="W1" s="95"/>
      <c r="X1" s="95"/>
      <c r="Y1" s="95"/>
      <c r="Z1" s="95"/>
      <c r="AA1" s="95"/>
      <c r="AB1" s="95"/>
      <c r="AC1" s="95"/>
      <c r="AD1" s="95"/>
      <c r="AE1" s="95"/>
      <c r="AF1" s="95"/>
      <c r="AG1" s="95"/>
      <c r="AH1" s="95"/>
      <c r="AI1" s="95"/>
      <c r="AJ1" s="95"/>
      <c r="AK1" s="95"/>
      <c r="AL1" s="95"/>
      <c r="AM1" s="95"/>
      <c r="AN1" s="95"/>
      <c r="AO1" s="95"/>
      <c r="AP1" s="95"/>
      <c r="AQ1" s="95"/>
      <c r="AR1" s="95"/>
      <c r="AS1" s="95"/>
      <c r="AT1" s="95"/>
      <c r="AU1" s="95"/>
      <c r="AV1" s="95"/>
      <c r="AW1" s="95"/>
      <c r="AX1" s="95"/>
      <c r="AY1" s="95"/>
      <c r="AZ1" s="95"/>
      <c r="BA1" s="95"/>
      <c r="BB1" s="95"/>
      <c r="BC1" s="95"/>
      <c r="BD1" s="95"/>
      <c r="BE1" s="95"/>
      <c r="BF1" s="95"/>
      <c r="BG1" s="95"/>
      <c r="BH1" s="95"/>
      <c r="BI1" s="95"/>
      <c r="BJ1" s="95"/>
      <c r="BK1" s="95"/>
      <c r="BL1" s="95"/>
      <c r="BM1" s="95"/>
      <c r="BN1" s="21"/>
    </row>
    <row r="2" spans="1:66" ht="13">
      <c r="A2" s="95"/>
      <c r="B2" s="95"/>
      <c r="C2" s="98" t="str">
        <f>cstProjectName</f>
        <v>Should Cost Modelling Case Study - Illustrative SCM</v>
      </c>
      <c r="D2" s="95"/>
      <c r="E2" s="95"/>
      <c r="F2" s="95"/>
      <c r="G2" s="95"/>
      <c r="H2" s="95"/>
      <c r="I2" s="95"/>
      <c r="J2" s="95"/>
      <c r="K2" s="95"/>
      <c r="L2" s="95"/>
      <c r="M2" s="95"/>
      <c r="N2" s="95"/>
      <c r="O2" s="95"/>
      <c r="P2" s="95"/>
      <c r="Q2" s="95"/>
      <c r="R2" s="95"/>
      <c r="S2" s="95"/>
      <c r="T2" s="95"/>
      <c r="U2" s="95"/>
      <c r="V2" s="95"/>
      <c r="W2" s="95"/>
      <c r="X2" s="95"/>
      <c r="Y2" s="95"/>
      <c r="Z2" s="105" t="str">
        <f>SysTime!Z2</f>
        <v>Period Start</v>
      </c>
      <c r="AA2" s="57">
        <f>SysTime!AA2</f>
        <v>44652</v>
      </c>
      <c r="AB2" s="57">
        <f>SysTime!AB2</f>
        <v>45017</v>
      </c>
      <c r="AC2" s="57">
        <f>SysTime!AC2</f>
        <v>45383</v>
      </c>
      <c r="AD2" s="57">
        <f>SysTime!AD2</f>
        <v>45748</v>
      </c>
      <c r="AE2" s="57">
        <f>SysTime!AE2</f>
        <v>46113</v>
      </c>
      <c r="AF2" s="57">
        <f>SysTime!AF2</f>
        <v>46478</v>
      </c>
      <c r="AG2" s="57">
        <f>SysTime!AG2</f>
        <v>46844</v>
      </c>
      <c r="AH2" s="57">
        <f>SysTime!AH2</f>
        <v>47209</v>
      </c>
      <c r="AI2" s="57">
        <f>SysTime!AI2</f>
        <v>47574</v>
      </c>
      <c r="AJ2" s="57">
        <f>SysTime!AJ2</f>
        <v>47939</v>
      </c>
      <c r="AK2" s="57">
        <f>SysTime!AK2</f>
        <v>48305</v>
      </c>
      <c r="AL2" s="57">
        <f>SysTime!AL2</f>
        <v>48670</v>
      </c>
      <c r="AM2" s="57">
        <f>SysTime!AM2</f>
        <v>49035</v>
      </c>
      <c r="AN2" s="57">
        <f>SysTime!AN2</f>
        <v>49400</v>
      </c>
      <c r="AO2" s="57">
        <f>SysTime!AO2</f>
        <v>49766</v>
      </c>
      <c r="AP2" s="57">
        <f>SysTime!AP2</f>
        <v>50131</v>
      </c>
      <c r="AQ2" s="57">
        <f>SysTime!AQ2</f>
        <v>50496</v>
      </c>
      <c r="AR2" s="57">
        <f>SysTime!AR2</f>
        <v>50861</v>
      </c>
      <c r="AS2" s="57">
        <f>SysTime!AS2</f>
        <v>51227</v>
      </c>
      <c r="AT2" s="57">
        <f>SysTime!AT2</f>
        <v>51592</v>
      </c>
      <c r="AU2" s="57">
        <f>SysTime!AU2</f>
        <v>51957</v>
      </c>
      <c r="AV2" s="57">
        <f>SysTime!AV2</f>
        <v>52322</v>
      </c>
      <c r="AW2" s="57">
        <f>SysTime!AW2</f>
        <v>52688</v>
      </c>
      <c r="AX2" s="57">
        <f>SysTime!AX2</f>
        <v>53053</v>
      </c>
      <c r="AY2" s="57">
        <f>SysTime!AY2</f>
        <v>53418</v>
      </c>
      <c r="AZ2" s="57">
        <f>SysTime!AZ2</f>
        <v>53783</v>
      </c>
      <c r="BA2" s="57">
        <f>SysTime!BA2</f>
        <v>54149</v>
      </c>
      <c r="BB2" s="57">
        <f>SysTime!BB2</f>
        <v>54514</v>
      </c>
      <c r="BC2" s="57">
        <f>SysTime!BC2</f>
        <v>54879</v>
      </c>
      <c r="BD2" s="57">
        <f>SysTime!BD2</f>
        <v>55244</v>
      </c>
      <c r="BE2" s="57">
        <f>SysTime!BE2</f>
        <v>55610</v>
      </c>
      <c r="BF2" s="58"/>
      <c r="BG2" s="59">
        <f>SysTime!BG2</f>
        <v>44652</v>
      </c>
      <c r="BH2" s="59">
        <f>SysTime!BH2</f>
        <v>45017</v>
      </c>
      <c r="BI2" s="59">
        <f>SysTime!BI2</f>
        <v>46844</v>
      </c>
      <c r="BJ2" s="59">
        <f>SysTime!BJ2</f>
        <v>48670</v>
      </c>
      <c r="BK2" s="59">
        <f>SysTime!BK2</f>
        <v>50496</v>
      </c>
      <c r="BL2" s="59">
        <f>SysTime!BL2</f>
        <v>52322</v>
      </c>
      <c r="BM2" s="59">
        <f>SysTime!BM2</f>
        <v>54149</v>
      </c>
      <c r="BN2" s="33"/>
    </row>
    <row r="3" spans="1:66" ht="13">
      <c r="A3" s="95"/>
      <c r="B3" s="95"/>
      <c r="C3" s="100" t="str">
        <f ca="1">MID(CELL("filename",A1),FIND("]",CELL("filename",A1))+1,256)&amp;" Sheet"</f>
        <v>iIndices Sheet</v>
      </c>
      <c r="D3" s="95"/>
      <c r="E3" s="95"/>
      <c r="F3" s="95"/>
      <c r="G3" s="95"/>
      <c r="H3" s="95"/>
      <c r="I3" s="95"/>
      <c r="J3" s="95"/>
      <c r="K3" s="95"/>
      <c r="L3" s="95"/>
      <c r="M3" s="95"/>
      <c r="N3" s="95"/>
      <c r="O3" s="95"/>
      <c r="P3" s="95"/>
      <c r="Q3" s="95"/>
      <c r="R3" s="95"/>
      <c r="S3" s="95"/>
      <c r="T3" s="95"/>
      <c r="U3" s="95"/>
      <c r="V3" s="95"/>
      <c r="W3" s="95"/>
      <c r="X3" s="95"/>
      <c r="Y3" s="95"/>
      <c r="Z3" s="105" t="str">
        <f>SysTime!Z3</f>
        <v>Period End</v>
      </c>
      <c r="AA3" s="57">
        <f>SysTime!AA3</f>
        <v>45016</v>
      </c>
      <c r="AB3" s="57">
        <f>SysTime!AB3</f>
        <v>45382</v>
      </c>
      <c r="AC3" s="57">
        <f>SysTime!AC3</f>
        <v>45747</v>
      </c>
      <c r="AD3" s="57">
        <f>SysTime!AD3</f>
        <v>46112</v>
      </c>
      <c r="AE3" s="57">
        <f>SysTime!AE3</f>
        <v>46477</v>
      </c>
      <c r="AF3" s="57">
        <f>SysTime!AF3</f>
        <v>46843</v>
      </c>
      <c r="AG3" s="57">
        <f>SysTime!AG3</f>
        <v>47208</v>
      </c>
      <c r="AH3" s="57">
        <f>SysTime!AH3</f>
        <v>47573</v>
      </c>
      <c r="AI3" s="57">
        <f>SysTime!AI3</f>
        <v>47938</v>
      </c>
      <c r="AJ3" s="57">
        <f>SysTime!AJ3</f>
        <v>48304</v>
      </c>
      <c r="AK3" s="57">
        <f>SysTime!AK3</f>
        <v>48669</v>
      </c>
      <c r="AL3" s="57">
        <f>SysTime!AL3</f>
        <v>49034</v>
      </c>
      <c r="AM3" s="57">
        <f>SysTime!AM3</f>
        <v>49399</v>
      </c>
      <c r="AN3" s="57">
        <f>SysTime!AN3</f>
        <v>49765</v>
      </c>
      <c r="AO3" s="57">
        <f>SysTime!AO3</f>
        <v>50130</v>
      </c>
      <c r="AP3" s="57">
        <f>SysTime!AP3</f>
        <v>50495</v>
      </c>
      <c r="AQ3" s="57">
        <f>SysTime!AQ3</f>
        <v>50860</v>
      </c>
      <c r="AR3" s="57">
        <f>SysTime!AR3</f>
        <v>51226</v>
      </c>
      <c r="AS3" s="57">
        <f>SysTime!AS3</f>
        <v>51591</v>
      </c>
      <c r="AT3" s="57">
        <f>SysTime!AT3</f>
        <v>51956</v>
      </c>
      <c r="AU3" s="57">
        <f>SysTime!AU3</f>
        <v>52321</v>
      </c>
      <c r="AV3" s="57">
        <f>SysTime!AV3</f>
        <v>52687</v>
      </c>
      <c r="AW3" s="57">
        <f>SysTime!AW3</f>
        <v>53052</v>
      </c>
      <c r="AX3" s="57">
        <f>SysTime!AX3</f>
        <v>53417</v>
      </c>
      <c r="AY3" s="57">
        <f>SysTime!AY3</f>
        <v>53782</v>
      </c>
      <c r="AZ3" s="57">
        <f>SysTime!AZ3</f>
        <v>54148</v>
      </c>
      <c r="BA3" s="57">
        <f>SysTime!BA3</f>
        <v>54513</v>
      </c>
      <c r="BB3" s="57">
        <f>SysTime!BB3</f>
        <v>54878</v>
      </c>
      <c r="BC3" s="57">
        <f>SysTime!BC3</f>
        <v>55243</v>
      </c>
      <c r="BD3" s="57">
        <f>SysTime!BD3</f>
        <v>55609</v>
      </c>
      <c r="BE3" s="57">
        <f>SysTime!BE3</f>
        <v>55974</v>
      </c>
      <c r="BF3" s="58"/>
      <c r="BG3" s="59">
        <f>SysTime!BG3</f>
        <v>45016</v>
      </c>
      <c r="BH3" s="59">
        <f>SysTime!BH3</f>
        <v>46843</v>
      </c>
      <c r="BI3" s="59">
        <f>SysTime!BI3</f>
        <v>48669</v>
      </c>
      <c r="BJ3" s="59">
        <f>SysTime!BJ3</f>
        <v>50495</v>
      </c>
      <c r="BK3" s="59">
        <f>SysTime!BK3</f>
        <v>52321</v>
      </c>
      <c r="BL3" s="59">
        <f>SysTime!BL3</f>
        <v>54148</v>
      </c>
      <c r="BM3" s="59">
        <f>SysTime!BM3</f>
        <v>55974</v>
      </c>
      <c r="BN3" s="33"/>
    </row>
    <row r="4" spans="1:66">
      <c r="A4" s="95"/>
      <c r="B4" s="95"/>
      <c r="C4" s="96" t="str">
        <f>IF(ISBLANK(cstProtectiveMarking),"",cstProtectiveMarking)</f>
        <v>Not Protectively Marked</v>
      </c>
      <c r="D4" s="95"/>
      <c r="E4" s="95"/>
      <c r="F4" s="95"/>
      <c r="G4" s="95"/>
      <c r="H4" s="95"/>
      <c r="I4" s="95"/>
      <c r="J4" s="95"/>
      <c r="K4" s="95"/>
      <c r="L4" s="95"/>
      <c r="M4" s="95"/>
      <c r="N4" s="95"/>
      <c r="O4" s="95"/>
      <c r="P4" s="95"/>
      <c r="Q4" s="95"/>
      <c r="R4" s="95"/>
      <c r="S4" s="95"/>
      <c r="T4" s="95"/>
      <c r="U4" s="95"/>
      <c r="V4" s="95"/>
      <c r="W4" s="95"/>
      <c r="X4" s="95"/>
      <c r="Y4" s="95"/>
      <c r="Z4" s="105" t="str">
        <f>SysTime!Z4</f>
        <v>Timeline</v>
      </c>
      <c r="AA4" s="60" t="str">
        <f>SysTime!AA4</f>
        <v>Annual</v>
      </c>
      <c r="AB4" s="60" t="str">
        <f>SysTime!AB4</f>
        <v>Annual</v>
      </c>
      <c r="AC4" s="60" t="str">
        <f>SysTime!AC4</f>
        <v>Annual</v>
      </c>
      <c r="AD4" s="60" t="str">
        <f>SysTime!AD4</f>
        <v>Annual</v>
      </c>
      <c r="AE4" s="60" t="str">
        <f>SysTime!AE4</f>
        <v>Annual</v>
      </c>
      <c r="AF4" s="60" t="str">
        <f>SysTime!AF4</f>
        <v>Annual</v>
      </c>
      <c r="AG4" s="60" t="str">
        <f>SysTime!AG4</f>
        <v>Annual</v>
      </c>
      <c r="AH4" s="60" t="str">
        <f>SysTime!AH4</f>
        <v>Annual</v>
      </c>
      <c r="AI4" s="60" t="str">
        <f>SysTime!AI4</f>
        <v>Annual</v>
      </c>
      <c r="AJ4" s="60" t="str">
        <f>SysTime!AJ4</f>
        <v>Annual</v>
      </c>
      <c r="AK4" s="60" t="str">
        <f>SysTime!AK4</f>
        <v>Annual</v>
      </c>
      <c r="AL4" s="60" t="str">
        <f>SysTime!AL4</f>
        <v>Annual</v>
      </c>
      <c r="AM4" s="60" t="str">
        <f>SysTime!AM4</f>
        <v>Annual</v>
      </c>
      <c r="AN4" s="60" t="str">
        <f>SysTime!AN4</f>
        <v>Annual</v>
      </c>
      <c r="AO4" s="60" t="str">
        <f>SysTime!AO4</f>
        <v>Annual</v>
      </c>
      <c r="AP4" s="60" t="str">
        <f>SysTime!AP4</f>
        <v>Annual</v>
      </c>
      <c r="AQ4" s="60" t="str">
        <f>SysTime!AQ4</f>
        <v>Annual</v>
      </c>
      <c r="AR4" s="60" t="str">
        <f>SysTime!AR4</f>
        <v>Annual</v>
      </c>
      <c r="AS4" s="60" t="str">
        <f>SysTime!AS4</f>
        <v>Annual</v>
      </c>
      <c r="AT4" s="60" t="str">
        <f>SysTime!AT4</f>
        <v>Annual</v>
      </c>
      <c r="AU4" s="60" t="str">
        <f>SysTime!AU4</f>
        <v>Annual</v>
      </c>
      <c r="AV4" s="60" t="str">
        <f>SysTime!AV4</f>
        <v>Annual</v>
      </c>
      <c r="AW4" s="60" t="str">
        <f>SysTime!AW4</f>
        <v>Annual</v>
      </c>
      <c r="AX4" s="60" t="str">
        <f>SysTime!AX4</f>
        <v>Annual</v>
      </c>
      <c r="AY4" s="60" t="str">
        <f>SysTime!AY4</f>
        <v>Annual</v>
      </c>
      <c r="AZ4" s="60" t="str">
        <f>SysTime!AZ4</f>
        <v>Annual</v>
      </c>
      <c r="BA4" s="60" t="str">
        <f>SysTime!BA4</f>
        <v>Annual</v>
      </c>
      <c r="BB4" s="60" t="str">
        <f>SysTime!BB4</f>
        <v>Annual</v>
      </c>
      <c r="BC4" s="60" t="str">
        <f>SysTime!BC4</f>
        <v>Annual</v>
      </c>
      <c r="BD4" s="60" t="str">
        <f>SysTime!BD4</f>
        <v>Annual</v>
      </c>
      <c r="BE4" s="60" t="str">
        <f>SysTime!BE4</f>
        <v>Annual</v>
      </c>
      <c r="BF4" s="61"/>
      <c r="BG4" s="62" t="str">
        <f>SysTime!BG4</f>
        <v>Annual</v>
      </c>
      <c r="BH4" s="62" t="str">
        <f>SysTime!BH4</f>
        <v>5 Yearly</v>
      </c>
      <c r="BI4" s="62" t="str">
        <f>SysTime!BI4</f>
        <v>5 Yearly</v>
      </c>
      <c r="BJ4" s="62" t="str">
        <f>SysTime!BJ4</f>
        <v>5 Yearly</v>
      </c>
      <c r="BK4" s="62" t="str">
        <f>SysTime!BK4</f>
        <v>5 Yearly</v>
      </c>
      <c r="BL4" s="62" t="str">
        <f>SysTime!BL4</f>
        <v>5 Yearly</v>
      </c>
      <c r="BM4" s="62" t="str">
        <f>SysTime!BM4</f>
        <v>5 Yearly</v>
      </c>
      <c r="BN4" s="34"/>
    </row>
    <row r="5" spans="1:66">
      <c r="A5" s="95"/>
      <c r="B5" s="95"/>
      <c r="C5" s="101" t="str">
        <f>HYPERLINK("#'Contents'!A1",sysChkWord)</f>
        <v>All Checks OK</v>
      </c>
      <c r="D5" s="101"/>
      <c r="E5" s="101"/>
      <c r="F5" s="101"/>
      <c r="G5" s="95"/>
      <c r="H5" s="95"/>
      <c r="I5" s="95"/>
      <c r="J5" s="95"/>
      <c r="K5" s="95"/>
      <c r="L5" s="95"/>
      <c r="M5" s="95"/>
      <c r="N5" s="95"/>
      <c r="O5" s="95"/>
      <c r="P5" s="95"/>
      <c r="Q5" s="95"/>
      <c r="R5" s="95"/>
      <c r="S5" s="95"/>
      <c r="T5" s="95"/>
      <c r="U5" s="95"/>
      <c r="V5" s="95"/>
      <c r="W5" s="95"/>
      <c r="X5" s="95"/>
      <c r="Y5" s="95"/>
      <c r="Z5" s="105" t="str">
        <f>SysTime!Z5</f>
        <v>Period index</v>
      </c>
      <c r="AA5" s="63">
        <f>SysTime!AA5</f>
        <v>1</v>
      </c>
      <c r="AB5" s="63">
        <f>SysTime!AB5</f>
        <v>2</v>
      </c>
      <c r="AC5" s="63">
        <f>SysTime!AC5</f>
        <v>3</v>
      </c>
      <c r="AD5" s="63">
        <f>SysTime!AD5</f>
        <v>4</v>
      </c>
      <c r="AE5" s="63">
        <f>SysTime!AE5</f>
        <v>5</v>
      </c>
      <c r="AF5" s="63">
        <f>SysTime!AF5</f>
        <v>6</v>
      </c>
      <c r="AG5" s="63">
        <f>SysTime!AG5</f>
        <v>7</v>
      </c>
      <c r="AH5" s="63">
        <f>SysTime!AH5</f>
        <v>8</v>
      </c>
      <c r="AI5" s="63">
        <f>SysTime!AI5</f>
        <v>9</v>
      </c>
      <c r="AJ5" s="63">
        <f>SysTime!AJ5</f>
        <v>10</v>
      </c>
      <c r="AK5" s="63">
        <f>SysTime!AK5</f>
        <v>11</v>
      </c>
      <c r="AL5" s="63">
        <f>SysTime!AL5</f>
        <v>12</v>
      </c>
      <c r="AM5" s="63">
        <f>SysTime!AM5</f>
        <v>13</v>
      </c>
      <c r="AN5" s="63">
        <f>SysTime!AN5</f>
        <v>14</v>
      </c>
      <c r="AO5" s="63">
        <f>SysTime!AO5</f>
        <v>15</v>
      </c>
      <c r="AP5" s="63">
        <f>SysTime!AP5</f>
        <v>16</v>
      </c>
      <c r="AQ5" s="63">
        <f>SysTime!AQ5</f>
        <v>17</v>
      </c>
      <c r="AR5" s="63">
        <f>SysTime!AR5</f>
        <v>18</v>
      </c>
      <c r="AS5" s="63">
        <f>SysTime!AS5</f>
        <v>19</v>
      </c>
      <c r="AT5" s="63">
        <f>SysTime!AT5</f>
        <v>20</v>
      </c>
      <c r="AU5" s="63">
        <f>SysTime!AU5</f>
        <v>21</v>
      </c>
      <c r="AV5" s="63">
        <f>SysTime!AV5</f>
        <v>22</v>
      </c>
      <c r="AW5" s="63">
        <f>SysTime!AW5</f>
        <v>23</v>
      </c>
      <c r="AX5" s="63">
        <f>SysTime!AX5</f>
        <v>24</v>
      </c>
      <c r="AY5" s="63">
        <f>SysTime!AY5</f>
        <v>25</v>
      </c>
      <c r="AZ5" s="63">
        <f>SysTime!AZ5</f>
        <v>26</v>
      </c>
      <c r="BA5" s="63">
        <f>SysTime!BA5</f>
        <v>27</v>
      </c>
      <c r="BB5" s="63">
        <f>SysTime!BB5</f>
        <v>28</v>
      </c>
      <c r="BC5" s="63">
        <f>SysTime!BC5</f>
        <v>29</v>
      </c>
      <c r="BD5" s="63">
        <f>SysTime!BD5</f>
        <v>30</v>
      </c>
      <c r="BE5" s="63">
        <f>SysTime!BE5</f>
        <v>31</v>
      </c>
      <c r="BF5" s="64"/>
      <c r="BG5" s="65">
        <f>SysTime!BG5</f>
        <v>1</v>
      </c>
      <c r="BH5" s="65">
        <f>SysTime!BH5</f>
        <v>2</v>
      </c>
      <c r="BI5" s="65">
        <f>SysTime!BI5</f>
        <v>3</v>
      </c>
      <c r="BJ5" s="65">
        <f>SysTime!BJ5</f>
        <v>4</v>
      </c>
      <c r="BK5" s="65">
        <f>SysTime!BK5</f>
        <v>5</v>
      </c>
      <c r="BL5" s="65">
        <f>SysTime!BL5</f>
        <v>6</v>
      </c>
      <c r="BM5" s="65">
        <f>SysTime!BM5</f>
        <v>7</v>
      </c>
      <c r="BN5" s="35"/>
    </row>
    <row r="6" spans="1:66" ht="13">
      <c r="A6" s="95"/>
      <c r="B6" s="102"/>
      <c r="C6" s="103" t="str">
        <f>HYPERLINK("#'Contents'!A1","Click for Contents")</f>
        <v>Click for Contents</v>
      </c>
      <c r="D6" s="101"/>
      <c r="E6" s="101"/>
      <c r="F6" s="101"/>
      <c r="G6" s="95"/>
      <c r="H6" s="95"/>
      <c r="I6" s="95"/>
      <c r="J6" s="95"/>
      <c r="K6" s="95"/>
      <c r="L6" s="95"/>
      <c r="M6" s="95"/>
      <c r="N6" s="95"/>
      <c r="O6" s="95"/>
      <c r="P6" s="95"/>
      <c r="Q6" s="95"/>
      <c r="R6" s="95"/>
      <c r="S6" s="95"/>
      <c r="T6" s="95"/>
      <c r="U6" s="95"/>
      <c r="V6" s="95"/>
      <c r="W6" s="95"/>
      <c r="X6" s="95"/>
      <c r="Y6" s="95"/>
      <c r="Z6" s="105" t="str">
        <f>SysTime!Z6</f>
        <v>Year index</v>
      </c>
      <c r="AA6" s="63">
        <f>SysTime!AA6</f>
        <v>1</v>
      </c>
      <c r="AB6" s="63">
        <f>SysTime!AB6</f>
        <v>2</v>
      </c>
      <c r="AC6" s="63">
        <f>SysTime!AC6</f>
        <v>3</v>
      </c>
      <c r="AD6" s="63">
        <f>SysTime!AD6</f>
        <v>4</v>
      </c>
      <c r="AE6" s="63">
        <f>SysTime!AE6</f>
        <v>5</v>
      </c>
      <c r="AF6" s="63">
        <f>SysTime!AF6</f>
        <v>6</v>
      </c>
      <c r="AG6" s="63">
        <f>SysTime!AG6</f>
        <v>7</v>
      </c>
      <c r="AH6" s="63">
        <f>SysTime!AH6</f>
        <v>8</v>
      </c>
      <c r="AI6" s="63">
        <f>SysTime!AI6</f>
        <v>9</v>
      </c>
      <c r="AJ6" s="63">
        <f>SysTime!AJ6</f>
        <v>10</v>
      </c>
      <c r="AK6" s="63">
        <f>SysTime!AK6</f>
        <v>11</v>
      </c>
      <c r="AL6" s="63">
        <f>SysTime!AL6</f>
        <v>12</v>
      </c>
      <c r="AM6" s="63">
        <f>SysTime!AM6</f>
        <v>13</v>
      </c>
      <c r="AN6" s="63">
        <f>SysTime!AN6</f>
        <v>14</v>
      </c>
      <c r="AO6" s="63">
        <f>SysTime!AO6</f>
        <v>15</v>
      </c>
      <c r="AP6" s="63">
        <f>SysTime!AP6</f>
        <v>16</v>
      </c>
      <c r="AQ6" s="63">
        <f>SysTime!AQ6</f>
        <v>17</v>
      </c>
      <c r="AR6" s="63">
        <f>SysTime!AR6</f>
        <v>18</v>
      </c>
      <c r="AS6" s="63">
        <f>SysTime!AS6</f>
        <v>19</v>
      </c>
      <c r="AT6" s="63">
        <f>SysTime!AT6</f>
        <v>20</v>
      </c>
      <c r="AU6" s="63">
        <f>SysTime!AU6</f>
        <v>21</v>
      </c>
      <c r="AV6" s="63">
        <f>SysTime!AV6</f>
        <v>22</v>
      </c>
      <c r="AW6" s="63">
        <f>SysTime!AW6</f>
        <v>23</v>
      </c>
      <c r="AX6" s="63">
        <f>SysTime!AX6</f>
        <v>24</v>
      </c>
      <c r="AY6" s="63">
        <f>SysTime!AY6</f>
        <v>25</v>
      </c>
      <c r="AZ6" s="63">
        <f>SysTime!AZ6</f>
        <v>26</v>
      </c>
      <c r="BA6" s="63">
        <f>SysTime!BA6</f>
        <v>27</v>
      </c>
      <c r="BB6" s="63">
        <f>SysTime!BB6</f>
        <v>28</v>
      </c>
      <c r="BC6" s="63">
        <f>SysTime!BC6</f>
        <v>29</v>
      </c>
      <c r="BD6" s="63">
        <f>SysTime!BD6</f>
        <v>30</v>
      </c>
      <c r="BE6" s="63">
        <f>SysTime!BE6</f>
        <v>31</v>
      </c>
      <c r="BF6" s="64"/>
      <c r="BG6" s="65">
        <f>SysTime!BG6</f>
        <v>0</v>
      </c>
      <c r="BH6" s="65">
        <f>SysTime!BH6</f>
        <v>0</v>
      </c>
      <c r="BI6" s="65">
        <f>SysTime!BI6</f>
        <v>0</v>
      </c>
      <c r="BJ6" s="65">
        <f>SysTime!BJ6</f>
        <v>0</v>
      </c>
      <c r="BK6" s="65">
        <f>SysTime!BK6</f>
        <v>0</v>
      </c>
      <c r="BL6" s="65">
        <f>SysTime!BL6</f>
        <v>0</v>
      </c>
      <c r="BM6" s="65">
        <f>SysTime!BM6</f>
        <v>0</v>
      </c>
      <c r="BN6" s="35"/>
    </row>
    <row r="7" spans="1:66">
      <c r="A7" s="95"/>
      <c r="B7" s="95"/>
      <c r="C7" s="95"/>
      <c r="D7" s="95"/>
      <c r="E7" s="95"/>
      <c r="F7" s="95"/>
      <c r="G7" s="95"/>
      <c r="H7" s="95"/>
      <c r="I7" s="95"/>
      <c r="J7" s="95"/>
      <c r="K7" s="95"/>
      <c r="L7" s="95"/>
      <c r="M7" s="95"/>
      <c r="N7" s="95"/>
      <c r="O7" s="95"/>
      <c r="P7" s="95"/>
      <c r="Q7" s="95"/>
      <c r="R7" s="95"/>
      <c r="S7" s="95"/>
      <c r="T7" s="95"/>
      <c r="U7" s="95"/>
      <c r="V7" s="95"/>
      <c r="W7" s="95"/>
      <c r="X7" s="95"/>
      <c r="Y7" s="95"/>
      <c r="Z7" s="105" t="str">
        <f>SysTime!Z7</f>
        <v>Relative period</v>
      </c>
      <c r="AA7" s="63">
        <f>SysTime!AA7</f>
        <v>1</v>
      </c>
      <c r="AB7" s="63">
        <f>SysTime!AB7</f>
        <v>2</v>
      </c>
      <c r="AC7" s="63">
        <f>SysTime!AC7</f>
        <v>3</v>
      </c>
      <c r="AD7" s="63">
        <f>SysTime!AD7</f>
        <v>4</v>
      </c>
      <c r="AE7" s="63">
        <f>SysTime!AE7</f>
        <v>5</v>
      </c>
      <c r="AF7" s="63">
        <f>SysTime!AF7</f>
        <v>6</v>
      </c>
      <c r="AG7" s="63">
        <f>SysTime!AG7</f>
        <v>7</v>
      </c>
      <c r="AH7" s="63">
        <f>SysTime!AH7</f>
        <v>8</v>
      </c>
      <c r="AI7" s="63">
        <f>SysTime!AI7</f>
        <v>9</v>
      </c>
      <c r="AJ7" s="63">
        <f>SysTime!AJ7</f>
        <v>10</v>
      </c>
      <c r="AK7" s="63">
        <f>SysTime!AK7</f>
        <v>11</v>
      </c>
      <c r="AL7" s="63">
        <f>SysTime!AL7</f>
        <v>12</v>
      </c>
      <c r="AM7" s="63">
        <f>SysTime!AM7</f>
        <v>13</v>
      </c>
      <c r="AN7" s="63">
        <f>SysTime!AN7</f>
        <v>14</v>
      </c>
      <c r="AO7" s="63">
        <f>SysTime!AO7</f>
        <v>15</v>
      </c>
      <c r="AP7" s="63">
        <f>SysTime!AP7</f>
        <v>16</v>
      </c>
      <c r="AQ7" s="63">
        <f>SysTime!AQ7</f>
        <v>17</v>
      </c>
      <c r="AR7" s="63">
        <f>SysTime!AR7</f>
        <v>18</v>
      </c>
      <c r="AS7" s="63">
        <f>SysTime!AS7</f>
        <v>19</v>
      </c>
      <c r="AT7" s="63">
        <f>SysTime!AT7</f>
        <v>20</v>
      </c>
      <c r="AU7" s="63">
        <f>SysTime!AU7</f>
        <v>21</v>
      </c>
      <c r="AV7" s="63">
        <f>SysTime!AV7</f>
        <v>22</v>
      </c>
      <c r="AW7" s="63">
        <f>SysTime!AW7</f>
        <v>23</v>
      </c>
      <c r="AX7" s="63">
        <f>SysTime!AX7</f>
        <v>24</v>
      </c>
      <c r="AY7" s="63">
        <f>SysTime!AY7</f>
        <v>25</v>
      </c>
      <c r="AZ7" s="63">
        <f>SysTime!AZ7</f>
        <v>26</v>
      </c>
      <c r="BA7" s="63">
        <f>SysTime!BA7</f>
        <v>27</v>
      </c>
      <c r="BB7" s="63">
        <f>SysTime!BB7</f>
        <v>28</v>
      </c>
      <c r="BC7" s="63">
        <f>SysTime!BC7</f>
        <v>29</v>
      </c>
      <c r="BD7" s="63">
        <f>SysTime!BD7</f>
        <v>30</v>
      </c>
      <c r="BE7" s="63">
        <f>SysTime!BE7</f>
        <v>31</v>
      </c>
      <c r="BF7" s="64"/>
      <c r="BG7" s="65">
        <f>SysTime!BG7</f>
        <v>1</v>
      </c>
      <c r="BH7" s="65">
        <f>SysTime!BH7</f>
        <v>2</v>
      </c>
      <c r="BI7" s="65">
        <f>SysTime!BI7</f>
        <v>3</v>
      </c>
      <c r="BJ7" s="65">
        <f>SysTime!BJ7</f>
        <v>4</v>
      </c>
      <c r="BK7" s="65">
        <f>SysTime!BK7</f>
        <v>5</v>
      </c>
      <c r="BL7" s="65">
        <f>SysTime!BL7</f>
        <v>6</v>
      </c>
      <c r="BM7" s="65">
        <f>SysTime!BM7</f>
        <v>7</v>
      </c>
      <c r="BN7" s="35"/>
    </row>
    <row r="8" spans="1:66">
      <c r="A8" s="97">
        <f>SUM(A9:A29)</f>
        <v>0</v>
      </c>
      <c r="B8" s="99">
        <f>SUM(B9:B29)</f>
        <v>0</v>
      </c>
      <c r="C8" s="104"/>
      <c r="D8" s="104"/>
      <c r="E8" s="104"/>
      <c r="F8" s="104"/>
      <c r="G8" s="104" t="s">
        <v>5</v>
      </c>
      <c r="H8" s="104"/>
      <c r="I8" s="104" t="s">
        <v>66</v>
      </c>
      <c r="J8" s="95"/>
      <c r="K8" s="104" t="s">
        <v>322</v>
      </c>
      <c r="L8" s="95"/>
      <c r="M8" s="95"/>
      <c r="N8" s="95"/>
      <c r="O8" s="95"/>
      <c r="P8" s="95"/>
      <c r="Q8" s="95"/>
      <c r="R8" s="95"/>
      <c r="S8" s="95"/>
      <c r="T8" s="95"/>
      <c r="U8" s="95"/>
      <c r="V8" s="95"/>
      <c r="W8" s="95"/>
      <c r="X8" s="95"/>
      <c r="Y8" s="95"/>
      <c r="Z8" s="95"/>
      <c r="AA8" s="95"/>
      <c r="AB8" s="95"/>
      <c r="AC8" s="95"/>
      <c r="AD8" s="95"/>
      <c r="AE8" s="95"/>
      <c r="AF8" s="95"/>
      <c r="AG8" s="95"/>
      <c r="AH8" s="95"/>
      <c r="AI8" s="95"/>
      <c r="AJ8" s="95"/>
      <c r="AK8" s="95"/>
      <c r="AL8" s="95"/>
      <c r="AM8" s="95"/>
      <c r="AN8" s="95"/>
      <c r="AO8" s="95"/>
      <c r="AP8" s="95"/>
      <c r="AQ8" s="95"/>
      <c r="AR8" s="95"/>
      <c r="AS8" s="95"/>
      <c r="AT8" s="95"/>
      <c r="AU8" s="95"/>
      <c r="AV8" s="95"/>
      <c r="AW8" s="95"/>
      <c r="AX8" s="95"/>
      <c r="AY8" s="95"/>
      <c r="AZ8" s="95"/>
      <c r="BA8" s="95"/>
      <c r="BB8" s="95"/>
      <c r="BC8" s="95"/>
      <c r="BD8" s="95"/>
      <c r="BE8" s="95"/>
      <c r="BF8" s="95"/>
      <c r="BG8" s="95"/>
      <c r="BH8" s="95"/>
      <c r="BI8" s="95"/>
      <c r="BJ8" s="95"/>
      <c r="BK8" s="95"/>
      <c r="BL8" s="95"/>
      <c r="BM8" s="95"/>
      <c r="BN8" s="21"/>
    </row>
    <row r="10" spans="1:66" ht="16">
      <c r="A10" s="24"/>
      <c r="B10" s="24"/>
      <c r="C10" s="24"/>
      <c r="D10" s="24">
        <v>1</v>
      </c>
      <c r="E10" s="24" t="s">
        <v>173</v>
      </c>
      <c r="F10" s="24"/>
      <c r="G10" s="24"/>
      <c r="H10" s="24"/>
      <c r="I10" s="24"/>
      <c r="J10" s="24"/>
      <c r="K10" s="24"/>
      <c r="L10" s="24"/>
      <c r="M10" s="24"/>
      <c r="N10" s="24"/>
      <c r="O10" s="24"/>
      <c r="P10" s="24"/>
      <c r="Q10" s="24"/>
      <c r="R10" s="24"/>
      <c r="S10" s="24"/>
      <c r="T10" s="24"/>
      <c r="U10" s="24"/>
      <c r="V10" s="24"/>
      <c r="W10" s="24"/>
      <c r="X10" s="24"/>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c r="BM10" s="24"/>
      <c r="BN10" s="24"/>
    </row>
    <row r="11" spans="1:66">
      <c r="F11" s="18"/>
      <c r="G11" s="17"/>
      <c r="K11" s="18"/>
    </row>
    <row r="12" spans="1:66" s="25" customFormat="1" ht="14" thickBot="1">
      <c r="E12" s="25" t="s">
        <v>387</v>
      </c>
      <c r="F12" s="25" t="s">
        <v>171</v>
      </c>
    </row>
    <row r="13" spans="1:66">
      <c r="D13" s="18"/>
      <c r="E13" s="18"/>
      <c r="F13" s="18"/>
      <c r="G13" s="17"/>
      <c r="K13" s="18"/>
    </row>
    <row r="14" spans="1:66" ht="13">
      <c r="D14" s="18"/>
      <c r="E14" s="18"/>
      <c r="F14" s="26" t="s">
        <v>163</v>
      </c>
      <c r="G14" s="17"/>
      <c r="K14" s="18"/>
    </row>
    <row r="15" spans="1:66">
      <c r="D15" s="18"/>
      <c r="E15" s="18"/>
      <c r="F15" s="41" t="s">
        <v>435</v>
      </c>
      <c r="G15" s="17"/>
      <c r="K15" s="18"/>
    </row>
    <row r="16" spans="1:66">
      <c r="D16" s="18"/>
      <c r="E16" s="18"/>
      <c r="F16" s="124" t="s">
        <v>164</v>
      </c>
      <c r="G16" s="17" t="s">
        <v>7</v>
      </c>
      <c r="I16" s="49">
        <v>36</v>
      </c>
      <c r="K16" s="5"/>
      <c r="AA16" s="39"/>
      <c r="AB16" s="7">
        <v>2.5000000000000001E-2</v>
      </c>
      <c r="AC16" s="7">
        <v>2.5000000000000001E-2</v>
      </c>
      <c r="AD16" s="7">
        <v>2.5000000000000001E-2</v>
      </c>
      <c r="AE16" s="7">
        <v>2.5000000000000001E-2</v>
      </c>
      <c r="AF16" s="7">
        <v>2.5000000000000001E-2</v>
      </c>
      <c r="AG16" s="7">
        <v>2.5000000000000001E-2</v>
      </c>
      <c r="AH16" s="7">
        <v>2.5000000000000001E-2</v>
      </c>
      <c r="AI16" s="7">
        <v>2.5000000000000001E-2</v>
      </c>
      <c r="AJ16" s="7">
        <v>2.5000000000000001E-2</v>
      </c>
      <c r="AK16" s="7">
        <v>2.5000000000000001E-2</v>
      </c>
      <c r="AL16" s="7">
        <v>2.5000000000000001E-2</v>
      </c>
      <c r="AM16" s="7">
        <v>2.5000000000000001E-2</v>
      </c>
      <c r="AN16" s="7">
        <v>2.5000000000000001E-2</v>
      </c>
      <c r="AO16" s="7">
        <v>2.5000000000000001E-2</v>
      </c>
      <c r="AP16" s="7">
        <v>2.5000000000000001E-2</v>
      </c>
      <c r="AQ16" s="7">
        <v>2.5000000000000001E-2</v>
      </c>
      <c r="AR16" s="7">
        <v>2.5000000000000001E-2</v>
      </c>
      <c r="AS16" s="7">
        <v>2.5000000000000001E-2</v>
      </c>
      <c r="AT16" s="7">
        <v>2.5000000000000001E-2</v>
      </c>
      <c r="AU16" s="7">
        <v>2.5000000000000001E-2</v>
      </c>
      <c r="AV16" s="7">
        <v>2.5000000000000001E-2</v>
      </c>
      <c r="AW16" s="7">
        <v>2.5000000000000001E-2</v>
      </c>
      <c r="AX16" s="7">
        <v>2.5000000000000001E-2</v>
      </c>
      <c r="AY16" s="7">
        <v>2.5000000000000001E-2</v>
      </c>
      <c r="AZ16" s="7">
        <v>2.5000000000000001E-2</v>
      </c>
      <c r="BA16" s="7">
        <v>2.5000000000000001E-2</v>
      </c>
      <c r="BB16" s="7">
        <v>2.5000000000000001E-2</v>
      </c>
      <c r="BC16" s="7">
        <v>2.5000000000000001E-2</v>
      </c>
      <c r="BD16" s="7">
        <v>2.5000000000000001E-2</v>
      </c>
      <c r="BE16" s="7">
        <v>2.5000000000000001E-2</v>
      </c>
      <c r="BG16" s="39"/>
      <c r="BH16" s="39"/>
      <c r="BI16" s="39"/>
      <c r="BJ16" s="39"/>
      <c r="BK16" s="39"/>
      <c r="BL16" s="39"/>
      <c r="BM16" s="39"/>
    </row>
    <row r="17" spans="1:66">
      <c r="D17" s="18"/>
      <c r="E17" s="18"/>
      <c r="F17" s="125" t="s">
        <v>325</v>
      </c>
      <c r="G17" s="17" t="s">
        <v>7</v>
      </c>
      <c r="I17" s="49">
        <v>36</v>
      </c>
      <c r="K17" s="5"/>
      <c r="AA17" s="39"/>
      <c r="AB17" s="7">
        <v>0.03</v>
      </c>
      <c r="AC17" s="7">
        <v>0.03</v>
      </c>
      <c r="AD17" s="7">
        <v>0.03</v>
      </c>
      <c r="AE17" s="7">
        <v>0.03</v>
      </c>
      <c r="AF17" s="7">
        <v>0.03</v>
      </c>
      <c r="AG17" s="7">
        <v>0.03</v>
      </c>
      <c r="AH17" s="7">
        <v>0.03</v>
      </c>
      <c r="AI17" s="7">
        <v>0.03</v>
      </c>
      <c r="AJ17" s="7">
        <v>0.03</v>
      </c>
      <c r="AK17" s="7">
        <v>0.03</v>
      </c>
      <c r="AL17" s="7">
        <v>0.03</v>
      </c>
      <c r="AM17" s="7">
        <v>0.03</v>
      </c>
      <c r="AN17" s="7">
        <v>0.03</v>
      </c>
      <c r="AO17" s="7">
        <v>0.03</v>
      </c>
      <c r="AP17" s="7">
        <v>0.03</v>
      </c>
      <c r="AQ17" s="7">
        <v>0.03</v>
      </c>
      <c r="AR17" s="7">
        <v>0.03</v>
      </c>
      <c r="AS17" s="7">
        <v>0.03</v>
      </c>
      <c r="AT17" s="7">
        <v>0.03</v>
      </c>
      <c r="AU17" s="7">
        <v>0.03</v>
      </c>
      <c r="AV17" s="7">
        <v>0.03</v>
      </c>
      <c r="AW17" s="7">
        <v>0.03</v>
      </c>
      <c r="AX17" s="7">
        <v>0.03</v>
      </c>
      <c r="AY17" s="7">
        <v>0.03</v>
      </c>
      <c r="AZ17" s="7">
        <v>0.03</v>
      </c>
      <c r="BA17" s="7">
        <v>0.03</v>
      </c>
      <c r="BB17" s="7">
        <v>0.03</v>
      </c>
      <c r="BC17" s="7">
        <v>0.03</v>
      </c>
      <c r="BD17" s="7">
        <v>0.03</v>
      </c>
      <c r="BE17" s="7">
        <v>0.03</v>
      </c>
      <c r="BG17" s="39"/>
      <c r="BH17" s="39"/>
      <c r="BI17" s="39"/>
      <c r="BJ17" s="39"/>
      <c r="BK17" s="39"/>
      <c r="BL17" s="39"/>
      <c r="BM17" s="39"/>
    </row>
    <row r="18" spans="1:66">
      <c r="D18" s="18"/>
      <c r="E18" s="18"/>
      <c r="F18" s="125" t="s">
        <v>165</v>
      </c>
      <c r="G18" s="17" t="s">
        <v>7</v>
      </c>
      <c r="I18" s="49">
        <v>36</v>
      </c>
      <c r="K18" s="5"/>
      <c r="AA18" s="39"/>
      <c r="AB18" s="7">
        <v>0.02</v>
      </c>
      <c r="AC18" s="7">
        <v>0.02</v>
      </c>
      <c r="AD18" s="7">
        <v>0.02</v>
      </c>
      <c r="AE18" s="7">
        <v>0.02</v>
      </c>
      <c r="AF18" s="7">
        <v>0.02</v>
      </c>
      <c r="AG18" s="7">
        <v>0.02</v>
      </c>
      <c r="AH18" s="7">
        <v>0.02</v>
      </c>
      <c r="AI18" s="7">
        <v>0.02</v>
      </c>
      <c r="AJ18" s="7">
        <v>0.02</v>
      </c>
      <c r="AK18" s="7">
        <v>0.02</v>
      </c>
      <c r="AL18" s="7">
        <v>0.02</v>
      </c>
      <c r="AM18" s="7">
        <v>0.02</v>
      </c>
      <c r="AN18" s="7">
        <v>0.02</v>
      </c>
      <c r="AO18" s="7">
        <v>0.02</v>
      </c>
      <c r="AP18" s="7">
        <v>0.02</v>
      </c>
      <c r="AQ18" s="7">
        <v>0.02</v>
      </c>
      <c r="AR18" s="7">
        <v>0.02</v>
      </c>
      <c r="AS18" s="7">
        <v>0.02</v>
      </c>
      <c r="AT18" s="7">
        <v>0.02</v>
      </c>
      <c r="AU18" s="7">
        <v>0.02</v>
      </c>
      <c r="AV18" s="7">
        <v>0.02</v>
      </c>
      <c r="AW18" s="7">
        <v>0.02</v>
      </c>
      <c r="AX18" s="7">
        <v>0.02</v>
      </c>
      <c r="AY18" s="7">
        <v>0.02</v>
      </c>
      <c r="AZ18" s="7">
        <v>0.02</v>
      </c>
      <c r="BA18" s="7">
        <v>0.02</v>
      </c>
      <c r="BB18" s="7">
        <v>0.02</v>
      </c>
      <c r="BC18" s="7">
        <v>0.02</v>
      </c>
      <c r="BD18" s="7">
        <v>0.02</v>
      </c>
      <c r="BE18" s="7">
        <v>0.02</v>
      </c>
      <c r="BG18" s="39"/>
      <c r="BH18" s="39"/>
      <c r="BI18" s="39"/>
      <c r="BJ18" s="39"/>
      <c r="BK18" s="39"/>
      <c r="BL18" s="39"/>
      <c r="BM18" s="39"/>
    </row>
    <row r="19" spans="1:66">
      <c r="D19" s="18"/>
      <c r="E19" s="18"/>
      <c r="F19" s="125" t="s">
        <v>166</v>
      </c>
      <c r="G19" s="17" t="s">
        <v>7</v>
      </c>
      <c r="I19" s="49">
        <v>36</v>
      </c>
      <c r="K19" s="5"/>
      <c r="AA19" s="39"/>
      <c r="AB19" s="7">
        <v>0.02</v>
      </c>
      <c r="AC19" s="7">
        <v>0.02</v>
      </c>
      <c r="AD19" s="7">
        <v>0.02</v>
      </c>
      <c r="AE19" s="7">
        <v>0.02</v>
      </c>
      <c r="AF19" s="7">
        <v>0.02</v>
      </c>
      <c r="AG19" s="7">
        <v>0.02</v>
      </c>
      <c r="AH19" s="7">
        <v>0.02</v>
      </c>
      <c r="AI19" s="7">
        <v>0.02</v>
      </c>
      <c r="AJ19" s="7">
        <v>0.02</v>
      </c>
      <c r="AK19" s="7">
        <v>0.02</v>
      </c>
      <c r="AL19" s="7">
        <v>0.02</v>
      </c>
      <c r="AM19" s="7">
        <v>0.02</v>
      </c>
      <c r="AN19" s="7">
        <v>0.02</v>
      </c>
      <c r="AO19" s="7">
        <v>0.02</v>
      </c>
      <c r="AP19" s="7">
        <v>0.02</v>
      </c>
      <c r="AQ19" s="7">
        <v>0.02</v>
      </c>
      <c r="AR19" s="7">
        <v>0.02</v>
      </c>
      <c r="AS19" s="7">
        <v>0.02</v>
      </c>
      <c r="AT19" s="7">
        <v>0.02</v>
      </c>
      <c r="AU19" s="7">
        <v>0.02</v>
      </c>
      <c r="AV19" s="7">
        <v>0.02</v>
      </c>
      <c r="AW19" s="7">
        <v>0.02</v>
      </c>
      <c r="AX19" s="7">
        <v>0.02</v>
      </c>
      <c r="AY19" s="7">
        <v>0.02</v>
      </c>
      <c r="AZ19" s="7">
        <v>0.02</v>
      </c>
      <c r="BA19" s="7">
        <v>0.02</v>
      </c>
      <c r="BB19" s="7">
        <v>0.02</v>
      </c>
      <c r="BC19" s="7">
        <v>0.02</v>
      </c>
      <c r="BD19" s="7">
        <v>0.02</v>
      </c>
      <c r="BE19" s="7">
        <v>0.02</v>
      </c>
      <c r="BG19" s="39"/>
      <c r="BH19" s="39"/>
      <c r="BI19" s="39"/>
      <c r="BJ19" s="39"/>
      <c r="BK19" s="39"/>
      <c r="BL19" s="39"/>
      <c r="BM19" s="39"/>
    </row>
    <row r="20" spans="1:66">
      <c r="D20" s="18"/>
      <c r="E20" s="18"/>
      <c r="F20" s="126" t="s">
        <v>167</v>
      </c>
      <c r="G20" s="17" t="s">
        <v>7</v>
      </c>
      <c r="I20" s="49">
        <v>36</v>
      </c>
      <c r="K20" s="5"/>
      <c r="AA20" s="39"/>
      <c r="AB20" s="7">
        <v>0.02</v>
      </c>
      <c r="AC20" s="7">
        <v>0.02</v>
      </c>
      <c r="AD20" s="7">
        <v>0.02</v>
      </c>
      <c r="AE20" s="7">
        <v>0.02</v>
      </c>
      <c r="AF20" s="7">
        <v>0.02</v>
      </c>
      <c r="AG20" s="7">
        <v>0.02</v>
      </c>
      <c r="AH20" s="7">
        <v>0.02</v>
      </c>
      <c r="AI20" s="7">
        <v>0.02</v>
      </c>
      <c r="AJ20" s="7">
        <v>0.02</v>
      </c>
      <c r="AK20" s="7">
        <v>0.02</v>
      </c>
      <c r="AL20" s="7">
        <v>0.02</v>
      </c>
      <c r="AM20" s="7">
        <v>0.02</v>
      </c>
      <c r="AN20" s="7">
        <v>0.02</v>
      </c>
      <c r="AO20" s="7">
        <v>0.02</v>
      </c>
      <c r="AP20" s="7">
        <v>0.02</v>
      </c>
      <c r="AQ20" s="7">
        <v>0.02</v>
      </c>
      <c r="AR20" s="7">
        <v>0.02</v>
      </c>
      <c r="AS20" s="7">
        <v>0.02</v>
      </c>
      <c r="AT20" s="7">
        <v>0.02</v>
      </c>
      <c r="AU20" s="7">
        <v>0.02</v>
      </c>
      <c r="AV20" s="7">
        <v>0.02</v>
      </c>
      <c r="AW20" s="7">
        <v>0.02</v>
      </c>
      <c r="AX20" s="7">
        <v>0.02</v>
      </c>
      <c r="AY20" s="7">
        <v>0.02</v>
      </c>
      <c r="AZ20" s="7">
        <v>0.02</v>
      </c>
      <c r="BA20" s="7">
        <v>0.02</v>
      </c>
      <c r="BB20" s="7">
        <v>0.02</v>
      </c>
      <c r="BC20" s="7">
        <v>0.02</v>
      </c>
      <c r="BD20" s="7">
        <v>0.02</v>
      </c>
      <c r="BE20" s="7">
        <v>0.02</v>
      </c>
      <c r="BG20" s="39"/>
      <c r="BH20" s="39"/>
      <c r="BI20" s="39"/>
      <c r="BJ20" s="39"/>
      <c r="BK20" s="39"/>
      <c r="BL20" s="39"/>
      <c r="BM20" s="39"/>
    </row>
    <row r="21" spans="1:66">
      <c r="D21" s="18"/>
      <c r="E21" s="18"/>
      <c r="F21" s="18"/>
      <c r="G21" s="17"/>
    </row>
    <row r="22" spans="1:66" s="25" customFormat="1" ht="14" thickBot="1">
      <c r="E22" s="25" t="s">
        <v>394</v>
      </c>
      <c r="F22" s="25" t="s">
        <v>172</v>
      </c>
    </row>
    <row r="23" spans="1:66">
      <c r="D23" s="18"/>
      <c r="E23" s="18"/>
      <c r="F23" s="18"/>
      <c r="G23" s="17"/>
    </row>
    <row r="24" spans="1:66" ht="13">
      <c r="D24" s="18"/>
      <c r="E24" s="18"/>
      <c r="F24" s="26" t="s">
        <v>168</v>
      </c>
      <c r="G24" s="17"/>
    </row>
    <row r="25" spans="1:66">
      <c r="D25" s="18"/>
      <c r="E25" s="18"/>
      <c r="F25" s="18"/>
      <c r="G25" s="17"/>
    </row>
    <row r="26" spans="1:66">
      <c r="D26" s="18"/>
      <c r="E26" s="18"/>
      <c r="F26" s="18" t="s">
        <v>169</v>
      </c>
      <c r="G26" s="17" t="s">
        <v>7</v>
      </c>
      <c r="I26" s="49">
        <v>37</v>
      </c>
      <c r="K26" s="5"/>
      <c r="AA26" s="39"/>
      <c r="AB26" s="7">
        <v>1.2999999999999999E-2</v>
      </c>
      <c r="AC26" s="7">
        <v>1.7000000000000001E-2</v>
      </c>
      <c r="AD26" s="7">
        <v>1.9E-2</v>
      </c>
      <c r="AE26" s="7">
        <v>1.9E-2</v>
      </c>
      <c r="AF26" s="7">
        <v>0.02</v>
      </c>
      <c r="AG26" s="7">
        <v>0.02</v>
      </c>
      <c r="AH26" s="7">
        <v>0.02</v>
      </c>
      <c r="AI26" s="7">
        <v>0.02</v>
      </c>
      <c r="AJ26" s="7">
        <v>0.02</v>
      </c>
      <c r="AK26" s="7">
        <v>0.02</v>
      </c>
      <c r="AL26" s="7">
        <v>0.02</v>
      </c>
      <c r="AM26" s="7">
        <v>0.02</v>
      </c>
      <c r="AN26" s="7">
        <v>0.02</v>
      </c>
      <c r="AO26" s="7">
        <v>0.02</v>
      </c>
      <c r="AP26" s="7">
        <v>0.02</v>
      </c>
      <c r="AQ26" s="7">
        <v>0.02</v>
      </c>
      <c r="AR26" s="7">
        <v>0.02</v>
      </c>
      <c r="AS26" s="7">
        <v>0.02</v>
      </c>
      <c r="AT26" s="7">
        <v>0.02</v>
      </c>
      <c r="AU26" s="7">
        <v>0.02</v>
      </c>
      <c r="AV26" s="7">
        <v>0.02</v>
      </c>
      <c r="AW26" s="7">
        <v>0.02</v>
      </c>
      <c r="AX26" s="7">
        <v>0.02</v>
      </c>
      <c r="AY26" s="7">
        <v>0.02</v>
      </c>
      <c r="AZ26" s="7">
        <v>0.02</v>
      </c>
      <c r="BA26" s="7">
        <v>0.02</v>
      </c>
      <c r="BB26" s="7">
        <v>0.02</v>
      </c>
      <c r="BC26" s="7">
        <v>0.02</v>
      </c>
      <c r="BD26" s="7">
        <v>0.02</v>
      </c>
      <c r="BE26" s="7">
        <v>0.02</v>
      </c>
      <c r="BG26" s="39"/>
      <c r="BH26" s="39"/>
      <c r="BI26" s="39"/>
      <c r="BJ26" s="39"/>
      <c r="BK26" s="39"/>
      <c r="BL26" s="39"/>
      <c r="BM26" s="39"/>
    </row>
    <row r="27" spans="1:66">
      <c r="D27" s="18"/>
      <c r="E27" s="18"/>
      <c r="F27" s="18" t="s">
        <v>170</v>
      </c>
      <c r="G27" s="17" t="s">
        <v>7</v>
      </c>
      <c r="I27" s="49">
        <v>38</v>
      </c>
      <c r="K27" s="5"/>
      <c r="AA27" s="39"/>
      <c r="AB27" s="7">
        <v>3.5000000000000003E-2</v>
      </c>
      <c r="AC27" s="7">
        <v>3.5000000000000003E-2</v>
      </c>
      <c r="AD27" s="7">
        <v>3.5000000000000003E-2</v>
      </c>
      <c r="AE27" s="7">
        <v>3.5000000000000003E-2</v>
      </c>
      <c r="AF27" s="7">
        <v>3.5000000000000003E-2</v>
      </c>
      <c r="AG27" s="7">
        <v>3.5000000000000003E-2</v>
      </c>
      <c r="AH27" s="7">
        <v>3.5000000000000003E-2</v>
      </c>
      <c r="AI27" s="7">
        <v>3.5000000000000003E-2</v>
      </c>
      <c r="AJ27" s="7">
        <v>3.5000000000000003E-2</v>
      </c>
      <c r="AK27" s="7">
        <v>3.5000000000000003E-2</v>
      </c>
      <c r="AL27" s="7">
        <v>3.5000000000000003E-2</v>
      </c>
      <c r="AM27" s="7">
        <v>3.5000000000000003E-2</v>
      </c>
      <c r="AN27" s="7">
        <v>3.5000000000000003E-2</v>
      </c>
      <c r="AO27" s="7">
        <v>3.5000000000000003E-2</v>
      </c>
      <c r="AP27" s="7">
        <v>3.5000000000000003E-2</v>
      </c>
      <c r="AQ27" s="7">
        <v>3.5000000000000003E-2</v>
      </c>
      <c r="AR27" s="7">
        <v>3.5000000000000003E-2</v>
      </c>
      <c r="AS27" s="7">
        <v>3.5000000000000003E-2</v>
      </c>
      <c r="AT27" s="7">
        <v>3.5000000000000003E-2</v>
      </c>
      <c r="AU27" s="7">
        <v>3.5000000000000003E-2</v>
      </c>
      <c r="AV27" s="7">
        <v>3.5000000000000003E-2</v>
      </c>
      <c r="AW27" s="7">
        <v>3.5000000000000003E-2</v>
      </c>
      <c r="AX27" s="7">
        <v>3.5000000000000003E-2</v>
      </c>
      <c r="AY27" s="7">
        <v>3.5000000000000003E-2</v>
      </c>
      <c r="AZ27" s="7">
        <v>3.5000000000000003E-2</v>
      </c>
      <c r="BA27" s="7">
        <v>3.5000000000000003E-2</v>
      </c>
      <c r="BB27" s="7">
        <v>3.5000000000000003E-2</v>
      </c>
      <c r="BC27" s="7">
        <v>3.5000000000000003E-2</v>
      </c>
      <c r="BD27" s="7">
        <v>3.5000000000000003E-2</v>
      </c>
      <c r="BE27" s="7">
        <v>0.03</v>
      </c>
      <c r="BG27" s="39"/>
      <c r="BH27" s="39"/>
      <c r="BI27" s="39"/>
      <c r="BJ27" s="39"/>
      <c r="BK27" s="39"/>
      <c r="BL27" s="39"/>
      <c r="BM27" s="39"/>
    </row>
    <row r="28" spans="1:66">
      <c r="D28" s="18"/>
      <c r="E28" s="18"/>
      <c r="F28" s="18"/>
      <c r="G28" s="17"/>
    </row>
    <row r="29" spans="1:66" ht="16">
      <c r="A29" s="24"/>
      <c r="B29" s="24"/>
      <c r="C29" s="24"/>
      <c r="D29" s="24" t="s">
        <v>8</v>
      </c>
      <c r="E29" s="24"/>
      <c r="F29" s="24"/>
      <c r="G29" s="24"/>
      <c r="H29" s="24"/>
      <c r="I29" s="24"/>
      <c r="J29" s="24"/>
      <c r="K29" s="24"/>
      <c r="L29" s="24"/>
      <c r="M29" s="24"/>
      <c r="N29" s="24"/>
      <c r="O29" s="24"/>
      <c r="P29" s="24"/>
      <c r="Q29" s="24"/>
      <c r="R29" s="24"/>
      <c r="S29" s="24"/>
      <c r="T29" s="24"/>
      <c r="U29" s="24"/>
      <c r="V29" s="24"/>
      <c r="W29" s="24"/>
      <c r="X29" s="24"/>
      <c r="Y29" s="24"/>
      <c r="Z29" s="24"/>
      <c r="AA29" s="24"/>
      <c r="AB29" s="24"/>
      <c r="AC29" s="24"/>
      <c r="AD29" s="24"/>
      <c r="AE29" s="24"/>
      <c r="AF29" s="24"/>
      <c r="AG29" s="24"/>
      <c r="AH29" s="24"/>
      <c r="AI29" s="24"/>
      <c r="AJ29" s="24"/>
      <c r="AK29" s="24"/>
      <c r="AL29" s="24"/>
      <c r="AM29" s="24"/>
      <c r="AN29" s="24"/>
      <c r="AO29" s="24"/>
      <c r="AP29" s="24"/>
      <c r="AQ29" s="24"/>
      <c r="AR29" s="24"/>
      <c r="AS29" s="24"/>
      <c r="AT29" s="24"/>
      <c r="AU29" s="24"/>
      <c r="AV29" s="24"/>
      <c r="AW29" s="24"/>
      <c r="AX29" s="24"/>
      <c r="AY29" s="24"/>
      <c r="AZ29" s="24"/>
      <c r="BA29" s="24"/>
      <c r="BB29" s="24"/>
      <c r="BC29" s="24"/>
      <c r="BD29" s="24"/>
      <c r="BE29" s="24"/>
      <c r="BF29" s="24"/>
      <c r="BG29" s="24"/>
      <c r="BH29" s="24"/>
      <c r="BI29" s="24"/>
      <c r="BJ29" s="24"/>
      <c r="BK29" s="24"/>
      <c r="BL29" s="24"/>
      <c r="BM29" s="24"/>
      <c r="BN29" s="24"/>
    </row>
  </sheetData>
  <sheetProtection algorithmName="SHA-512" hashValue="BLVxC+8PW/agGxbV1Ks1IdsH2OMDUn7CSrXKDUr1FYUWIZ3aNGHNzCQ3v1thtu8MFu56T7rIEx+VzkutpIsL0A==" saltValue="J5S4z5YFwbYmIkPAEwEh5w==" spinCount="100000" sheet="1" objects="1" scenarios="1" formatColumns="0" formatRows="0"/>
  <conditionalFormatting sqref="C5:F5">
    <cfRule type="expression" dxfId="26" priority="1">
      <formula>IF(AND(sysChk=0,sysWarn=0),1,0)</formula>
    </cfRule>
    <cfRule type="expression" dxfId="25" priority="2">
      <formula>IF(AND(sysChk=0,sysWarn&lt;&gt;0),1,0)</formula>
    </cfRule>
    <cfRule type="expression" dxfId="24" priority="3">
      <formula>IF(sysChk&lt;&gt;0,1,0)</formula>
    </cfRule>
  </conditionalFormatting>
  <pageMargins left="0.70866141732283472" right="0.70866141732283472" top="0.74803149606299213" bottom="0.74803149606299213" header="0.31496062992125984" footer="0.31496062992125984"/>
  <pageSetup paperSize="9" scale="28" orientation="landscape" r:id="rId1"/>
  <headerFooter>
    <oddFooter>&amp;F</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7">
    <tabColor rgb="FF00B050"/>
    <pageSetUpPr fitToPage="1"/>
  </sheetPr>
  <dimension ref="A1:B8"/>
  <sheetViews>
    <sheetView showGridLines="0" topLeftCell="XFD1048576" workbookViewId="0">
      <selection activeCell="E21" sqref="E21"/>
    </sheetView>
  </sheetViews>
  <sheetFormatPr baseColWidth="10" defaultColWidth="0" defaultRowHeight="0" customHeight="1" zeroHeight="1"/>
  <cols>
    <col min="1" max="2" width="5.796875" style="40" customWidth="1"/>
    <col min="3" max="16384" width="8.796875" style="40" hidden="1"/>
  </cols>
  <sheetData>
    <row r="1" ht="12" hidden="1"/>
    <row r="2" ht="0" hidden="1" customHeight="1"/>
    <row r="3" ht="0" hidden="1" customHeight="1"/>
    <row r="4" ht="0" hidden="1" customHeight="1"/>
    <row r="5" ht="0" hidden="1" customHeight="1"/>
    <row r="6" ht="0" hidden="1" customHeight="1"/>
    <row r="7" ht="0" hidden="1" customHeight="1"/>
    <row r="8" ht="0" hidden="1" customHeight="1"/>
  </sheetData>
  <sheetProtection algorithmName="SHA-512" hashValue="FOVLb6p2arglgL/wodPe36XVhPCXEaXiU36cbbqbYUgzAaDMuYM0TypvwLhnO59vh9HBr7TMcrZq9MIZLueVTg==" saltValue="nw6PXKAgMhcgdsJ+XXBRtA==" spinCount="100000" sheet="1" objects="1" scenarios="1"/>
  <pageMargins left="0.70866141732283472" right="0.70866141732283472" top="0.74803149606299213" bottom="0.74803149606299213" header="0.31496062992125984" footer="0.31496062992125984"/>
  <pageSetup paperSize="9" orientation="landscape" r:id="rId1"/>
  <headerFooter>
    <oddFooter>&amp;F</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A888A5-3250-4EA2-BC75-0BD416B30FB0}">
  <sheetPr codeName="Sheet13">
    <tabColor rgb="FF00B050"/>
    <pageSetUpPr fitToPage="1"/>
  </sheetPr>
  <dimension ref="A1:BR48"/>
  <sheetViews>
    <sheetView showGridLines="0" zoomScale="80" zoomScaleNormal="80" workbookViewId="0">
      <pane xSplit="26" ySplit="9" topLeftCell="AV10" activePane="bottomRight" state="frozen"/>
      <selection pane="topRight"/>
      <selection pane="bottomLeft"/>
      <selection pane="bottomRight"/>
    </sheetView>
  </sheetViews>
  <sheetFormatPr baseColWidth="10" defaultColWidth="0" defaultRowHeight="12" outlineLevelCol="1"/>
  <cols>
    <col min="1" max="2" width="5.796875" style="40" customWidth="1"/>
    <col min="3" max="3" width="8" style="40" bestFit="1" customWidth="1"/>
    <col min="4" max="4" width="3" style="40" customWidth="1"/>
    <col min="5" max="5" width="3.796875" style="40" customWidth="1"/>
    <col min="6" max="6" width="30.796875" style="40" bestFit="1" customWidth="1"/>
    <col min="7" max="7" width="8.796875" style="40" bestFit="1" customWidth="1"/>
    <col min="8" max="8" width="2.19921875" style="40" customWidth="1"/>
    <col min="9" max="9" width="12.59765625" style="40" bestFit="1" customWidth="1"/>
    <col min="10" max="10" width="2.19921875" style="40" customWidth="1"/>
    <col min="11" max="11" width="14.796875" style="40" bestFit="1" customWidth="1"/>
    <col min="12" max="25" width="2.19921875" style="40" hidden="1" customWidth="1" outlineLevel="1"/>
    <col min="26" max="26" width="2.19921875" style="40" customWidth="1" collapsed="1"/>
    <col min="27" max="65" width="13.59765625" style="40" customWidth="1"/>
    <col min="66" max="66" width="8.796875" style="40" hidden="1" customWidth="1"/>
    <col min="67" max="70" width="0" style="40" hidden="1" customWidth="1"/>
    <col min="71" max="16384" width="8.796875" style="40" hidden="1"/>
  </cols>
  <sheetData>
    <row r="1" spans="1:66">
      <c r="A1" s="95"/>
      <c r="B1" s="95"/>
      <c r="C1" s="96" t="s">
        <v>436</v>
      </c>
      <c r="D1" s="95"/>
      <c r="E1" s="95"/>
      <c r="F1" s="95"/>
      <c r="G1" s="95"/>
      <c r="H1" s="95"/>
      <c r="I1" s="95"/>
      <c r="J1" s="95"/>
      <c r="K1" s="95"/>
      <c r="L1" s="95"/>
      <c r="M1" s="95"/>
      <c r="N1" s="95"/>
      <c r="O1" s="95"/>
      <c r="P1" s="95"/>
      <c r="Q1" s="95"/>
      <c r="R1" s="95"/>
      <c r="S1" s="95"/>
      <c r="T1" s="95"/>
      <c r="U1" s="95"/>
      <c r="V1" s="95"/>
      <c r="W1" s="95"/>
      <c r="X1" s="95"/>
      <c r="Y1" s="95"/>
      <c r="Z1" s="95"/>
      <c r="AA1" s="95"/>
      <c r="AB1" s="95"/>
      <c r="AC1" s="95"/>
      <c r="AD1" s="95"/>
      <c r="AE1" s="95"/>
      <c r="AF1" s="95"/>
      <c r="AG1" s="95"/>
      <c r="AH1" s="95"/>
      <c r="AI1" s="95"/>
      <c r="AJ1" s="95"/>
      <c r="AK1" s="95"/>
      <c r="AL1" s="95"/>
      <c r="AM1" s="95"/>
      <c r="AN1" s="95"/>
      <c r="AO1" s="95"/>
      <c r="AP1" s="95"/>
      <c r="AQ1" s="95"/>
      <c r="AR1" s="95"/>
      <c r="AS1" s="95"/>
      <c r="AT1" s="95"/>
      <c r="AU1" s="95"/>
      <c r="AV1" s="95"/>
      <c r="AW1" s="95"/>
      <c r="AX1" s="95"/>
      <c r="AY1" s="95"/>
      <c r="AZ1" s="95"/>
      <c r="BA1" s="95"/>
      <c r="BB1" s="95"/>
      <c r="BC1" s="95"/>
      <c r="BD1" s="95"/>
      <c r="BE1" s="95"/>
      <c r="BF1" s="95"/>
      <c r="BG1" s="95"/>
      <c r="BH1" s="95"/>
      <c r="BI1" s="95"/>
      <c r="BJ1" s="95"/>
      <c r="BK1" s="95"/>
      <c r="BL1" s="95"/>
      <c r="BM1" s="95"/>
      <c r="BN1" s="21"/>
    </row>
    <row r="2" spans="1:66" ht="13">
      <c r="A2" s="95"/>
      <c r="B2" s="95"/>
      <c r="C2" s="98" t="str">
        <f>cstProjectName</f>
        <v>Should Cost Modelling Case Study - Illustrative SCM</v>
      </c>
      <c r="D2" s="95"/>
      <c r="E2" s="95"/>
      <c r="F2" s="95"/>
      <c r="G2" s="95"/>
      <c r="H2" s="95"/>
      <c r="I2" s="95"/>
      <c r="J2" s="95"/>
      <c r="K2" s="95"/>
      <c r="L2" s="95"/>
      <c r="M2" s="95"/>
      <c r="N2" s="95"/>
      <c r="O2" s="95"/>
      <c r="P2" s="95"/>
      <c r="Q2" s="95"/>
      <c r="R2" s="95"/>
      <c r="S2" s="95"/>
      <c r="T2" s="95"/>
      <c r="U2" s="95"/>
      <c r="V2" s="95"/>
      <c r="W2" s="95"/>
      <c r="X2" s="95"/>
      <c r="Y2" s="95"/>
      <c r="Z2" s="105" t="str">
        <f>SysTime!Z2</f>
        <v>Period Start</v>
      </c>
      <c r="AA2" s="57">
        <f>SysTime!AA2</f>
        <v>44652</v>
      </c>
      <c r="AB2" s="57">
        <f>SysTime!AB2</f>
        <v>45017</v>
      </c>
      <c r="AC2" s="57">
        <f>SysTime!AC2</f>
        <v>45383</v>
      </c>
      <c r="AD2" s="57">
        <f>SysTime!AD2</f>
        <v>45748</v>
      </c>
      <c r="AE2" s="57">
        <f>SysTime!AE2</f>
        <v>46113</v>
      </c>
      <c r="AF2" s="57">
        <f>SysTime!AF2</f>
        <v>46478</v>
      </c>
      <c r="AG2" s="57">
        <f>SysTime!AG2</f>
        <v>46844</v>
      </c>
      <c r="AH2" s="57">
        <f>SysTime!AH2</f>
        <v>47209</v>
      </c>
      <c r="AI2" s="57">
        <f>SysTime!AI2</f>
        <v>47574</v>
      </c>
      <c r="AJ2" s="57">
        <f>SysTime!AJ2</f>
        <v>47939</v>
      </c>
      <c r="AK2" s="57">
        <f>SysTime!AK2</f>
        <v>48305</v>
      </c>
      <c r="AL2" s="57">
        <f>SysTime!AL2</f>
        <v>48670</v>
      </c>
      <c r="AM2" s="57">
        <f>SysTime!AM2</f>
        <v>49035</v>
      </c>
      <c r="AN2" s="57">
        <f>SysTime!AN2</f>
        <v>49400</v>
      </c>
      <c r="AO2" s="57">
        <f>SysTime!AO2</f>
        <v>49766</v>
      </c>
      <c r="AP2" s="57">
        <f>SysTime!AP2</f>
        <v>50131</v>
      </c>
      <c r="AQ2" s="57">
        <f>SysTime!AQ2</f>
        <v>50496</v>
      </c>
      <c r="AR2" s="57">
        <f>SysTime!AR2</f>
        <v>50861</v>
      </c>
      <c r="AS2" s="57">
        <f>SysTime!AS2</f>
        <v>51227</v>
      </c>
      <c r="AT2" s="57">
        <f>SysTime!AT2</f>
        <v>51592</v>
      </c>
      <c r="AU2" s="57">
        <f>SysTime!AU2</f>
        <v>51957</v>
      </c>
      <c r="AV2" s="57">
        <f>SysTime!AV2</f>
        <v>52322</v>
      </c>
      <c r="AW2" s="57">
        <f>SysTime!AW2</f>
        <v>52688</v>
      </c>
      <c r="AX2" s="57">
        <f>SysTime!AX2</f>
        <v>53053</v>
      </c>
      <c r="AY2" s="57">
        <f>SysTime!AY2</f>
        <v>53418</v>
      </c>
      <c r="AZ2" s="57">
        <f>SysTime!AZ2</f>
        <v>53783</v>
      </c>
      <c r="BA2" s="57">
        <f>SysTime!BA2</f>
        <v>54149</v>
      </c>
      <c r="BB2" s="57">
        <f>SysTime!BB2</f>
        <v>54514</v>
      </c>
      <c r="BC2" s="57">
        <f>SysTime!BC2</f>
        <v>54879</v>
      </c>
      <c r="BD2" s="57">
        <f>SysTime!BD2</f>
        <v>55244</v>
      </c>
      <c r="BE2" s="57">
        <f>SysTime!BE2</f>
        <v>55610</v>
      </c>
      <c r="BF2" s="58"/>
      <c r="BG2" s="59">
        <f>SysTime!BG2</f>
        <v>44652</v>
      </c>
      <c r="BH2" s="59">
        <f>SysTime!BH2</f>
        <v>45017</v>
      </c>
      <c r="BI2" s="59">
        <f>SysTime!BI2</f>
        <v>46844</v>
      </c>
      <c r="BJ2" s="59">
        <f>SysTime!BJ2</f>
        <v>48670</v>
      </c>
      <c r="BK2" s="59">
        <f>SysTime!BK2</f>
        <v>50496</v>
      </c>
      <c r="BL2" s="59">
        <f>SysTime!BL2</f>
        <v>52322</v>
      </c>
      <c r="BM2" s="59">
        <f>SysTime!BM2</f>
        <v>54149</v>
      </c>
      <c r="BN2" s="33"/>
    </row>
    <row r="3" spans="1:66" ht="13">
      <c r="A3" s="95"/>
      <c r="B3" s="95"/>
      <c r="C3" s="100" t="str">
        <f ca="1">MID(CELL("filename",A1),FIND("]",CELL("filename",A1))+1,256)&amp;" Sheet"</f>
        <v>cFactors Sheet</v>
      </c>
      <c r="D3" s="95"/>
      <c r="E3" s="95"/>
      <c r="F3" s="95"/>
      <c r="G3" s="95"/>
      <c r="H3" s="95"/>
      <c r="I3" s="95"/>
      <c r="J3" s="95"/>
      <c r="K3" s="95"/>
      <c r="L3" s="95"/>
      <c r="M3" s="95"/>
      <c r="N3" s="95"/>
      <c r="O3" s="95"/>
      <c r="P3" s="95"/>
      <c r="Q3" s="95"/>
      <c r="R3" s="95"/>
      <c r="S3" s="95"/>
      <c r="T3" s="95"/>
      <c r="U3" s="95"/>
      <c r="V3" s="95"/>
      <c r="W3" s="95"/>
      <c r="X3" s="95"/>
      <c r="Y3" s="95"/>
      <c r="Z3" s="105" t="str">
        <f>SysTime!Z3</f>
        <v>Period End</v>
      </c>
      <c r="AA3" s="57">
        <f>SysTime!AA3</f>
        <v>45016</v>
      </c>
      <c r="AB3" s="57">
        <f>SysTime!AB3</f>
        <v>45382</v>
      </c>
      <c r="AC3" s="57">
        <f>SysTime!AC3</f>
        <v>45747</v>
      </c>
      <c r="AD3" s="57">
        <f>SysTime!AD3</f>
        <v>46112</v>
      </c>
      <c r="AE3" s="57">
        <f>SysTime!AE3</f>
        <v>46477</v>
      </c>
      <c r="AF3" s="57">
        <f>SysTime!AF3</f>
        <v>46843</v>
      </c>
      <c r="AG3" s="57">
        <f>SysTime!AG3</f>
        <v>47208</v>
      </c>
      <c r="AH3" s="57">
        <f>SysTime!AH3</f>
        <v>47573</v>
      </c>
      <c r="AI3" s="57">
        <f>SysTime!AI3</f>
        <v>47938</v>
      </c>
      <c r="AJ3" s="57">
        <f>SysTime!AJ3</f>
        <v>48304</v>
      </c>
      <c r="AK3" s="57">
        <f>SysTime!AK3</f>
        <v>48669</v>
      </c>
      <c r="AL3" s="57">
        <f>SysTime!AL3</f>
        <v>49034</v>
      </c>
      <c r="AM3" s="57">
        <f>SysTime!AM3</f>
        <v>49399</v>
      </c>
      <c r="AN3" s="57">
        <f>SysTime!AN3</f>
        <v>49765</v>
      </c>
      <c r="AO3" s="57">
        <f>SysTime!AO3</f>
        <v>50130</v>
      </c>
      <c r="AP3" s="57">
        <f>SysTime!AP3</f>
        <v>50495</v>
      </c>
      <c r="AQ3" s="57">
        <f>SysTime!AQ3</f>
        <v>50860</v>
      </c>
      <c r="AR3" s="57">
        <f>SysTime!AR3</f>
        <v>51226</v>
      </c>
      <c r="AS3" s="57">
        <f>SysTime!AS3</f>
        <v>51591</v>
      </c>
      <c r="AT3" s="57">
        <f>SysTime!AT3</f>
        <v>51956</v>
      </c>
      <c r="AU3" s="57">
        <f>SysTime!AU3</f>
        <v>52321</v>
      </c>
      <c r="AV3" s="57">
        <f>SysTime!AV3</f>
        <v>52687</v>
      </c>
      <c r="AW3" s="57">
        <f>SysTime!AW3</f>
        <v>53052</v>
      </c>
      <c r="AX3" s="57">
        <f>SysTime!AX3</f>
        <v>53417</v>
      </c>
      <c r="AY3" s="57">
        <f>SysTime!AY3</f>
        <v>53782</v>
      </c>
      <c r="AZ3" s="57">
        <f>SysTime!AZ3</f>
        <v>54148</v>
      </c>
      <c r="BA3" s="57">
        <f>SysTime!BA3</f>
        <v>54513</v>
      </c>
      <c r="BB3" s="57">
        <f>SysTime!BB3</f>
        <v>54878</v>
      </c>
      <c r="BC3" s="57">
        <f>SysTime!BC3</f>
        <v>55243</v>
      </c>
      <c r="BD3" s="57">
        <f>SysTime!BD3</f>
        <v>55609</v>
      </c>
      <c r="BE3" s="57">
        <f>SysTime!BE3</f>
        <v>55974</v>
      </c>
      <c r="BF3" s="58"/>
      <c r="BG3" s="59">
        <f>SysTime!BG3</f>
        <v>45016</v>
      </c>
      <c r="BH3" s="59">
        <f>SysTime!BH3</f>
        <v>46843</v>
      </c>
      <c r="BI3" s="59">
        <f>SysTime!BI3</f>
        <v>48669</v>
      </c>
      <c r="BJ3" s="59">
        <f>SysTime!BJ3</f>
        <v>50495</v>
      </c>
      <c r="BK3" s="59">
        <f>SysTime!BK3</f>
        <v>52321</v>
      </c>
      <c r="BL3" s="59">
        <f>SysTime!BL3</f>
        <v>54148</v>
      </c>
      <c r="BM3" s="59">
        <f>SysTime!BM3</f>
        <v>55974</v>
      </c>
      <c r="BN3" s="33"/>
    </row>
    <row r="4" spans="1:66">
      <c r="A4" s="95"/>
      <c r="B4" s="95"/>
      <c r="C4" s="96" t="str">
        <f>IF(ISBLANK(cstProtectiveMarking),"",cstProtectiveMarking)</f>
        <v>Not Protectively Marked</v>
      </c>
      <c r="D4" s="95"/>
      <c r="E4" s="95"/>
      <c r="F4" s="95"/>
      <c r="G4" s="95"/>
      <c r="H4" s="95"/>
      <c r="I4" s="95"/>
      <c r="J4" s="95"/>
      <c r="K4" s="95"/>
      <c r="L4" s="95"/>
      <c r="M4" s="95"/>
      <c r="N4" s="95"/>
      <c r="O4" s="95"/>
      <c r="P4" s="95"/>
      <c r="Q4" s="95"/>
      <c r="R4" s="95"/>
      <c r="S4" s="95"/>
      <c r="T4" s="95"/>
      <c r="U4" s="95"/>
      <c r="V4" s="95"/>
      <c r="W4" s="95"/>
      <c r="X4" s="95"/>
      <c r="Y4" s="95"/>
      <c r="Z4" s="105" t="str">
        <f>SysTime!Z4</f>
        <v>Timeline</v>
      </c>
      <c r="AA4" s="60" t="str">
        <f>SysTime!AA4</f>
        <v>Annual</v>
      </c>
      <c r="AB4" s="60" t="str">
        <f>SysTime!AB4</f>
        <v>Annual</v>
      </c>
      <c r="AC4" s="60" t="str">
        <f>SysTime!AC4</f>
        <v>Annual</v>
      </c>
      <c r="AD4" s="60" t="str">
        <f>SysTime!AD4</f>
        <v>Annual</v>
      </c>
      <c r="AE4" s="60" t="str">
        <f>SysTime!AE4</f>
        <v>Annual</v>
      </c>
      <c r="AF4" s="60" t="str">
        <f>SysTime!AF4</f>
        <v>Annual</v>
      </c>
      <c r="AG4" s="60" t="str">
        <f>SysTime!AG4</f>
        <v>Annual</v>
      </c>
      <c r="AH4" s="60" t="str">
        <f>SysTime!AH4</f>
        <v>Annual</v>
      </c>
      <c r="AI4" s="60" t="str">
        <f>SysTime!AI4</f>
        <v>Annual</v>
      </c>
      <c r="AJ4" s="60" t="str">
        <f>SysTime!AJ4</f>
        <v>Annual</v>
      </c>
      <c r="AK4" s="60" t="str">
        <f>SysTime!AK4</f>
        <v>Annual</v>
      </c>
      <c r="AL4" s="60" t="str">
        <f>SysTime!AL4</f>
        <v>Annual</v>
      </c>
      <c r="AM4" s="60" t="str">
        <f>SysTime!AM4</f>
        <v>Annual</v>
      </c>
      <c r="AN4" s="60" t="str">
        <f>SysTime!AN4</f>
        <v>Annual</v>
      </c>
      <c r="AO4" s="60" t="str">
        <f>SysTime!AO4</f>
        <v>Annual</v>
      </c>
      <c r="AP4" s="60" t="str">
        <f>SysTime!AP4</f>
        <v>Annual</v>
      </c>
      <c r="AQ4" s="60" t="str">
        <f>SysTime!AQ4</f>
        <v>Annual</v>
      </c>
      <c r="AR4" s="60" t="str">
        <f>SysTime!AR4</f>
        <v>Annual</v>
      </c>
      <c r="AS4" s="60" t="str">
        <f>SysTime!AS4</f>
        <v>Annual</v>
      </c>
      <c r="AT4" s="60" t="str">
        <f>SysTime!AT4</f>
        <v>Annual</v>
      </c>
      <c r="AU4" s="60" t="str">
        <f>SysTime!AU4</f>
        <v>Annual</v>
      </c>
      <c r="AV4" s="60" t="str">
        <f>SysTime!AV4</f>
        <v>Annual</v>
      </c>
      <c r="AW4" s="60" t="str">
        <f>SysTime!AW4</f>
        <v>Annual</v>
      </c>
      <c r="AX4" s="60" t="str">
        <f>SysTime!AX4</f>
        <v>Annual</v>
      </c>
      <c r="AY4" s="60" t="str">
        <f>SysTime!AY4</f>
        <v>Annual</v>
      </c>
      <c r="AZ4" s="60" t="str">
        <f>SysTime!AZ4</f>
        <v>Annual</v>
      </c>
      <c r="BA4" s="60" t="str">
        <f>SysTime!BA4</f>
        <v>Annual</v>
      </c>
      <c r="BB4" s="60" t="str">
        <f>SysTime!BB4</f>
        <v>Annual</v>
      </c>
      <c r="BC4" s="60" t="str">
        <f>SysTime!BC4</f>
        <v>Annual</v>
      </c>
      <c r="BD4" s="60" t="str">
        <f>SysTime!BD4</f>
        <v>Annual</v>
      </c>
      <c r="BE4" s="60" t="str">
        <f>SysTime!BE4</f>
        <v>Annual</v>
      </c>
      <c r="BF4" s="61"/>
      <c r="BG4" s="62" t="str">
        <f>SysTime!BG4</f>
        <v>Annual</v>
      </c>
      <c r="BH4" s="62" t="str">
        <f>SysTime!BH4</f>
        <v>5 Yearly</v>
      </c>
      <c r="BI4" s="62" t="str">
        <f>SysTime!BI4</f>
        <v>5 Yearly</v>
      </c>
      <c r="BJ4" s="62" t="str">
        <f>SysTime!BJ4</f>
        <v>5 Yearly</v>
      </c>
      <c r="BK4" s="62" t="str">
        <f>SysTime!BK4</f>
        <v>5 Yearly</v>
      </c>
      <c r="BL4" s="62" t="str">
        <f>SysTime!BL4</f>
        <v>5 Yearly</v>
      </c>
      <c r="BM4" s="62" t="str">
        <f>SysTime!BM4</f>
        <v>5 Yearly</v>
      </c>
      <c r="BN4" s="34"/>
    </row>
    <row r="5" spans="1:66">
      <c r="A5" s="95"/>
      <c r="B5" s="95"/>
      <c r="C5" s="101" t="str">
        <f>HYPERLINK("#'Contents'!A1",sysChkWord)</f>
        <v>All Checks OK</v>
      </c>
      <c r="D5" s="101"/>
      <c r="E5" s="101"/>
      <c r="F5" s="101"/>
      <c r="G5" s="95"/>
      <c r="H5" s="95"/>
      <c r="I5" s="95"/>
      <c r="J5" s="95"/>
      <c r="K5" s="95"/>
      <c r="L5" s="95"/>
      <c r="M5" s="95"/>
      <c r="N5" s="95"/>
      <c r="O5" s="95"/>
      <c r="P5" s="95"/>
      <c r="Q5" s="95"/>
      <c r="R5" s="95"/>
      <c r="S5" s="95"/>
      <c r="T5" s="95"/>
      <c r="U5" s="95"/>
      <c r="V5" s="95"/>
      <c r="W5" s="95"/>
      <c r="X5" s="95"/>
      <c r="Y5" s="95"/>
      <c r="Z5" s="105" t="str">
        <f>SysTime!Z5</f>
        <v>Period index</v>
      </c>
      <c r="AA5" s="63">
        <f>SysTime!AA5</f>
        <v>1</v>
      </c>
      <c r="AB5" s="63">
        <f>SysTime!AB5</f>
        <v>2</v>
      </c>
      <c r="AC5" s="63">
        <f>SysTime!AC5</f>
        <v>3</v>
      </c>
      <c r="AD5" s="63">
        <f>SysTime!AD5</f>
        <v>4</v>
      </c>
      <c r="AE5" s="63">
        <f>SysTime!AE5</f>
        <v>5</v>
      </c>
      <c r="AF5" s="63">
        <f>SysTime!AF5</f>
        <v>6</v>
      </c>
      <c r="AG5" s="63">
        <f>SysTime!AG5</f>
        <v>7</v>
      </c>
      <c r="AH5" s="63">
        <f>SysTime!AH5</f>
        <v>8</v>
      </c>
      <c r="AI5" s="63">
        <f>SysTime!AI5</f>
        <v>9</v>
      </c>
      <c r="AJ5" s="63">
        <f>SysTime!AJ5</f>
        <v>10</v>
      </c>
      <c r="AK5" s="63">
        <f>SysTime!AK5</f>
        <v>11</v>
      </c>
      <c r="AL5" s="63">
        <f>SysTime!AL5</f>
        <v>12</v>
      </c>
      <c r="AM5" s="63">
        <f>SysTime!AM5</f>
        <v>13</v>
      </c>
      <c r="AN5" s="63">
        <f>SysTime!AN5</f>
        <v>14</v>
      </c>
      <c r="AO5" s="63">
        <f>SysTime!AO5</f>
        <v>15</v>
      </c>
      <c r="AP5" s="63">
        <f>SysTime!AP5</f>
        <v>16</v>
      </c>
      <c r="AQ5" s="63">
        <f>SysTime!AQ5</f>
        <v>17</v>
      </c>
      <c r="AR5" s="63">
        <f>SysTime!AR5</f>
        <v>18</v>
      </c>
      <c r="AS5" s="63">
        <f>SysTime!AS5</f>
        <v>19</v>
      </c>
      <c r="AT5" s="63">
        <f>SysTime!AT5</f>
        <v>20</v>
      </c>
      <c r="AU5" s="63">
        <f>SysTime!AU5</f>
        <v>21</v>
      </c>
      <c r="AV5" s="63">
        <f>SysTime!AV5</f>
        <v>22</v>
      </c>
      <c r="AW5" s="63">
        <f>SysTime!AW5</f>
        <v>23</v>
      </c>
      <c r="AX5" s="63">
        <f>SysTime!AX5</f>
        <v>24</v>
      </c>
      <c r="AY5" s="63">
        <f>SysTime!AY5</f>
        <v>25</v>
      </c>
      <c r="AZ5" s="63">
        <f>SysTime!AZ5</f>
        <v>26</v>
      </c>
      <c r="BA5" s="63">
        <f>SysTime!BA5</f>
        <v>27</v>
      </c>
      <c r="BB5" s="63">
        <f>SysTime!BB5</f>
        <v>28</v>
      </c>
      <c r="BC5" s="63">
        <f>SysTime!BC5</f>
        <v>29</v>
      </c>
      <c r="BD5" s="63">
        <f>SysTime!BD5</f>
        <v>30</v>
      </c>
      <c r="BE5" s="63">
        <f>SysTime!BE5</f>
        <v>31</v>
      </c>
      <c r="BF5" s="64"/>
      <c r="BG5" s="65">
        <f>SysTime!BG5</f>
        <v>1</v>
      </c>
      <c r="BH5" s="65">
        <f>SysTime!BH5</f>
        <v>2</v>
      </c>
      <c r="BI5" s="65">
        <f>SysTime!BI5</f>
        <v>3</v>
      </c>
      <c r="BJ5" s="65">
        <f>SysTime!BJ5</f>
        <v>4</v>
      </c>
      <c r="BK5" s="65">
        <f>SysTime!BK5</f>
        <v>5</v>
      </c>
      <c r="BL5" s="65">
        <f>SysTime!BL5</f>
        <v>6</v>
      </c>
      <c r="BM5" s="65">
        <f>SysTime!BM5</f>
        <v>7</v>
      </c>
      <c r="BN5" s="35"/>
    </row>
    <row r="6" spans="1:66" ht="13">
      <c r="A6" s="95"/>
      <c r="B6" s="102"/>
      <c r="C6" s="103" t="str">
        <f>HYPERLINK("#'Contents'!A1","Click for Contents")</f>
        <v>Click for Contents</v>
      </c>
      <c r="D6" s="101"/>
      <c r="E6" s="101"/>
      <c r="F6" s="101"/>
      <c r="G6" s="95"/>
      <c r="H6" s="95"/>
      <c r="I6" s="95"/>
      <c r="J6" s="95"/>
      <c r="K6" s="95"/>
      <c r="L6" s="95"/>
      <c r="M6" s="95"/>
      <c r="N6" s="95"/>
      <c r="O6" s="95"/>
      <c r="P6" s="95"/>
      <c r="Q6" s="95"/>
      <c r="R6" s="95"/>
      <c r="S6" s="95"/>
      <c r="T6" s="95"/>
      <c r="U6" s="95"/>
      <c r="V6" s="95"/>
      <c r="W6" s="95"/>
      <c r="X6" s="95"/>
      <c r="Y6" s="95"/>
      <c r="Z6" s="105" t="str">
        <f>SysTime!Z6</f>
        <v>Year index</v>
      </c>
      <c r="AA6" s="63">
        <f>SysTime!AA6</f>
        <v>1</v>
      </c>
      <c r="AB6" s="63">
        <f>SysTime!AB6</f>
        <v>2</v>
      </c>
      <c r="AC6" s="63">
        <f>SysTime!AC6</f>
        <v>3</v>
      </c>
      <c r="AD6" s="63">
        <f>SysTime!AD6</f>
        <v>4</v>
      </c>
      <c r="AE6" s="63">
        <f>SysTime!AE6</f>
        <v>5</v>
      </c>
      <c r="AF6" s="63">
        <f>SysTime!AF6</f>
        <v>6</v>
      </c>
      <c r="AG6" s="63">
        <f>SysTime!AG6</f>
        <v>7</v>
      </c>
      <c r="AH6" s="63">
        <f>SysTime!AH6</f>
        <v>8</v>
      </c>
      <c r="AI6" s="63">
        <f>SysTime!AI6</f>
        <v>9</v>
      </c>
      <c r="AJ6" s="63">
        <f>SysTime!AJ6</f>
        <v>10</v>
      </c>
      <c r="AK6" s="63">
        <f>SysTime!AK6</f>
        <v>11</v>
      </c>
      <c r="AL6" s="63">
        <f>SysTime!AL6</f>
        <v>12</v>
      </c>
      <c r="AM6" s="63">
        <f>SysTime!AM6</f>
        <v>13</v>
      </c>
      <c r="AN6" s="63">
        <f>SysTime!AN6</f>
        <v>14</v>
      </c>
      <c r="AO6" s="63">
        <f>SysTime!AO6</f>
        <v>15</v>
      </c>
      <c r="AP6" s="63">
        <f>SysTime!AP6</f>
        <v>16</v>
      </c>
      <c r="AQ6" s="63">
        <f>SysTime!AQ6</f>
        <v>17</v>
      </c>
      <c r="AR6" s="63">
        <f>SysTime!AR6</f>
        <v>18</v>
      </c>
      <c r="AS6" s="63">
        <f>SysTime!AS6</f>
        <v>19</v>
      </c>
      <c r="AT6" s="63">
        <f>SysTime!AT6</f>
        <v>20</v>
      </c>
      <c r="AU6" s="63">
        <f>SysTime!AU6</f>
        <v>21</v>
      </c>
      <c r="AV6" s="63">
        <f>SysTime!AV6</f>
        <v>22</v>
      </c>
      <c r="AW6" s="63">
        <f>SysTime!AW6</f>
        <v>23</v>
      </c>
      <c r="AX6" s="63">
        <f>SysTime!AX6</f>
        <v>24</v>
      </c>
      <c r="AY6" s="63">
        <f>SysTime!AY6</f>
        <v>25</v>
      </c>
      <c r="AZ6" s="63">
        <f>SysTime!AZ6</f>
        <v>26</v>
      </c>
      <c r="BA6" s="63">
        <f>SysTime!BA6</f>
        <v>27</v>
      </c>
      <c r="BB6" s="63">
        <f>SysTime!BB6</f>
        <v>28</v>
      </c>
      <c r="BC6" s="63">
        <f>SysTime!BC6</f>
        <v>29</v>
      </c>
      <c r="BD6" s="63">
        <f>SysTime!BD6</f>
        <v>30</v>
      </c>
      <c r="BE6" s="63">
        <f>SysTime!BE6</f>
        <v>31</v>
      </c>
      <c r="BF6" s="64"/>
      <c r="BG6" s="65">
        <f>SysTime!BG6</f>
        <v>0</v>
      </c>
      <c r="BH6" s="65">
        <f>SysTime!BH6</f>
        <v>0</v>
      </c>
      <c r="BI6" s="65">
        <f>SysTime!BI6</f>
        <v>0</v>
      </c>
      <c r="BJ6" s="65">
        <f>SysTime!BJ6</f>
        <v>0</v>
      </c>
      <c r="BK6" s="65">
        <f>SysTime!BK6</f>
        <v>0</v>
      </c>
      <c r="BL6" s="65">
        <f>SysTime!BL6</f>
        <v>0</v>
      </c>
      <c r="BM6" s="65">
        <f>SysTime!BM6</f>
        <v>0</v>
      </c>
      <c r="BN6" s="35"/>
    </row>
    <row r="7" spans="1:66">
      <c r="A7" s="95"/>
      <c r="B7" s="95"/>
      <c r="C7" s="95"/>
      <c r="D7" s="95"/>
      <c r="E7" s="95"/>
      <c r="F7" s="95"/>
      <c r="G7" s="95"/>
      <c r="H7" s="95"/>
      <c r="I7" s="95"/>
      <c r="J7" s="95"/>
      <c r="K7" s="95"/>
      <c r="L7" s="95"/>
      <c r="M7" s="95"/>
      <c r="N7" s="95"/>
      <c r="O7" s="95"/>
      <c r="P7" s="95"/>
      <c r="Q7" s="95"/>
      <c r="R7" s="95"/>
      <c r="S7" s="95"/>
      <c r="T7" s="95"/>
      <c r="U7" s="95"/>
      <c r="V7" s="95"/>
      <c r="W7" s="95"/>
      <c r="X7" s="95"/>
      <c r="Y7" s="95"/>
      <c r="Z7" s="105" t="str">
        <f>SysTime!Z7</f>
        <v>Relative period</v>
      </c>
      <c r="AA7" s="63">
        <f>SysTime!AA7</f>
        <v>1</v>
      </c>
      <c r="AB7" s="63">
        <f>SysTime!AB7</f>
        <v>2</v>
      </c>
      <c r="AC7" s="63">
        <f>SysTime!AC7</f>
        <v>3</v>
      </c>
      <c r="AD7" s="63">
        <f>SysTime!AD7</f>
        <v>4</v>
      </c>
      <c r="AE7" s="63">
        <f>SysTime!AE7</f>
        <v>5</v>
      </c>
      <c r="AF7" s="63">
        <f>SysTime!AF7</f>
        <v>6</v>
      </c>
      <c r="AG7" s="63">
        <f>SysTime!AG7</f>
        <v>7</v>
      </c>
      <c r="AH7" s="63">
        <f>SysTime!AH7</f>
        <v>8</v>
      </c>
      <c r="AI7" s="63">
        <f>SysTime!AI7</f>
        <v>9</v>
      </c>
      <c r="AJ7" s="63">
        <f>SysTime!AJ7</f>
        <v>10</v>
      </c>
      <c r="AK7" s="63">
        <f>SysTime!AK7</f>
        <v>11</v>
      </c>
      <c r="AL7" s="63">
        <f>SysTime!AL7</f>
        <v>12</v>
      </c>
      <c r="AM7" s="63">
        <f>SysTime!AM7</f>
        <v>13</v>
      </c>
      <c r="AN7" s="63">
        <f>SysTime!AN7</f>
        <v>14</v>
      </c>
      <c r="AO7" s="63">
        <f>SysTime!AO7</f>
        <v>15</v>
      </c>
      <c r="AP7" s="63">
        <f>SysTime!AP7</f>
        <v>16</v>
      </c>
      <c r="AQ7" s="63">
        <f>SysTime!AQ7</f>
        <v>17</v>
      </c>
      <c r="AR7" s="63">
        <f>SysTime!AR7</f>
        <v>18</v>
      </c>
      <c r="AS7" s="63">
        <f>SysTime!AS7</f>
        <v>19</v>
      </c>
      <c r="AT7" s="63">
        <f>SysTime!AT7</f>
        <v>20</v>
      </c>
      <c r="AU7" s="63">
        <f>SysTime!AU7</f>
        <v>21</v>
      </c>
      <c r="AV7" s="63">
        <f>SysTime!AV7</f>
        <v>22</v>
      </c>
      <c r="AW7" s="63">
        <f>SysTime!AW7</f>
        <v>23</v>
      </c>
      <c r="AX7" s="63">
        <f>SysTime!AX7</f>
        <v>24</v>
      </c>
      <c r="AY7" s="63">
        <f>SysTime!AY7</f>
        <v>25</v>
      </c>
      <c r="AZ7" s="63">
        <f>SysTime!AZ7</f>
        <v>26</v>
      </c>
      <c r="BA7" s="63">
        <f>SysTime!BA7</f>
        <v>27</v>
      </c>
      <c r="BB7" s="63">
        <f>SysTime!BB7</f>
        <v>28</v>
      </c>
      <c r="BC7" s="63">
        <f>SysTime!BC7</f>
        <v>29</v>
      </c>
      <c r="BD7" s="63">
        <f>SysTime!BD7</f>
        <v>30</v>
      </c>
      <c r="BE7" s="63">
        <f>SysTime!BE7</f>
        <v>31</v>
      </c>
      <c r="BF7" s="64"/>
      <c r="BG7" s="65">
        <f>SysTime!BG7</f>
        <v>1</v>
      </c>
      <c r="BH7" s="65">
        <f>SysTime!BH7</f>
        <v>2</v>
      </c>
      <c r="BI7" s="65">
        <f>SysTime!BI7</f>
        <v>3</v>
      </c>
      <c r="BJ7" s="65">
        <f>SysTime!BJ7</f>
        <v>4</v>
      </c>
      <c r="BK7" s="65">
        <f>SysTime!BK7</f>
        <v>5</v>
      </c>
      <c r="BL7" s="65">
        <f>SysTime!BL7</f>
        <v>6</v>
      </c>
      <c r="BM7" s="65">
        <f>SysTime!BM7</f>
        <v>7</v>
      </c>
      <c r="BN7" s="35"/>
    </row>
    <row r="8" spans="1:66">
      <c r="A8" s="97">
        <f>SUM(A9:A48)</f>
        <v>0</v>
      </c>
      <c r="B8" s="99">
        <f>SUM(B9:B48)</f>
        <v>0</v>
      </c>
      <c r="C8" s="104"/>
      <c r="D8" s="104"/>
      <c r="E8" s="104"/>
      <c r="F8" s="104"/>
      <c r="G8" s="104" t="s">
        <v>5</v>
      </c>
      <c r="H8" s="104"/>
      <c r="I8" s="104"/>
      <c r="J8" s="95"/>
      <c r="K8" s="95"/>
      <c r="L8" s="95"/>
      <c r="M8" s="95"/>
      <c r="N8" s="95"/>
      <c r="O8" s="95"/>
      <c r="P8" s="95"/>
      <c r="Q8" s="95"/>
      <c r="R8" s="95"/>
      <c r="S8" s="95"/>
      <c r="T8" s="95"/>
      <c r="U8" s="95"/>
      <c r="V8" s="95"/>
      <c r="W8" s="95"/>
      <c r="X8" s="95"/>
      <c r="Y8" s="95"/>
      <c r="Z8" s="95"/>
      <c r="AA8" s="95"/>
      <c r="AB8" s="95"/>
      <c r="AC8" s="95"/>
      <c r="AD8" s="95"/>
      <c r="AE8" s="95"/>
      <c r="AF8" s="95"/>
      <c r="AG8" s="95"/>
      <c r="AH8" s="95"/>
      <c r="AI8" s="95"/>
      <c r="AJ8" s="95"/>
      <c r="AK8" s="95"/>
      <c r="AL8" s="95"/>
      <c r="AM8" s="95"/>
      <c r="AN8" s="95"/>
      <c r="AO8" s="95"/>
      <c r="AP8" s="95"/>
      <c r="AQ8" s="95"/>
      <c r="AR8" s="95"/>
      <c r="AS8" s="95"/>
      <c r="AT8" s="95"/>
      <c r="AU8" s="95"/>
      <c r="AV8" s="95"/>
      <c r="AW8" s="95"/>
      <c r="AX8" s="95"/>
      <c r="AY8" s="95"/>
      <c r="AZ8" s="95"/>
      <c r="BA8" s="95"/>
      <c r="BB8" s="95"/>
      <c r="BC8" s="95"/>
      <c r="BD8" s="95"/>
      <c r="BE8" s="95"/>
      <c r="BF8" s="95"/>
      <c r="BG8" s="95"/>
      <c r="BH8" s="95"/>
      <c r="BI8" s="95"/>
      <c r="BJ8" s="95"/>
      <c r="BK8" s="95"/>
      <c r="BL8" s="95"/>
      <c r="BM8" s="95"/>
      <c r="BN8" s="21"/>
    </row>
    <row r="10" spans="1:66" ht="16">
      <c r="A10" s="24"/>
      <c r="B10" s="24"/>
      <c r="C10" s="24"/>
      <c r="D10" s="24">
        <v>1</v>
      </c>
      <c r="E10" s="24" t="s">
        <v>174</v>
      </c>
      <c r="F10" s="24"/>
      <c r="G10" s="24"/>
      <c r="H10" s="24"/>
      <c r="I10" s="24"/>
      <c r="J10" s="24"/>
      <c r="K10" s="24"/>
      <c r="L10" s="24"/>
      <c r="M10" s="24"/>
      <c r="N10" s="24"/>
      <c r="O10" s="24"/>
      <c r="P10" s="24"/>
      <c r="Q10" s="24"/>
      <c r="R10" s="24"/>
      <c r="S10" s="24"/>
      <c r="T10" s="24"/>
      <c r="U10" s="24"/>
      <c r="V10" s="24"/>
      <c r="W10" s="24"/>
      <c r="X10" s="24"/>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c r="BM10" s="24"/>
      <c r="BN10" s="24"/>
    </row>
    <row r="11" spans="1:66">
      <c r="F11" s="18"/>
      <c r="G11" s="17"/>
    </row>
    <row r="12" spans="1:66" s="25" customFormat="1" ht="14" thickBot="1">
      <c r="E12" s="25" t="s">
        <v>387</v>
      </c>
      <c r="F12" s="25" t="s">
        <v>171</v>
      </c>
    </row>
    <row r="13" spans="1:66">
      <c r="D13" s="18"/>
      <c r="E13" s="18"/>
      <c r="F13" s="18"/>
      <c r="G13" s="17"/>
    </row>
    <row r="14" spans="1:66" ht="13">
      <c r="D14" s="18"/>
      <c r="E14" s="18"/>
      <c r="F14" s="26" t="s">
        <v>163</v>
      </c>
      <c r="G14" s="17"/>
    </row>
    <row r="15" spans="1:66">
      <c r="D15" s="18"/>
      <c r="E15" s="18"/>
      <c r="F15" s="18"/>
      <c r="G15" s="17"/>
    </row>
    <row r="16" spans="1:66">
      <c r="D16" s="18"/>
      <c r="E16" s="18"/>
      <c r="F16" s="18" t="s">
        <v>164</v>
      </c>
      <c r="G16" s="17" t="s">
        <v>7</v>
      </c>
      <c r="I16"/>
      <c r="AA16" s="12">
        <f>iIndices!AA16</f>
        <v>0</v>
      </c>
      <c r="AB16" s="12">
        <f>iIndices!AB16</f>
        <v>2.5000000000000001E-2</v>
      </c>
      <c r="AC16" s="12">
        <f>iIndices!AC16</f>
        <v>2.5000000000000001E-2</v>
      </c>
      <c r="AD16" s="12">
        <f>iIndices!AD16</f>
        <v>2.5000000000000001E-2</v>
      </c>
      <c r="AE16" s="12">
        <f>iIndices!AE16</f>
        <v>2.5000000000000001E-2</v>
      </c>
      <c r="AF16" s="12">
        <f>iIndices!AF16</f>
        <v>2.5000000000000001E-2</v>
      </c>
      <c r="AG16" s="12">
        <f>iIndices!AG16</f>
        <v>2.5000000000000001E-2</v>
      </c>
      <c r="AH16" s="12">
        <f>iIndices!AH16</f>
        <v>2.5000000000000001E-2</v>
      </c>
      <c r="AI16" s="12">
        <f>iIndices!AI16</f>
        <v>2.5000000000000001E-2</v>
      </c>
      <c r="AJ16" s="12">
        <f>iIndices!AJ16</f>
        <v>2.5000000000000001E-2</v>
      </c>
      <c r="AK16" s="12">
        <f>iIndices!AK16</f>
        <v>2.5000000000000001E-2</v>
      </c>
      <c r="AL16" s="12">
        <f>iIndices!AL16</f>
        <v>2.5000000000000001E-2</v>
      </c>
      <c r="AM16" s="12">
        <f>iIndices!AM16</f>
        <v>2.5000000000000001E-2</v>
      </c>
      <c r="AN16" s="12">
        <f>iIndices!AN16</f>
        <v>2.5000000000000001E-2</v>
      </c>
      <c r="AO16" s="12">
        <f>iIndices!AO16</f>
        <v>2.5000000000000001E-2</v>
      </c>
      <c r="AP16" s="12">
        <f>iIndices!AP16</f>
        <v>2.5000000000000001E-2</v>
      </c>
      <c r="AQ16" s="12">
        <f>iIndices!AQ16</f>
        <v>2.5000000000000001E-2</v>
      </c>
      <c r="AR16" s="12">
        <f>iIndices!AR16</f>
        <v>2.5000000000000001E-2</v>
      </c>
      <c r="AS16" s="12">
        <f>iIndices!AS16</f>
        <v>2.5000000000000001E-2</v>
      </c>
      <c r="AT16" s="12">
        <f>iIndices!AT16</f>
        <v>2.5000000000000001E-2</v>
      </c>
      <c r="AU16" s="12">
        <f>iIndices!AU16</f>
        <v>2.5000000000000001E-2</v>
      </c>
      <c r="AV16" s="12">
        <f>iIndices!AV16</f>
        <v>2.5000000000000001E-2</v>
      </c>
      <c r="AW16" s="12">
        <f>iIndices!AW16</f>
        <v>2.5000000000000001E-2</v>
      </c>
      <c r="AX16" s="12">
        <f>iIndices!AX16</f>
        <v>2.5000000000000001E-2</v>
      </c>
      <c r="AY16" s="12">
        <f>iIndices!AY16</f>
        <v>2.5000000000000001E-2</v>
      </c>
      <c r="AZ16" s="12">
        <f>iIndices!AZ16</f>
        <v>2.5000000000000001E-2</v>
      </c>
      <c r="BA16" s="12">
        <f>iIndices!BA16</f>
        <v>2.5000000000000001E-2</v>
      </c>
      <c r="BB16" s="12">
        <f>iIndices!BB16</f>
        <v>2.5000000000000001E-2</v>
      </c>
      <c r="BC16" s="12">
        <f>iIndices!BC16</f>
        <v>2.5000000000000001E-2</v>
      </c>
      <c r="BD16" s="12">
        <f>iIndices!BD16</f>
        <v>2.5000000000000001E-2</v>
      </c>
      <c r="BE16" s="12">
        <f>iIndices!BE16</f>
        <v>2.5000000000000001E-2</v>
      </c>
      <c r="BG16" s="39"/>
      <c r="BH16" s="39"/>
      <c r="BI16" s="39"/>
      <c r="BJ16" s="39"/>
      <c r="BK16" s="39"/>
      <c r="BL16" s="39"/>
      <c r="BM16" s="39"/>
    </row>
    <row r="17" spans="1:66">
      <c r="D17" s="18"/>
      <c r="E17" s="18"/>
      <c r="F17" s="18" t="s">
        <v>325</v>
      </c>
      <c r="G17" s="17" t="s">
        <v>7</v>
      </c>
      <c r="I17"/>
      <c r="AA17" s="12">
        <f>iIndices!AA17</f>
        <v>0</v>
      </c>
      <c r="AB17" s="12">
        <f>iIndices!AB17</f>
        <v>0.03</v>
      </c>
      <c r="AC17" s="12">
        <f>iIndices!AC17</f>
        <v>0.03</v>
      </c>
      <c r="AD17" s="12">
        <f>iIndices!AD17</f>
        <v>0.03</v>
      </c>
      <c r="AE17" s="12">
        <f>iIndices!AE17</f>
        <v>0.03</v>
      </c>
      <c r="AF17" s="12">
        <f>iIndices!AF17</f>
        <v>0.03</v>
      </c>
      <c r="AG17" s="12">
        <f>iIndices!AG17</f>
        <v>0.03</v>
      </c>
      <c r="AH17" s="12">
        <f>iIndices!AH17</f>
        <v>0.03</v>
      </c>
      <c r="AI17" s="12">
        <f>iIndices!AI17</f>
        <v>0.03</v>
      </c>
      <c r="AJ17" s="12">
        <f>iIndices!AJ17</f>
        <v>0.03</v>
      </c>
      <c r="AK17" s="12">
        <f>iIndices!AK17</f>
        <v>0.03</v>
      </c>
      <c r="AL17" s="12">
        <f>iIndices!AL17</f>
        <v>0.03</v>
      </c>
      <c r="AM17" s="12">
        <f>iIndices!AM17</f>
        <v>0.03</v>
      </c>
      <c r="AN17" s="12">
        <f>iIndices!AN17</f>
        <v>0.03</v>
      </c>
      <c r="AO17" s="12">
        <f>iIndices!AO17</f>
        <v>0.03</v>
      </c>
      <c r="AP17" s="12">
        <f>iIndices!AP17</f>
        <v>0.03</v>
      </c>
      <c r="AQ17" s="12">
        <f>iIndices!AQ17</f>
        <v>0.03</v>
      </c>
      <c r="AR17" s="12">
        <f>iIndices!AR17</f>
        <v>0.03</v>
      </c>
      <c r="AS17" s="12">
        <f>iIndices!AS17</f>
        <v>0.03</v>
      </c>
      <c r="AT17" s="12">
        <f>iIndices!AT17</f>
        <v>0.03</v>
      </c>
      <c r="AU17" s="12">
        <f>iIndices!AU17</f>
        <v>0.03</v>
      </c>
      <c r="AV17" s="12">
        <f>iIndices!AV17</f>
        <v>0.03</v>
      </c>
      <c r="AW17" s="12">
        <f>iIndices!AW17</f>
        <v>0.03</v>
      </c>
      <c r="AX17" s="12">
        <f>iIndices!AX17</f>
        <v>0.03</v>
      </c>
      <c r="AY17" s="12">
        <f>iIndices!AY17</f>
        <v>0.03</v>
      </c>
      <c r="AZ17" s="12">
        <f>iIndices!AZ17</f>
        <v>0.03</v>
      </c>
      <c r="BA17" s="12">
        <f>iIndices!BA17</f>
        <v>0.03</v>
      </c>
      <c r="BB17" s="12">
        <f>iIndices!BB17</f>
        <v>0.03</v>
      </c>
      <c r="BC17" s="12">
        <f>iIndices!BC17</f>
        <v>0.03</v>
      </c>
      <c r="BD17" s="12">
        <f>iIndices!BD17</f>
        <v>0.03</v>
      </c>
      <c r="BE17" s="12">
        <f>iIndices!BE17</f>
        <v>0.03</v>
      </c>
      <c r="BG17" s="39"/>
      <c r="BH17" s="39"/>
      <c r="BI17" s="39"/>
      <c r="BJ17" s="39"/>
      <c r="BK17" s="39"/>
      <c r="BL17" s="39"/>
      <c r="BM17" s="39"/>
    </row>
    <row r="18" spans="1:66">
      <c r="D18" s="18"/>
      <c r="E18" s="18"/>
      <c r="F18" s="18" t="s">
        <v>165</v>
      </c>
      <c r="G18" s="17" t="s">
        <v>7</v>
      </c>
      <c r="I18"/>
      <c r="AA18" s="12">
        <f>iIndices!AA18</f>
        <v>0</v>
      </c>
      <c r="AB18" s="12">
        <f>iIndices!AB18</f>
        <v>0.02</v>
      </c>
      <c r="AC18" s="12">
        <f>iIndices!AC18</f>
        <v>0.02</v>
      </c>
      <c r="AD18" s="12">
        <f>iIndices!AD18</f>
        <v>0.02</v>
      </c>
      <c r="AE18" s="12">
        <f>iIndices!AE18</f>
        <v>0.02</v>
      </c>
      <c r="AF18" s="12">
        <f>iIndices!AF18</f>
        <v>0.02</v>
      </c>
      <c r="AG18" s="12">
        <f>iIndices!AG18</f>
        <v>0.02</v>
      </c>
      <c r="AH18" s="12">
        <f>iIndices!AH18</f>
        <v>0.02</v>
      </c>
      <c r="AI18" s="12">
        <f>iIndices!AI18</f>
        <v>0.02</v>
      </c>
      <c r="AJ18" s="12">
        <f>iIndices!AJ18</f>
        <v>0.02</v>
      </c>
      <c r="AK18" s="12">
        <f>iIndices!AK18</f>
        <v>0.02</v>
      </c>
      <c r="AL18" s="12">
        <f>iIndices!AL18</f>
        <v>0.02</v>
      </c>
      <c r="AM18" s="12">
        <f>iIndices!AM18</f>
        <v>0.02</v>
      </c>
      <c r="AN18" s="12">
        <f>iIndices!AN18</f>
        <v>0.02</v>
      </c>
      <c r="AO18" s="12">
        <f>iIndices!AO18</f>
        <v>0.02</v>
      </c>
      <c r="AP18" s="12">
        <f>iIndices!AP18</f>
        <v>0.02</v>
      </c>
      <c r="AQ18" s="12">
        <f>iIndices!AQ18</f>
        <v>0.02</v>
      </c>
      <c r="AR18" s="12">
        <f>iIndices!AR18</f>
        <v>0.02</v>
      </c>
      <c r="AS18" s="12">
        <f>iIndices!AS18</f>
        <v>0.02</v>
      </c>
      <c r="AT18" s="12">
        <f>iIndices!AT18</f>
        <v>0.02</v>
      </c>
      <c r="AU18" s="12">
        <f>iIndices!AU18</f>
        <v>0.02</v>
      </c>
      <c r="AV18" s="12">
        <f>iIndices!AV18</f>
        <v>0.02</v>
      </c>
      <c r="AW18" s="12">
        <f>iIndices!AW18</f>
        <v>0.02</v>
      </c>
      <c r="AX18" s="12">
        <f>iIndices!AX18</f>
        <v>0.02</v>
      </c>
      <c r="AY18" s="12">
        <f>iIndices!AY18</f>
        <v>0.02</v>
      </c>
      <c r="AZ18" s="12">
        <f>iIndices!AZ18</f>
        <v>0.02</v>
      </c>
      <c r="BA18" s="12">
        <f>iIndices!BA18</f>
        <v>0.02</v>
      </c>
      <c r="BB18" s="12">
        <f>iIndices!BB18</f>
        <v>0.02</v>
      </c>
      <c r="BC18" s="12">
        <f>iIndices!BC18</f>
        <v>0.02</v>
      </c>
      <c r="BD18" s="12">
        <f>iIndices!BD18</f>
        <v>0.02</v>
      </c>
      <c r="BE18" s="12">
        <f>iIndices!BE18</f>
        <v>0.02</v>
      </c>
      <c r="BG18" s="39"/>
      <c r="BH18" s="39"/>
      <c r="BI18" s="39"/>
      <c r="BJ18" s="39"/>
      <c r="BK18" s="39"/>
      <c r="BL18" s="39"/>
      <c r="BM18" s="39"/>
    </row>
    <row r="19" spans="1:66">
      <c r="D19" s="18"/>
      <c r="E19" s="18"/>
      <c r="F19" s="18" t="s">
        <v>166</v>
      </c>
      <c r="G19" s="17" t="s">
        <v>7</v>
      </c>
      <c r="I19"/>
      <c r="AA19" s="12">
        <f>iIndices!AA19</f>
        <v>0</v>
      </c>
      <c r="AB19" s="12">
        <f>iIndices!AB19</f>
        <v>0.02</v>
      </c>
      <c r="AC19" s="12">
        <f>iIndices!AC19</f>
        <v>0.02</v>
      </c>
      <c r="AD19" s="12">
        <f>iIndices!AD19</f>
        <v>0.02</v>
      </c>
      <c r="AE19" s="12">
        <f>iIndices!AE19</f>
        <v>0.02</v>
      </c>
      <c r="AF19" s="12">
        <f>iIndices!AF19</f>
        <v>0.02</v>
      </c>
      <c r="AG19" s="12">
        <f>iIndices!AG19</f>
        <v>0.02</v>
      </c>
      <c r="AH19" s="12">
        <f>iIndices!AH19</f>
        <v>0.02</v>
      </c>
      <c r="AI19" s="12">
        <f>iIndices!AI19</f>
        <v>0.02</v>
      </c>
      <c r="AJ19" s="12">
        <f>iIndices!AJ19</f>
        <v>0.02</v>
      </c>
      <c r="AK19" s="12">
        <f>iIndices!AK19</f>
        <v>0.02</v>
      </c>
      <c r="AL19" s="12">
        <f>iIndices!AL19</f>
        <v>0.02</v>
      </c>
      <c r="AM19" s="12">
        <f>iIndices!AM19</f>
        <v>0.02</v>
      </c>
      <c r="AN19" s="12">
        <f>iIndices!AN19</f>
        <v>0.02</v>
      </c>
      <c r="AO19" s="12">
        <f>iIndices!AO19</f>
        <v>0.02</v>
      </c>
      <c r="AP19" s="12">
        <f>iIndices!AP19</f>
        <v>0.02</v>
      </c>
      <c r="AQ19" s="12">
        <f>iIndices!AQ19</f>
        <v>0.02</v>
      </c>
      <c r="AR19" s="12">
        <f>iIndices!AR19</f>
        <v>0.02</v>
      </c>
      <c r="AS19" s="12">
        <f>iIndices!AS19</f>
        <v>0.02</v>
      </c>
      <c r="AT19" s="12">
        <f>iIndices!AT19</f>
        <v>0.02</v>
      </c>
      <c r="AU19" s="12">
        <f>iIndices!AU19</f>
        <v>0.02</v>
      </c>
      <c r="AV19" s="12">
        <f>iIndices!AV19</f>
        <v>0.02</v>
      </c>
      <c r="AW19" s="12">
        <f>iIndices!AW19</f>
        <v>0.02</v>
      </c>
      <c r="AX19" s="12">
        <f>iIndices!AX19</f>
        <v>0.02</v>
      </c>
      <c r="AY19" s="12">
        <f>iIndices!AY19</f>
        <v>0.02</v>
      </c>
      <c r="AZ19" s="12">
        <f>iIndices!AZ19</f>
        <v>0.02</v>
      </c>
      <c r="BA19" s="12">
        <f>iIndices!BA19</f>
        <v>0.02</v>
      </c>
      <c r="BB19" s="12">
        <f>iIndices!BB19</f>
        <v>0.02</v>
      </c>
      <c r="BC19" s="12">
        <f>iIndices!BC19</f>
        <v>0.02</v>
      </c>
      <c r="BD19" s="12">
        <f>iIndices!BD19</f>
        <v>0.02</v>
      </c>
      <c r="BE19" s="12">
        <f>iIndices!BE19</f>
        <v>0.02</v>
      </c>
      <c r="BG19" s="39"/>
      <c r="BH19" s="39"/>
      <c r="BI19" s="39"/>
      <c r="BJ19" s="39"/>
      <c r="BK19" s="39"/>
      <c r="BL19" s="39"/>
      <c r="BM19" s="39"/>
    </row>
    <row r="20" spans="1:66">
      <c r="D20" s="18"/>
      <c r="E20" s="18"/>
      <c r="F20" s="18" t="s">
        <v>167</v>
      </c>
      <c r="G20" s="17" t="s">
        <v>7</v>
      </c>
      <c r="I20"/>
      <c r="AA20" s="12">
        <f>iIndices!AA20</f>
        <v>0</v>
      </c>
      <c r="AB20" s="12">
        <f>iIndices!AB20</f>
        <v>0.02</v>
      </c>
      <c r="AC20" s="12">
        <f>iIndices!AC20</f>
        <v>0.02</v>
      </c>
      <c r="AD20" s="12">
        <f>iIndices!AD20</f>
        <v>0.02</v>
      </c>
      <c r="AE20" s="12">
        <f>iIndices!AE20</f>
        <v>0.02</v>
      </c>
      <c r="AF20" s="12">
        <f>iIndices!AF20</f>
        <v>0.02</v>
      </c>
      <c r="AG20" s="12">
        <f>iIndices!AG20</f>
        <v>0.02</v>
      </c>
      <c r="AH20" s="12">
        <f>iIndices!AH20</f>
        <v>0.02</v>
      </c>
      <c r="AI20" s="12">
        <f>iIndices!AI20</f>
        <v>0.02</v>
      </c>
      <c r="AJ20" s="12">
        <f>iIndices!AJ20</f>
        <v>0.02</v>
      </c>
      <c r="AK20" s="12">
        <f>iIndices!AK20</f>
        <v>0.02</v>
      </c>
      <c r="AL20" s="12">
        <f>iIndices!AL20</f>
        <v>0.02</v>
      </c>
      <c r="AM20" s="12">
        <f>iIndices!AM20</f>
        <v>0.02</v>
      </c>
      <c r="AN20" s="12">
        <f>iIndices!AN20</f>
        <v>0.02</v>
      </c>
      <c r="AO20" s="12">
        <f>iIndices!AO20</f>
        <v>0.02</v>
      </c>
      <c r="AP20" s="12">
        <f>iIndices!AP20</f>
        <v>0.02</v>
      </c>
      <c r="AQ20" s="12">
        <f>iIndices!AQ20</f>
        <v>0.02</v>
      </c>
      <c r="AR20" s="12">
        <f>iIndices!AR20</f>
        <v>0.02</v>
      </c>
      <c r="AS20" s="12">
        <f>iIndices!AS20</f>
        <v>0.02</v>
      </c>
      <c r="AT20" s="12">
        <f>iIndices!AT20</f>
        <v>0.02</v>
      </c>
      <c r="AU20" s="12">
        <f>iIndices!AU20</f>
        <v>0.02</v>
      </c>
      <c r="AV20" s="12">
        <f>iIndices!AV20</f>
        <v>0.02</v>
      </c>
      <c r="AW20" s="12">
        <f>iIndices!AW20</f>
        <v>0.02</v>
      </c>
      <c r="AX20" s="12">
        <f>iIndices!AX20</f>
        <v>0.02</v>
      </c>
      <c r="AY20" s="12">
        <f>iIndices!AY20</f>
        <v>0.02</v>
      </c>
      <c r="AZ20" s="12">
        <f>iIndices!AZ20</f>
        <v>0.02</v>
      </c>
      <c r="BA20" s="12">
        <f>iIndices!BA20</f>
        <v>0.02</v>
      </c>
      <c r="BB20" s="12">
        <f>iIndices!BB20</f>
        <v>0.02</v>
      </c>
      <c r="BC20" s="12">
        <f>iIndices!BC20</f>
        <v>0.02</v>
      </c>
      <c r="BD20" s="12">
        <f>iIndices!BD20</f>
        <v>0.02</v>
      </c>
      <c r="BE20" s="12">
        <f>iIndices!BE20</f>
        <v>0.02</v>
      </c>
      <c r="BG20" s="39"/>
      <c r="BH20" s="39"/>
      <c r="BI20" s="39"/>
      <c r="BJ20" s="39"/>
      <c r="BK20" s="39"/>
      <c r="BL20" s="39"/>
      <c r="BM20" s="39"/>
    </row>
    <row r="21" spans="1:66">
      <c r="D21" s="18"/>
      <c r="E21" s="18"/>
      <c r="F21" s="18"/>
      <c r="G21" s="17"/>
    </row>
    <row r="22" spans="1:66" s="25" customFormat="1" ht="14" thickBot="1">
      <c r="E22" s="25" t="s">
        <v>394</v>
      </c>
      <c r="F22" s="25" t="s">
        <v>362</v>
      </c>
    </row>
    <row r="23" spans="1:66">
      <c r="D23" s="18"/>
      <c r="E23" s="18"/>
      <c r="F23" s="18"/>
      <c r="G23" s="17"/>
    </row>
    <row r="24" spans="1:66" ht="13">
      <c r="D24" s="18"/>
      <c r="E24" s="18"/>
      <c r="F24" s="26" t="s">
        <v>168</v>
      </c>
      <c r="G24" s="17"/>
    </row>
    <row r="25" spans="1:66">
      <c r="D25" s="18"/>
      <c r="E25" s="18"/>
      <c r="F25" s="18"/>
      <c r="G25" s="17"/>
    </row>
    <row r="26" spans="1:66">
      <c r="D26" s="18"/>
      <c r="E26" s="18"/>
      <c r="F26" s="18" t="s">
        <v>169</v>
      </c>
      <c r="G26" s="17" t="s">
        <v>7</v>
      </c>
      <c r="I26"/>
      <c r="AA26" s="12">
        <f>iIndices!AA26</f>
        <v>0</v>
      </c>
      <c r="AB26" s="12">
        <f>iIndices!AB26</f>
        <v>1.2999999999999999E-2</v>
      </c>
      <c r="AC26" s="12">
        <f>iIndices!AC26</f>
        <v>1.7000000000000001E-2</v>
      </c>
      <c r="AD26" s="12">
        <f>iIndices!AD26</f>
        <v>1.9E-2</v>
      </c>
      <c r="AE26" s="12">
        <f>iIndices!AE26</f>
        <v>1.9E-2</v>
      </c>
      <c r="AF26" s="12">
        <f>iIndices!AF26</f>
        <v>0.02</v>
      </c>
      <c r="AG26" s="12">
        <f>iIndices!AG26</f>
        <v>0.02</v>
      </c>
      <c r="AH26" s="12">
        <f>iIndices!AH26</f>
        <v>0.02</v>
      </c>
      <c r="AI26" s="12">
        <f>iIndices!AI26</f>
        <v>0.02</v>
      </c>
      <c r="AJ26" s="12">
        <f>iIndices!AJ26</f>
        <v>0.02</v>
      </c>
      <c r="AK26" s="12">
        <f>iIndices!AK26</f>
        <v>0.02</v>
      </c>
      <c r="AL26" s="12">
        <f>iIndices!AL26</f>
        <v>0.02</v>
      </c>
      <c r="AM26" s="12">
        <f>iIndices!AM26</f>
        <v>0.02</v>
      </c>
      <c r="AN26" s="12">
        <f>iIndices!AN26</f>
        <v>0.02</v>
      </c>
      <c r="AO26" s="12">
        <f>iIndices!AO26</f>
        <v>0.02</v>
      </c>
      <c r="AP26" s="12">
        <f>iIndices!AP26</f>
        <v>0.02</v>
      </c>
      <c r="AQ26" s="12">
        <f>iIndices!AQ26</f>
        <v>0.02</v>
      </c>
      <c r="AR26" s="12">
        <f>iIndices!AR26</f>
        <v>0.02</v>
      </c>
      <c r="AS26" s="12">
        <f>iIndices!AS26</f>
        <v>0.02</v>
      </c>
      <c r="AT26" s="12">
        <f>iIndices!AT26</f>
        <v>0.02</v>
      </c>
      <c r="AU26" s="12">
        <f>iIndices!AU26</f>
        <v>0.02</v>
      </c>
      <c r="AV26" s="12">
        <f>iIndices!AV26</f>
        <v>0.02</v>
      </c>
      <c r="AW26" s="12">
        <f>iIndices!AW26</f>
        <v>0.02</v>
      </c>
      <c r="AX26" s="12">
        <f>iIndices!AX26</f>
        <v>0.02</v>
      </c>
      <c r="AY26" s="12">
        <f>iIndices!AY26</f>
        <v>0.02</v>
      </c>
      <c r="AZ26" s="12">
        <f>iIndices!AZ26</f>
        <v>0.02</v>
      </c>
      <c r="BA26" s="12">
        <f>iIndices!BA26</f>
        <v>0.02</v>
      </c>
      <c r="BB26" s="12">
        <f>iIndices!BB26</f>
        <v>0.02</v>
      </c>
      <c r="BC26" s="12">
        <f>iIndices!BC26</f>
        <v>0.02</v>
      </c>
      <c r="BD26" s="12">
        <f>iIndices!BD26</f>
        <v>0.02</v>
      </c>
      <c r="BE26" s="12">
        <f>iIndices!BE26</f>
        <v>0.02</v>
      </c>
      <c r="BG26" s="39"/>
      <c r="BH26" s="39"/>
      <c r="BI26" s="39"/>
      <c r="BJ26" s="39"/>
      <c r="BK26" s="39"/>
      <c r="BL26" s="39"/>
      <c r="BM26" s="39"/>
    </row>
    <row r="27" spans="1:66">
      <c r="D27" s="18"/>
      <c r="E27" s="18"/>
      <c r="F27" s="18" t="s">
        <v>170</v>
      </c>
      <c r="G27" s="17" t="s">
        <v>7</v>
      </c>
      <c r="I27"/>
      <c r="AA27" s="12">
        <f>iIndices!AA27</f>
        <v>0</v>
      </c>
      <c r="AB27" s="12">
        <f>iIndices!AB27</f>
        <v>3.5000000000000003E-2</v>
      </c>
      <c r="AC27" s="12">
        <f>iIndices!AC27</f>
        <v>3.5000000000000003E-2</v>
      </c>
      <c r="AD27" s="12">
        <f>iIndices!AD27</f>
        <v>3.5000000000000003E-2</v>
      </c>
      <c r="AE27" s="12">
        <f>iIndices!AE27</f>
        <v>3.5000000000000003E-2</v>
      </c>
      <c r="AF27" s="12">
        <f>iIndices!AF27</f>
        <v>3.5000000000000003E-2</v>
      </c>
      <c r="AG27" s="12">
        <f>iIndices!AG27</f>
        <v>3.5000000000000003E-2</v>
      </c>
      <c r="AH27" s="12">
        <f>iIndices!AH27</f>
        <v>3.5000000000000003E-2</v>
      </c>
      <c r="AI27" s="12">
        <f>iIndices!AI27</f>
        <v>3.5000000000000003E-2</v>
      </c>
      <c r="AJ27" s="12">
        <f>iIndices!AJ27</f>
        <v>3.5000000000000003E-2</v>
      </c>
      <c r="AK27" s="12">
        <f>iIndices!AK27</f>
        <v>3.5000000000000003E-2</v>
      </c>
      <c r="AL27" s="12">
        <f>iIndices!AL27</f>
        <v>3.5000000000000003E-2</v>
      </c>
      <c r="AM27" s="12">
        <f>iIndices!AM27</f>
        <v>3.5000000000000003E-2</v>
      </c>
      <c r="AN27" s="12">
        <f>iIndices!AN27</f>
        <v>3.5000000000000003E-2</v>
      </c>
      <c r="AO27" s="12">
        <f>iIndices!AO27</f>
        <v>3.5000000000000003E-2</v>
      </c>
      <c r="AP27" s="12">
        <f>iIndices!AP27</f>
        <v>3.5000000000000003E-2</v>
      </c>
      <c r="AQ27" s="12">
        <f>iIndices!AQ27</f>
        <v>3.5000000000000003E-2</v>
      </c>
      <c r="AR27" s="12">
        <f>iIndices!AR27</f>
        <v>3.5000000000000003E-2</v>
      </c>
      <c r="AS27" s="12">
        <f>iIndices!AS27</f>
        <v>3.5000000000000003E-2</v>
      </c>
      <c r="AT27" s="12">
        <f>iIndices!AT27</f>
        <v>3.5000000000000003E-2</v>
      </c>
      <c r="AU27" s="12">
        <f>iIndices!AU27</f>
        <v>3.5000000000000003E-2</v>
      </c>
      <c r="AV27" s="12">
        <f>iIndices!AV27</f>
        <v>3.5000000000000003E-2</v>
      </c>
      <c r="AW27" s="12">
        <f>iIndices!AW27</f>
        <v>3.5000000000000003E-2</v>
      </c>
      <c r="AX27" s="12">
        <f>iIndices!AX27</f>
        <v>3.5000000000000003E-2</v>
      </c>
      <c r="AY27" s="12">
        <f>iIndices!AY27</f>
        <v>3.5000000000000003E-2</v>
      </c>
      <c r="AZ27" s="12">
        <f>iIndices!AZ27</f>
        <v>3.5000000000000003E-2</v>
      </c>
      <c r="BA27" s="12">
        <f>iIndices!BA27</f>
        <v>3.5000000000000003E-2</v>
      </c>
      <c r="BB27" s="12">
        <f>iIndices!BB27</f>
        <v>3.5000000000000003E-2</v>
      </c>
      <c r="BC27" s="12">
        <f>iIndices!BC27</f>
        <v>3.5000000000000003E-2</v>
      </c>
      <c r="BD27" s="12">
        <f>iIndices!BD27</f>
        <v>3.5000000000000003E-2</v>
      </c>
      <c r="BE27" s="12">
        <f>iIndices!BE27</f>
        <v>0.03</v>
      </c>
      <c r="BG27" s="39"/>
      <c r="BH27" s="39"/>
      <c r="BI27" s="39"/>
      <c r="BJ27" s="39"/>
      <c r="BK27" s="39"/>
      <c r="BL27" s="39"/>
      <c r="BM27" s="39"/>
    </row>
    <row r="28" spans="1:66">
      <c r="D28" s="18"/>
      <c r="E28" s="18"/>
      <c r="F28" s="18"/>
      <c r="G28" s="17"/>
    </row>
    <row r="29" spans="1:66" ht="16">
      <c r="A29" s="24"/>
      <c r="B29" s="24"/>
      <c r="C29" s="24"/>
      <c r="D29" s="24">
        <v>2</v>
      </c>
      <c r="E29" s="24" t="s">
        <v>1</v>
      </c>
      <c r="F29" s="24"/>
      <c r="G29" s="24"/>
      <c r="H29" s="24"/>
      <c r="I29" s="24"/>
      <c r="J29" s="24"/>
      <c r="K29" s="24"/>
      <c r="L29" s="24"/>
      <c r="M29" s="24"/>
      <c r="N29" s="24"/>
      <c r="O29" s="24"/>
      <c r="P29" s="24"/>
      <c r="Q29" s="24"/>
      <c r="R29" s="24"/>
      <c r="S29" s="24"/>
      <c r="T29" s="24"/>
      <c r="U29" s="24"/>
      <c r="V29" s="24"/>
      <c r="W29" s="24"/>
      <c r="X29" s="24"/>
      <c r="Y29" s="24"/>
      <c r="Z29" s="24"/>
      <c r="AA29" s="24"/>
      <c r="AB29" s="24"/>
      <c r="AC29" s="24"/>
      <c r="AD29" s="24"/>
      <c r="AE29" s="24"/>
      <c r="AF29" s="24"/>
      <c r="AG29" s="24"/>
      <c r="AH29" s="24"/>
      <c r="AI29" s="24"/>
      <c r="AJ29" s="24"/>
      <c r="AK29" s="24"/>
      <c r="AL29" s="24"/>
      <c r="AM29" s="24"/>
      <c r="AN29" s="24"/>
      <c r="AO29" s="24"/>
      <c r="AP29" s="24"/>
      <c r="AQ29" s="24"/>
      <c r="AR29" s="24"/>
      <c r="AS29" s="24"/>
      <c r="AT29" s="24"/>
      <c r="AU29" s="24"/>
      <c r="AV29" s="24"/>
      <c r="AW29" s="24"/>
      <c r="AX29" s="24"/>
      <c r="AY29" s="24"/>
      <c r="AZ29" s="24"/>
      <c r="BA29" s="24"/>
      <c r="BB29" s="24"/>
      <c r="BC29" s="24"/>
      <c r="BD29" s="24"/>
      <c r="BE29" s="24"/>
      <c r="BF29" s="24"/>
      <c r="BG29" s="24"/>
      <c r="BH29" s="24"/>
      <c r="BI29" s="24"/>
      <c r="BJ29" s="24"/>
      <c r="BK29" s="24"/>
      <c r="BL29" s="24"/>
      <c r="BM29" s="24"/>
      <c r="BN29" s="24"/>
    </row>
    <row r="30" spans="1:66">
      <c r="F30" s="18"/>
      <c r="G30" s="17"/>
    </row>
    <row r="31" spans="1:66" s="25" customFormat="1" ht="14" thickBot="1">
      <c r="E31" s="25" t="s">
        <v>388</v>
      </c>
      <c r="F31" s="25" t="s">
        <v>363</v>
      </c>
    </row>
    <row r="32" spans="1:66">
      <c r="D32" s="18"/>
      <c r="E32" s="18"/>
      <c r="F32" s="18"/>
      <c r="G32" s="17"/>
    </row>
    <row r="33" spans="1:66" ht="13">
      <c r="D33" s="18"/>
      <c r="E33" s="18"/>
      <c r="F33" s="26" t="s">
        <v>365</v>
      </c>
      <c r="G33" s="17"/>
    </row>
    <row r="34" spans="1:66">
      <c r="D34" s="18"/>
      <c r="E34" s="18"/>
      <c r="F34" s="18"/>
      <c r="G34" s="17"/>
    </row>
    <row r="35" spans="1:66">
      <c r="A35" s="19">
        <f>IF(MIN(AA35:BE35)&lt;0,1,0)</f>
        <v>0</v>
      </c>
      <c r="D35" s="18"/>
      <c r="E35" s="18"/>
      <c r="F35" s="18" t="s">
        <v>164</v>
      </c>
      <c r="G35" s="17" t="s">
        <v>7</v>
      </c>
      <c r="I35"/>
      <c r="AA35" s="16">
        <f>IF(AA$5=1,1,Z35)*(1+AA16)</f>
        <v>1</v>
      </c>
      <c r="AB35" s="16">
        <f t="shared" ref="AB35:BE35" si="0">IF(AB$5=1,1,AA35)*(1+AB16)</f>
        <v>1.0249999999999999</v>
      </c>
      <c r="AC35" s="16">
        <f t="shared" si="0"/>
        <v>1.0506249999999999</v>
      </c>
      <c r="AD35" s="16">
        <f t="shared" si="0"/>
        <v>1.0768906249999999</v>
      </c>
      <c r="AE35" s="16">
        <f t="shared" si="0"/>
        <v>1.1038128906249998</v>
      </c>
      <c r="AF35" s="16">
        <f t="shared" si="0"/>
        <v>1.1314082128906247</v>
      </c>
      <c r="AG35" s="16">
        <f t="shared" si="0"/>
        <v>1.1596934182128902</v>
      </c>
      <c r="AH35" s="16">
        <f t="shared" si="0"/>
        <v>1.1886857536682123</v>
      </c>
      <c r="AI35" s="16">
        <f t="shared" si="0"/>
        <v>1.2184028975099175</v>
      </c>
      <c r="AJ35" s="16">
        <f t="shared" si="0"/>
        <v>1.2488629699476652</v>
      </c>
      <c r="AK35" s="16">
        <f t="shared" si="0"/>
        <v>1.2800845441963566</v>
      </c>
      <c r="AL35" s="16">
        <f t="shared" si="0"/>
        <v>1.3120866578012655</v>
      </c>
      <c r="AM35" s="16">
        <f t="shared" si="0"/>
        <v>1.3448888242462971</v>
      </c>
      <c r="AN35" s="16">
        <f t="shared" si="0"/>
        <v>1.3785110448524545</v>
      </c>
      <c r="AO35" s="16">
        <f t="shared" si="0"/>
        <v>1.4129738209737657</v>
      </c>
      <c r="AP35" s="16">
        <f t="shared" si="0"/>
        <v>1.4482981664981096</v>
      </c>
      <c r="AQ35" s="16">
        <f t="shared" si="0"/>
        <v>1.4845056206605622</v>
      </c>
      <c r="AR35" s="16">
        <f t="shared" si="0"/>
        <v>1.5216182611770761</v>
      </c>
      <c r="AS35" s="16">
        <f t="shared" si="0"/>
        <v>1.5596587177065029</v>
      </c>
      <c r="AT35" s="16">
        <f t="shared" si="0"/>
        <v>1.5986501856491653</v>
      </c>
      <c r="AU35" s="16">
        <f t="shared" si="0"/>
        <v>1.6386164402903942</v>
      </c>
      <c r="AV35" s="16">
        <f t="shared" si="0"/>
        <v>1.6795818512976539</v>
      </c>
      <c r="AW35" s="16">
        <f t="shared" si="0"/>
        <v>1.721571397580095</v>
      </c>
      <c r="AX35" s="16">
        <f t="shared" si="0"/>
        <v>1.7646106825195973</v>
      </c>
      <c r="AY35" s="16">
        <f t="shared" si="0"/>
        <v>1.8087259495825871</v>
      </c>
      <c r="AZ35" s="16">
        <f t="shared" si="0"/>
        <v>1.8539440983221516</v>
      </c>
      <c r="BA35" s="16">
        <f t="shared" si="0"/>
        <v>1.9002927007802053</v>
      </c>
      <c r="BB35" s="16">
        <f t="shared" si="0"/>
        <v>1.9478000182997102</v>
      </c>
      <c r="BC35" s="16">
        <f t="shared" si="0"/>
        <v>1.9964950187572028</v>
      </c>
      <c r="BD35" s="16">
        <f t="shared" si="0"/>
        <v>2.0464073942261325</v>
      </c>
      <c r="BE35" s="16">
        <f t="shared" si="0"/>
        <v>2.0975675790817858</v>
      </c>
      <c r="BG35" s="39"/>
      <c r="BH35" s="39"/>
      <c r="BI35" s="39"/>
      <c r="BJ35" s="39"/>
      <c r="BK35" s="39"/>
      <c r="BL35" s="39"/>
      <c r="BM35" s="39"/>
    </row>
    <row r="36" spans="1:66">
      <c r="A36" s="19">
        <f>IF(MIN(AA36:BE36)&lt;0,1,0)</f>
        <v>0</v>
      </c>
      <c r="D36" s="18"/>
      <c r="E36" s="18"/>
      <c r="F36" s="18" t="s">
        <v>325</v>
      </c>
      <c r="G36" s="17" t="s">
        <v>7</v>
      </c>
      <c r="I36"/>
      <c r="AA36" s="16">
        <f t="shared" ref="AA36:BE36" si="1">IF(AA$5=1,1,Z36)*(1+AA17)</f>
        <v>1</v>
      </c>
      <c r="AB36" s="16">
        <f t="shared" si="1"/>
        <v>1.03</v>
      </c>
      <c r="AC36" s="16">
        <f t="shared" si="1"/>
        <v>1.0609</v>
      </c>
      <c r="AD36" s="16">
        <f t="shared" si="1"/>
        <v>1.092727</v>
      </c>
      <c r="AE36" s="16">
        <f t="shared" si="1"/>
        <v>1.1255088100000001</v>
      </c>
      <c r="AF36" s="16">
        <f t="shared" si="1"/>
        <v>1.1592740743000001</v>
      </c>
      <c r="AG36" s="16">
        <f t="shared" si="1"/>
        <v>1.1940522965290001</v>
      </c>
      <c r="AH36" s="16">
        <f t="shared" si="1"/>
        <v>1.2298738654248702</v>
      </c>
      <c r="AI36" s="16">
        <f t="shared" si="1"/>
        <v>1.2667700813876164</v>
      </c>
      <c r="AJ36" s="16">
        <f t="shared" si="1"/>
        <v>1.3047731838292449</v>
      </c>
      <c r="AK36" s="16">
        <f t="shared" si="1"/>
        <v>1.3439163793441222</v>
      </c>
      <c r="AL36" s="16">
        <f t="shared" si="1"/>
        <v>1.3842338707244459</v>
      </c>
      <c r="AM36" s="16">
        <f t="shared" si="1"/>
        <v>1.4257608868461793</v>
      </c>
      <c r="AN36" s="16">
        <f t="shared" si="1"/>
        <v>1.4685337134515648</v>
      </c>
      <c r="AO36" s="16">
        <f t="shared" si="1"/>
        <v>1.5125897248551119</v>
      </c>
      <c r="AP36" s="16">
        <f t="shared" si="1"/>
        <v>1.5579674166007653</v>
      </c>
      <c r="AQ36" s="16">
        <f t="shared" si="1"/>
        <v>1.6047064390987884</v>
      </c>
      <c r="AR36" s="16">
        <f t="shared" si="1"/>
        <v>1.652847632271752</v>
      </c>
      <c r="AS36" s="16">
        <f t="shared" si="1"/>
        <v>1.7024330612399046</v>
      </c>
      <c r="AT36" s="16">
        <f t="shared" si="1"/>
        <v>1.7535060530771018</v>
      </c>
      <c r="AU36" s="16">
        <f t="shared" si="1"/>
        <v>1.806111234669415</v>
      </c>
      <c r="AV36" s="16">
        <f t="shared" si="1"/>
        <v>1.8602945717094976</v>
      </c>
      <c r="AW36" s="16">
        <f t="shared" si="1"/>
        <v>1.9161034088607827</v>
      </c>
      <c r="AX36" s="16">
        <f t="shared" si="1"/>
        <v>1.9735865111266062</v>
      </c>
      <c r="AY36" s="16">
        <f t="shared" si="1"/>
        <v>2.0327941064604045</v>
      </c>
      <c r="AZ36" s="16">
        <f t="shared" si="1"/>
        <v>2.0937779296542165</v>
      </c>
      <c r="BA36" s="16">
        <f t="shared" si="1"/>
        <v>2.1565912675438432</v>
      </c>
      <c r="BB36" s="16">
        <f t="shared" si="1"/>
        <v>2.2212890055701586</v>
      </c>
      <c r="BC36" s="16">
        <f t="shared" si="1"/>
        <v>2.2879276757372633</v>
      </c>
      <c r="BD36" s="16">
        <f t="shared" si="1"/>
        <v>2.3565655060093813</v>
      </c>
      <c r="BE36" s="16">
        <f t="shared" si="1"/>
        <v>2.4272624711896627</v>
      </c>
      <c r="BG36" s="39"/>
      <c r="BH36" s="39"/>
      <c r="BI36" s="39"/>
      <c r="BJ36" s="39"/>
      <c r="BK36" s="39"/>
      <c r="BL36" s="39"/>
      <c r="BM36" s="39"/>
    </row>
    <row r="37" spans="1:66">
      <c r="A37" s="19">
        <f>IF(MIN(AA37:BE37)&lt;0,1,0)</f>
        <v>0</v>
      </c>
      <c r="D37" s="18"/>
      <c r="E37" s="18"/>
      <c r="F37" s="18" t="s">
        <v>165</v>
      </c>
      <c r="G37" s="17" t="s">
        <v>7</v>
      </c>
      <c r="I37"/>
      <c r="AA37" s="16">
        <f t="shared" ref="AA37:BE37" si="2">IF(AA$5=1,1,Z37)*(1+AA18)</f>
        <v>1</v>
      </c>
      <c r="AB37" s="16">
        <f t="shared" si="2"/>
        <v>1.02</v>
      </c>
      <c r="AC37" s="16">
        <f t="shared" si="2"/>
        <v>1.0404</v>
      </c>
      <c r="AD37" s="16">
        <f t="shared" si="2"/>
        <v>1.0612079999999999</v>
      </c>
      <c r="AE37" s="16">
        <f t="shared" si="2"/>
        <v>1.08243216</v>
      </c>
      <c r="AF37" s="16">
        <f t="shared" si="2"/>
        <v>1.1040808032</v>
      </c>
      <c r="AG37" s="16">
        <f t="shared" si="2"/>
        <v>1.1261624192640001</v>
      </c>
      <c r="AH37" s="16">
        <f t="shared" si="2"/>
        <v>1.14868566764928</v>
      </c>
      <c r="AI37" s="16">
        <f t="shared" si="2"/>
        <v>1.1716593810022657</v>
      </c>
      <c r="AJ37" s="16">
        <f t="shared" si="2"/>
        <v>1.1950925686223111</v>
      </c>
      <c r="AK37" s="16">
        <f t="shared" si="2"/>
        <v>1.2189944199947573</v>
      </c>
      <c r="AL37" s="16">
        <f t="shared" si="2"/>
        <v>1.2433743083946525</v>
      </c>
      <c r="AM37" s="16">
        <f t="shared" si="2"/>
        <v>1.2682417945625455</v>
      </c>
      <c r="AN37" s="16">
        <f t="shared" si="2"/>
        <v>1.2936066304537963</v>
      </c>
      <c r="AO37" s="16">
        <f t="shared" si="2"/>
        <v>1.3194787630628724</v>
      </c>
      <c r="AP37" s="16">
        <f t="shared" si="2"/>
        <v>1.3458683383241299</v>
      </c>
      <c r="AQ37" s="16">
        <f t="shared" si="2"/>
        <v>1.3727857050906125</v>
      </c>
      <c r="AR37" s="16">
        <f t="shared" si="2"/>
        <v>1.4002414191924248</v>
      </c>
      <c r="AS37" s="16">
        <f t="shared" si="2"/>
        <v>1.4282462475762734</v>
      </c>
      <c r="AT37" s="16">
        <f t="shared" si="2"/>
        <v>1.4568111725277988</v>
      </c>
      <c r="AU37" s="16">
        <f t="shared" si="2"/>
        <v>1.4859473959783549</v>
      </c>
      <c r="AV37" s="16">
        <f t="shared" si="2"/>
        <v>1.5156663438979221</v>
      </c>
      <c r="AW37" s="16">
        <f t="shared" si="2"/>
        <v>1.5459796707758806</v>
      </c>
      <c r="AX37" s="16">
        <f t="shared" si="2"/>
        <v>1.5768992641913981</v>
      </c>
      <c r="AY37" s="16">
        <f t="shared" si="2"/>
        <v>1.6084372494752261</v>
      </c>
      <c r="AZ37" s="16">
        <f t="shared" si="2"/>
        <v>1.6406059944647307</v>
      </c>
      <c r="BA37" s="16">
        <f t="shared" si="2"/>
        <v>1.6734181143540252</v>
      </c>
      <c r="BB37" s="16">
        <f t="shared" si="2"/>
        <v>1.7068864766411058</v>
      </c>
      <c r="BC37" s="16">
        <f t="shared" si="2"/>
        <v>1.7410242061739281</v>
      </c>
      <c r="BD37" s="16">
        <f t="shared" si="2"/>
        <v>1.7758446902974065</v>
      </c>
      <c r="BE37" s="16">
        <f t="shared" si="2"/>
        <v>1.8113615841033548</v>
      </c>
      <c r="BG37" s="39"/>
      <c r="BH37" s="39"/>
      <c r="BI37" s="39"/>
      <c r="BJ37" s="39"/>
      <c r="BK37" s="39"/>
      <c r="BL37" s="39"/>
      <c r="BM37" s="39"/>
    </row>
    <row r="38" spans="1:66">
      <c r="A38" s="19">
        <f>IF(MIN(AA38:BE38)&lt;0,1,0)</f>
        <v>0</v>
      </c>
      <c r="D38" s="18"/>
      <c r="E38" s="18"/>
      <c r="F38" s="18" t="s">
        <v>166</v>
      </c>
      <c r="G38" s="17" t="s">
        <v>7</v>
      </c>
      <c r="I38"/>
      <c r="AA38" s="16">
        <f t="shared" ref="AA38:BE38" si="3">IF(AA$5=1,1,Z38)*(1+AA19)</f>
        <v>1</v>
      </c>
      <c r="AB38" s="16">
        <f t="shared" si="3"/>
        <v>1.02</v>
      </c>
      <c r="AC38" s="16">
        <f t="shared" si="3"/>
        <v>1.0404</v>
      </c>
      <c r="AD38" s="16">
        <f t="shared" si="3"/>
        <v>1.0612079999999999</v>
      </c>
      <c r="AE38" s="16">
        <f t="shared" si="3"/>
        <v>1.08243216</v>
      </c>
      <c r="AF38" s="16">
        <f t="shared" si="3"/>
        <v>1.1040808032</v>
      </c>
      <c r="AG38" s="16">
        <f t="shared" si="3"/>
        <v>1.1261624192640001</v>
      </c>
      <c r="AH38" s="16">
        <f t="shared" si="3"/>
        <v>1.14868566764928</v>
      </c>
      <c r="AI38" s="16">
        <f t="shared" si="3"/>
        <v>1.1716593810022657</v>
      </c>
      <c r="AJ38" s="16">
        <f t="shared" si="3"/>
        <v>1.1950925686223111</v>
      </c>
      <c r="AK38" s="16">
        <f t="shared" si="3"/>
        <v>1.2189944199947573</v>
      </c>
      <c r="AL38" s="16">
        <f t="shared" si="3"/>
        <v>1.2433743083946525</v>
      </c>
      <c r="AM38" s="16">
        <f t="shared" si="3"/>
        <v>1.2682417945625455</v>
      </c>
      <c r="AN38" s="16">
        <f t="shared" si="3"/>
        <v>1.2936066304537963</v>
      </c>
      <c r="AO38" s="16">
        <f t="shared" si="3"/>
        <v>1.3194787630628724</v>
      </c>
      <c r="AP38" s="16">
        <f t="shared" si="3"/>
        <v>1.3458683383241299</v>
      </c>
      <c r="AQ38" s="16">
        <f t="shared" si="3"/>
        <v>1.3727857050906125</v>
      </c>
      <c r="AR38" s="16">
        <f t="shared" si="3"/>
        <v>1.4002414191924248</v>
      </c>
      <c r="AS38" s="16">
        <f t="shared" si="3"/>
        <v>1.4282462475762734</v>
      </c>
      <c r="AT38" s="16">
        <f t="shared" si="3"/>
        <v>1.4568111725277988</v>
      </c>
      <c r="AU38" s="16">
        <f t="shared" si="3"/>
        <v>1.4859473959783549</v>
      </c>
      <c r="AV38" s="16">
        <f t="shared" si="3"/>
        <v>1.5156663438979221</v>
      </c>
      <c r="AW38" s="16">
        <f t="shared" si="3"/>
        <v>1.5459796707758806</v>
      </c>
      <c r="AX38" s="16">
        <f t="shared" si="3"/>
        <v>1.5768992641913981</v>
      </c>
      <c r="AY38" s="16">
        <f t="shared" si="3"/>
        <v>1.6084372494752261</v>
      </c>
      <c r="AZ38" s="16">
        <f t="shared" si="3"/>
        <v>1.6406059944647307</v>
      </c>
      <c r="BA38" s="16">
        <f t="shared" si="3"/>
        <v>1.6734181143540252</v>
      </c>
      <c r="BB38" s="16">
        <f t="shared" si="3"/>
        <v>1.7068864766411058</v>
      </c>
      <c r="BC38" s="16">
        <f t="shared" si="3"/>
        <v>1.7410242061739281</v>
      </c>
      <c r="BD38" s="16">
        <f t="shared" si="3"/>
        <v>1.7758446902974065</v>
      </c>
      <c r="BE38" s="16">
        <f t="shared" si="3"/>
        <v>1.8113615841033548</v>
      </c>
      <c r="BG38" s="39"/>
      <c r="BH38" s="39"/>
      <c r="BI38" s="39"/>
      <c r="BJ38" s="39"/>
      <c r="BK38" s="39"/>
      <c r="BL38" s="39"/>
      <c r="BM38" s="39"/>
    </row>
    <row r="39" spans="1:66">
      <c r="A39" s="19">
        <f>IF(MIN(AA39:BE39)&lt;0,1,0)</f>
        <v>0</v>
      </c>
      <c r="D39" s="18"/>
      <c r="E39" s="18"/>
      <c r="F39" s="18" t="s">
        <v>167</v>
      </c>
      <c r="G39" s="17" t="s">
        <v>7</v>
      </c>
      <c r="I39"/>
      <c r="AA39" s="16">
        <f t="shared" ref="AA39:BE39" si="4">IF(AA$5=1,1,Z39)*(1+AA20)</f>
        <v>1</v>
      </c>
      <c r="AB39" s="16">
        <f t="shared" si="4"/>
        <v>1.02</v>
      </c>
      <c r="AC39" s="16">
        <f t="shared" si="4"/>
        <v>1.0404</v>
      </c>
      <c r="AD39" s="16">
        <f t="shared" si="4"/>
        <v>1.0612079999999999</v>
      </c>
      <c r="AE39" s="16">
        <f t="shared" si="4"/>
        <v>1.08243216</v>
      </c>
      <c r="AF39" s="16">
        <f t="shared" si="4"/>
        <v>1.1040808032</v>
      </c>
      <c r="AG39" s="16">
        <f t="shared" si="4"/>
        <v>1.1261624192640001</v>
      </c>
      <c r="AH39" s="16">
        <f t="shared" si="4"/>
        <v>1.14868566764928</v>
      </c>
      <c r="AI39" s="16">
        <f t="shared" si="4"/>
        <v>1.1716593810022657</v>
      </c>
      <c r="AJ39" s="16">
        <f t="shared" si="4"/>
        <v>1.1950925686223111</v>
      </c>
      <c r="AK39" s="16">
        <f t="shared" si="4"/>
        <v>1.2189944199947573</v>
      </c>
      <c r="AL39" s="16">
        <f t="shared" si="4"/>
        <v>1.2433743083946525</v>
      </c>
      <c r="AM39" s="16">
        <f t="shared" si="4"/>
        <v>1.2682417945625455</v>
      </c>
      <c r="AN39" s="16">
        <f t="shared" si="4"/>
        <v>1.2936066304537963</v>
      </c>
      <c r="AO39" s="16">
        <f t="shared" si="4"/>
        <v>1.3194787630628724</v>
      </c>
      <c r="AP39" s="16">
        <f t="shared" si="4"/>
        <v>1.3458683383241299</v>
      </c>
      <c r="AQ39" s="16">
        <f t="shared" si="4"/>
        <v>1.3727857050906125</v>
      </c>
      <c r="AR39" s="16">
        <f t="shared" si="4"/>
        <v>1.4002414191924248</v>
      </c>
      <c r="AS39" s="16">
        <f t="shared" si="4"/>
        <v>1.4282462475762734</v>
      </c>
      <c r="AT39" s="16">
        <f t="shared" si="4"/>
        <v>1.4568111725277988</v>
      </c>
      <c r="AU39" s="16">
        <f t="shared" si="4"/>
        <v>1.4859473959783549</v>
      </c>
      <c r="AV39" s="16">
        <f t="shared" si="4"/>
        <v>1.5156663438979221</v>
      </c>
      <c r="AW39" s="16">
        <f t="shared" si="4"/>
        <v>1.5459796707758806</v>
      </c>
      <c r="AX39" s="16">
        <f t="shared" si="4"/>
        <v>1.5768992641913981</v>
      </c>
      <c r="AY39" s="16">
        <f t="shared" si="4"/>
        <v>1.6084372494752261</v>
      </c>
      <c r="AZ39" s="16">
        <f t="shared" si="4"/>
        <v>1.6406059944647307</v>
      </c>
      <c r="BA39" s="16">
        <f t="shared" si="4"/>
        <v>1.6734181143540252</v>
      </c>
      <c r="BB39" s="16">
        <f t="shared" si="4"/>
        <v>1.7068864766411058</v>
      </c>
      <c r="BC39" s="16">
        <f t="shared" si="4"/>
        <v>1.7410242061739281</v>
      </c>
      <c r="BD39" s="16">
        <f t="shared" si="4"/>
        <v>1.7758446902974065</v>
      </c>
      <c r="BE39" s="16">
        <f t="shared" si="4"/>
        <v>1.8113615841033548</v>
      </c>
      <c r="BG39" s="39"/>
      <c r="BH39" s="39"/>
      <c r="BI39" s="39"/>
      <c r="BJ39" s="39"/>
      <c r="BK39" s="39"/>
      <c r="BL39" s="39"/>
      <c r="BM39" s="39"/>
    </row>
    <row r="40" spans="1:66">
      <c r="D40" s="18"/>
      <c r="E40" s="18"/>
      <c r="F40" s="18"/>
      <c r="G40" s="17"/>
      <c r="I40"/>
    </row>
    <row r="41" spans="1:66" s="25" customFormat="1" ht="14" thickBot="1">
      <c r="E41" s="25" t="s">
        <v>389</v>
      </c>
      <c r="F41" s="25" t="s">
        <v>172</v>
      </c>
    </row>
    <row r="42" spans="1:66">
      <c r="D42" s="18"/>
      <c r="E42" s="18"/>
      <c r="F42" s="18"/>
      <c r="G42" s="17"/>
    </row>
    <row r="43" spans="1:66" ht="13">
      <c r="D43" s="18"/>
      <c r="E43" s="18"/>
      <c r="F43" s="26" t="s">
        <v>168</v>
      </c>
      <c r="G43" s="17"/>
    </row>
    <row r="44" spans="1:66">
      <c r="D44" s="18"/>
      <c r="E44" s="18"/>
      <c r="F44" s="18"/>
      <c r="G44" s="17"/>
    </row>
    <row r="45" spans="1:66">
      <c r="A45" s="19">
        <f>IF(MIN(AA45:BE45)&lt;0,1,0)</f>
        <v>0</v>
      </c>
      <c r="B45"/>
      <c r="D45" s="18"/>
      <c r="E45" s="18"/>
      <c r="F45" s="18" t="s">
        <v>169</v>
      </c>
      <c r="G45" s="17" t="s">
        <v>7</v>
      </c>
      <c r="I45"/>
      <c r="AA45" s="16">
        <f>IF(AA$5=1,1,Z45)/(1+AA26)</f>
        <v>1</v>
      </c>
      <c r="AB45" s="16">
        <f t="shared" ref="AB45:BE45" si="5">IF(AB$5=1,1,AA45)/(1+AB26)</f>
        <v>0.98716683119447202</v>
      </c>
      <c r="AC45" s="16">
        <f t="shared" si="5"/>
        <v>0.97066551739869433</v>
      </c>
      <c r="AD45" s="16">
        <f t="shared" si="5"/>
        <v>0.95256674916456763</v>
      </c>
      <c r="AE45" s="16">
        <f t="shared" si="5"/>
        <v>0.93480544569633728</v>
      </c>
      <c r="AF45" s="16">
        <f t="shared" si="5"/>
        <v>0.91647592715327186</v>
      </c>
      <c r="AG45" s="16">
        <f t="shared" si="5"/>
        <v>0.89850581093458026</v>
      </c>
      <c r="AH45" s="16">
        <f t="shared" si="5"/>
        <v>0.880888049935863</v>
      </c>
      <c r="AI45" s="16">
        <f t="shared" si="5"/>
        <v>0.86361573523123825</v>
      </c>
      <c r="AJ45" s="16">
        <f t="shared" si="5"/>
        <v>0.84668209336395905</v>
      </c>
      <c r="AK45" s="16">
        <f t="shared" si="5"/>
        <v>0.83008048369015597</v>
      </c>
      <c r="AL45" s="16">
        <f t="shared" si="5"/>
        <v>0.81380439577466268</v>
      </c>
      <c r="AM45" s="16">
        <f t="shared" si="5"/>
        <v>0.79784744683790454</v>
      </c>
      <c r="AN45" s="16">
        <f t="shared" si="5"/>
        <v>0.78220337925284755</v>
      </c>
      <c r="AO45" s="16">
        <f t="shared" si="5"/>
        <v>0.76686605809102704</v>
      </c>
      <c r="AP45" s="16">
        <f t="shared" si="5"/>
        <v>0.75182946871669321</v>
      </c>
      <c r="AQ45" s="16">
        <f t="shared" si="5"/>
        <v>0.73708771442813059</v>
      </c>
      <c r="AR45" s="16">
        <f t="shared" si="5"/>
        <v>0.72263501414522602</v>
      </c>
      <c r="AS45" s="16">
        <f t="shared" si="5"/>
        <v>0.70846570014237842</v>
      </c>
      <c r="AT45" s="16">
        <f t="shared" si="5"/>
        <v>0.69457421582586121</v>
      </c>
      <c r="AU45" s="16">
        <f t="shared" si="5"/>
        <v>0.6809551135547659</v>
      </c>
      <c r="AV45" s="16">
        <f t="shared" si="5"/>
        <v>0.66760305250467245</v>
      </c>
      <c r="AW45" s="16">
        <f t="shared" si="5"/>
        <v>0.65451279657320827</v>
      </c>
      <c r="AX45" s="16">
        <f t="shared" si="5"/>
        <v>0.6416792123266748</v>
      </c>
      <c r="AY45" s="16">
        <f t="shared" si="5"/>
        <v>0.62909726698693602</v>
      </c>
      <c r="AZ45" s="16">
        <f t="shared" si="5"/>
        <v>0.61676202645778044</v>
      </c>
      <c r="BA45" s="16">
        <f t="shared" si="5"/>
        <v>0.60466865338998077</v>
      </c>
      <c r="BB45" s="16">
        <f t="shared" si="5"/>
        <v>0.59281240528429491</v>
      </c>
      <c r="BC45" s="16">
        <f t="shared" si="5"/>
        <v>0.58118863263166165</v>
      </c>
      <c r="BD45" s="16">
        <f t="shared" si="5"/>
        <v>0.56979277708986431</v>
      </c>
      <c r="BE45" s="16">
        <f t="shared" si="5"/>
        <v>0.55862036969594542</v>
      </c>
      <c r="BG45" s="39"/>
      <c r="BH45" s="39"/>
      <c r="BI45" s="39"/>
      <c r="BJ45" s="39"/>
      <c r="BK45" s="39"/>
      <c r="BL45" s="39"/>
      <c r="BM45" s="39"/>
    </row>
    <row r="46" spans="1:66">
      <c r="A46" s="19">
        <f>IF(MIN(AA46:BE46)&lt;0,1,0)</f>
        <v>0</v>
      </c>
      <c r="D46" s="18"/>
      <c r="E46" s="18"/>
      <c r="F46" s="18" t="s">
        <v>170</v>
      </c>
      <c r="G46" s="17" t="s">
        <v>7</v>
      </c>
      <c r="I46"/>
      <c r="AA46" s="16">
        <f t="shared" ref="AA46:BE46" si="6">IF(AA$5=1,1,Z46)/(1+AA27)</f>
        <v>1</v>
      </c>
      <c r="AB46" s="16">
        <f t="shared" si="6"/>
        <v>0.96618357487922713</v>
      </c>
      <c r="AC46" s="16">
        <f t="shared" si="6"/>
        <v>0.93351070036640305</v>
      </c>
      <c r="AD46" s="16">
        <f t="shared" si="6"/>
        <v>0.90194270566802237</v>
      </c>
      <c r="AE46" s="16">
        <f t="shared" si="6"/>
        <v>0.87144222769857238</v>
      </c>
      <c r="AF46" s="16">
        <f t="shared" si="6"/>
        <v>0.84197316685852408</v>
      </c>
      <c r="AG46" s="16">
        <f t="shared" si="6"/>
        <v>0.81350064430775282</v>
      </c>
      <c r="AH46" s="16">
        <f t="shared" si="6"/>
        <v>0.78599096068381924</v>
      </c>
      <c r="AI46" s="16">
        <f t="shared" si="6"/>
        <v>0.75941155621625056</v>
      </c>
      <c r="AJ46" s="16">
        <f t="shared" si="6"/>
        <v>0.73373097218961414</v>
      </c>
      <c r="AK46" s="16">
        <f t="shared" si="6"/>
        <v>0.70891881370977217</v>
      </c>
      <c r="AL46" s="16">
        <f t="shared" si="6"/>
        <v>0.68494571372924851</v>
      </c>
      <c r="AM46" s="16">
        <f t="shared" si="6"/>
        <v>0.66178329828912907</v>
      </c>
      <c r="AN46" s="16">
        <f t="shared" si="6"/>
        <v>0.63940415293635666</v>
      </c>
      <c r="AO46" s="16">
        <f t="shared" si="6"/>
        <v>0.61778179027667313</v>
      </c>
      <c r="AP46" s="16">
        <f t="shared" si="6"/>
        <v>0.59689061862480497</v>
      </c>
      <c r="AQ46" s="16">
        <f t="shared" si="6"/>
        <v>0.57670591171478747</v>
      </c>
      <c r="AR46" s="16">
        <f t="shared" si="6"/>
        <v>0.55720377943457733</v>
      </c>
      <c r="AS46" s="16">
        <f t="shared" si="6"/>
        <v>0.53836113955031628</v>
      </c>
      <c r="AT46" s="16">
        <f t="shared" si="6"/>
        <v>0.520155690386779</v>
      </c>
      <c r="AU46" s="16">
        <f t="shared" si="6"/>
        <v>0.50256588443167061</v>
      </c>
      <c r="AV46" s="16">
        <f t="shared" si="6"/>
        <v>0.48557090283253201</v>
      </c>
      <c r="AW46" s="16">
        <f t="shared" si="6"/>
        <v>0.46915063075606961</v>
      </c>
      <c r="AX46" s="16">
        <f t="shared" si="6"/>
        <v>0.45328563358074364</v>
      </c>
      <c r="AY46" s="16">
        <f t="shared" si="6"/>
        <v>0.43795713389443836</v>
      </c>
      <c r="AZ46" s="16">
        <f t="shared" si="6"/>
        <v>0.42314698926998878</v>
      </c>
      <c r="BA46" s="16">
        <f t="shared" si="6"/>
        <v>0.40883767079225974</v>
      </c>
      <c r="BB46" s="16">
        <f t="shared" si="6"/>
        <v>0.39501224231136212</v>
      </c>
      <c r="BC46" s="16">
        <f t="shared" si="6"/>
        <v>0.38165434039745133</v>
      </c>
      <c r="BD46" s="16">
        <f t="shared" si="6"/>
        <v>0.36874815497338298</v>
      </c>
      <c r="BE46" s="16">
        <f t="shared" si="6"/>
        <v>0.35800791744988636</v>
      </c>
      <c r="BG46" s="39"/>
      <c r="BH46" s="39"/>
      <c r="BI46" s="39"/>
      <c r="BJ46" s="39"/>
      <c r="BK46" s="39"/>
      <c r="BL46" s="39"/>
      <c r="BM46" s="39"/>
    </row>
    <row r="47" spans="1:66">
      <c r="D47" s="18"/>
      <c r="E47" s="18"/>
      <c r="F47" s="18"/>
      <c r="G47" s="17"/>
    </row>
    <row r="48" spans="1:66" ht="16">
      <c r="A48" s="24"/>
      <c r="B48" s="24"/>
      <c r="C48" s="24"/>
      <c r="D48" s="24" t="s">
        <v>8</v>
      </c>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4"/>
      <c r="AW48" s="24"/>
      <c r="AX48" s="24"/>
      <c r="AY48" s="24"/>
      <c r="AZ48" s="24"/>
      <c r="BA48" s="24"/>
      <c r="BB48" s="24"/>
      <c r="BC48" s="24"/>
      <c r="BD48" s="24"/>
      <c r="BE48" s="24"/>
      <c r="BF48" s="24"/>
      <c r="BG48" s="24"/>
      <c r="BH48" s="24"/>
      <c r="BI48" s="24"/>
      <c r="BJ48" s="24"/>
      <c r="BK48" s="24"/>
      <c r="BL48" s="24"/>
      <c r="BM48" s="24"/>
      <c r="BN48" s="24"/>
    </row>
  </sheetData>
  <sheetProtection algorithmName="SHA-512" hashValue="HR5YthLx3ymQV3/IMG3hVQDV+GU8wZ2BbyZs2QjJk9Z2Gf9bebvSaj/1acuexTJC+wVLlThvFGZq95XhYEZD7A==" saltValue="tPw6rx3+YrNGTe4bbRnovQ==" spinCount="100000" sheet="1" objects="1" scenarios="1" formatColumns="0" formatRows="0"/>
  <conditionalFormatting sqref="C5:F5">
    <cfRule type="expression" dxfId="23" priority="1">
      <formula>IF(AND(sysChk=0,sysWarn=0),1,0)</formula>
    </cfRule>
    <cfRule type="expression" dxfId="22" priority="2">
      <formula>IF(AND(sysChk=0,sysWarn&lt;&gt;0),1,0)</formula>
    </cfRule>
    <cfRule type="expression" dxfId="21" priority="3">
      <formula>IF(sysChk&lt;&gt;0,1,0)</formula>
    </cfRule>
  </conditionalFormatting>
  <pageMargins left="0.70866141732283472" right="0.70866141732283472" top="0.74803149606299213" bottom="0.74803149606299213" header="0.31496062992125984" footer="0.31496062992125984"/>
  <pageSetup paperSize="9" scale="26" orientation="landscape" r:id="rId1"/>
  <headerFooter>
    <oddFooter>&amp;F</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6FF76-7F40-41D7-AD9F-B220F3C1EC36}">
  <sheetPr codeName="Sheet14">
    <tabColor rgb="FF00B050"/>
    <pageSetUpPr fitToPage="1"/>
  </sheetPr>
  <dimension ref="A1:BR101"/>
  <sheetViews>
    <sheetView showGridLines="0" zoomScale="80" zoomScaleNormal="80" workbookViewId="0">
      <pane xSplit="26" ySplit="9" topLeftCell="AA10" activePane="bottomRight" state="frozen"/>
      <selection pane="topRight"/>
      <selection pane="bottomLeft"/>
      <selection pane="bottomRight"/>
    </sheetView>
  </sheetViews>
  <sheetFormatPr baseColWidth="10" defaultColWidth="0" defaultRowHeight="12" outlineLevelCol="1"/>
  <cols>
    <col min="1" max="2" width="5.796875" style="40" customWidth="1"/>
    <col min="3" max="3" width="8" style="40" bestFit="1" customWidth="1"/>
    <col min="4" max="4" width="3" style="40" customWidth="1"/>
    <col min="5" max="5" width="3.796875" style="40" customWidth="1"/>
    <col min="6" max="6" width="39.59765625" style="40" bestFit="1" customWidth="1"/>
    <col min="7" max="7" width="8.796875" style="40" bestFit="1" customWidth="1"/>
    <col min="8" max="8" width="2.19921875" style="40" customWidth="1"/>
    <col min="9" max="9" width="12.59765625" style="40" bestFit="1" customWidth="1"/>
    <col min="10" max="10" width="2.19921875" style="40" customWidth="1"/>
    <col min="11" max="11" width="14.796875" style="40" bestFit="1" customWidth="1"/>
    <col min="12" max="24" width="2.19921875" style="40" hidden="1" customWidth="1" outlineLevel="1"/>
    <col min="25" max="25" width="2.19921875" style="40" customWidth="1" collapsed="1"/>
    <col min="26" max="26" width="10.796875" style="40" customWidth="1"/>
    <col min="27" max="65" width="13.796875" style="40" customWidth="1"/>
    <col min="66" max="66" width="8.796875" style="40" hidden="1" customWidth="1"/>
    <col min="67" max="70" width="0" style="40" hidden="1" customWidth="1"/>
    <col min="71" max="16384" width="8.796875" style="40" hidden="1"/>
  </cols>
  <sheetData>
    <row r="1" spans="1:66">
      <c r="A1" s="95"/>
      <c r="B1" s="95"/>
      <c r="C1" s="96" t="s">
        <v>436</v>
      </c>
      <c r="D1" s="95"/>
      <c r="E1" s="95"/>
      <c r="F1" s="95"/>
      <c r="G1" s="95"/>
      <c r="H1" s="95"/>
      <c r="I1" s="95"/>
      <c r="J1" s="95"/>
      <c r="K1" s="95"/>
      <c r="L1" s="95"/>
      <c r="M1" s="95"/>
      <c r="N1" s="95"/>
      <c r="O1" s="95"/>
      <c r="P1" s="95"/>
      <c r="Q1" s="95"/>
      <c r="R1" s="95"/>
      <c r="S1" s="95"/>
      <c r="T1" s="95"/>
      <c r="U1" s="95"/>
      <c r="V1" s="95"/>
      <c r="W1" s="95"/>
      <c r="X1" s="95"/>
      <c r="Y1" s="95"/>
      <c r="Z1" s="95"/>
      <c r="AA1" s="95"/>
      <c r="AB1" s="95"/>
      <c r="AC1" s="95"/>
      <c r="AD1" s="95"/>
      <c r="AE1" s="95"/>
      <c r="AF1" s="95"/>
      <c r="AG1" s="95"/>
      <c r="AH1" s="95"/>
      <c r="AI1" s="95"/>
      <c r="AJ1" s="95"/>
      <c r="AK1" s="95"/>
      <c r="AL1" s="95"/>
      <c r="AM1" s="95"/>
      <c r="AN1" s="95"/>
      <c r="AO1" s="95"/>
      <c r="AP1" s="95"/>
      <c r="AQ1" s="95"/>
      <c r="AR1" s="95"/>
      <c r="AS1" s="95"/>
      <c r="AT1" s="95"/>
      <c r="AU1" s="95"/>
      <c r="AV1" s="95"/>
      <c r="AW1" s="95"/>
      <c r="AX1" s="95"/>
      <c r="AY1" s="95"/>
      <c r="AZ1" s="95"/>
      <c r="BA1" s="95"/>
      <c r="BB1" s="95"/>
      <c r="BC1" s="95"/>
      <c r="BD1" s="95"/>
      <c r="BE1" s="95"/>
      <c r="BF1" s="95"/>
      <c r="BG1" s="95"/>
      <c r="BH1" s="95"/>
      <c r="BI1" s="95"/>
      <c r="BJ1" s="95"/>
      <c r="BK1" s="95"/>
      <c r="BL1" s="95"/>
      <c r="BM1" s="95"/>
      <c r="BN1" s="21"/>
    </row>
    <row r="2" spans="1:66" ht="13">
      <c r="A2" s="95"/>
      <c r="B2" s="95"/>
      <c r="C2" s="98" t="str">
        <f>cstProjectName</f>
        <v>Should Cost Modelling Case Study - Illustrative SCM</v>
      </c>
      <c r="D2" s="95"/>
      <c r="E2" s="95"/>
      <c r="F2" s="95"/>
      <c r="G2" s="95"/>
      <c r="H2" s="95"/>
      <c r="I2" s="95"/>
      <c r="J2" s="95"/>
      <c r="K2" s="95"/>
      <c r="L2" s="95"/>
      <c r="M2" s="95"/>
      <c r="N2" s="95"/>
      <c r="O2" s="95"/>
      <c r="P2" s="95"/>
      <c r="Q2" s="95"/>
      <c r="R2" s="95"/>
      <c r="S2" s="95"/>
      <c r="T2" s="95"/>
      <c r="U2" s="95"/>
      <c r="V2" s="95"/>
      <c r="W2" s="95"/>
      <c r="X2" s="95"/>
      <c r="Y2" s="95"/>
      <c r="Z2" s="105" t="str">
        <f>SysTime!Z2</f>
        <v>Period Start</v>
      </c>
      <c r="AA2" s="57">
        <f>SysTime!AA2</f>
        <v>44652</v>
      </c>
      <c r="AB2" s="57">
        <f>SysTime!AB2</f>
        <v>45017</v>
      </c>
      <c r="AC2" s="57">
        <f>SysTime!AC2</f>
        <v>45383</v>
      </c>
      <c r="AD2" s="57">
        <f>SysTime!AD2</f>
        <v>45748</v>
      </c>
      <c r="AE2" s="57">
        <f>SysTime!AE2</f>
        <v>46113</v>
      </c>
      <c r="AF2" s="57">
        <f>SysTime!AF2</f>
        <v>46478</v>
      </c>
      <c r="AG2" s="57">
        <f>SysTime!AG2</f>
        <v>46844</v>
      </c>
      <c r="AH2" s="57">
        <f>SysTime!AH2</f>
        <v>47209</v>
      </c>
      <c r="AI2" s="57">
        <f>SysTime!AI2</f>
        <v>47574</v>
      </c>
      <c r="AJ2" s="57">
        <f>SysTime!AJ2</f>
        <v>47939</v>
      </c>
      <c r="AK2" s="57">
        <f>SysTime!AK2</f>
        <v>48305</v>
      </c>
      <c r="AL2" s="57">
        <f>SysTime!AL2</f>
        <v>48670</v>
      </c>
      <c r="AM2" s="57">
        <f>SysTime!AM2</f>
        <v>49035</v>
      </c>
      <c r="AN2" s="57">
        <f>SysTime!AN2</f>
        <v>49400</v>
      </c>
      <c r="AO2" s="57">
        <f>SysTime!AO2</f>
        <v>49766</v>
      </c>
      <c r="AP2" s="57">
        <f>SysTime!AP2</f>
        <v>50131</v>
      </c>
      <c r="AQ2" s="57">
        <f>SysTime!AQ2</f>
        <v>50496</v>
      </c>
      <c r="AR2" s="57">
        <f>SysTime!AR2</f>
        <v>50861</v>
      </c>
      <c r="AS2" s="57">
        <f>SysTime!AS2</f>
        <v>51227</v>
      </c>
      <c r="AT2" s="57">
        <f>SysTime!AT2</f>
        <v>51592</v>
      </c>
      <c r="AU2" s="57">
        <f>SysTime!AU2</f>
        <v>51957</v>
      </c>
      <c r="AV2" s="57">
        <f>SysTime!AV2</f>
        <v>52322</v>
      </c>
      <c r="AW2" s="57">
        <f>SysTime!AW2</f>
        <v>52688</v>
      </c>
      <c r="AX2" s="57">
        <f>SysTime!AX2</f>
        <v>53053</v>
      </c>
      <c r="AY2" s="57">
        <f>SysTime!AY2</f>
        <v>53418</v>
      </c>
      <c r="AZ2" s="57">
        <f>SysTime!AZ2</f>
        <v>53783</v>
      </c>
      <c r="BA2" s="57">
        <f>SysTime!BA2</f>
        <v>54149</v>
      </c>
      <c r="BB2" s="57">
        <f>SysTime!BB2</f>
        <v>54514</v>
      </c>
      <c r="BC2" s="57">
        <f>SysTime!BC2</f>
        <v>54879</v>
      </c>
      <c r="BD2" s="57">
        <f>SysTime!BD2</f>
        <v>55244</v>
      </c>
      <c r="BE2" s="57">
        <f>SysTime!BE2</f>
        <v>55610</v>
      </c>
      <c r="BF2" s="58"/>
      <c r="BG2" s="59">
        <f>SysTime!BG2</f>
        <v>44652</v>
      </c>
      <c r="BH2" s="59">
        <f>SysTime!BH2</f>
        <v>45017</v>
      </c>
      <c r="BI2" s="59">
        <f>SysTime!BI2</f>
        <v>46844</v>
      </c>
      <c r="BJ2" s="59">
        <f>SysTime!BJ2</f>
        <v>48670</v>
      </c>
      <c r="BK2" s="59">
        <f>SysTime!BK2</f>
        <v>50496</v>
      </c>
      <c r="BL2" s="59">
        <f>SysTime!BL2</f>
        <v>52322</v>
      </c>
      <c r="BM2" s="59">
        <f>SysTime!BM2</f>
        <v>54149</v>
      </c>
      <c r="BN2" s="33"/>
    </row>
    <row r="3" spans="1:66" ht="13">
      <c r="A3" s="95"/>
      <c r="B3" s="95"/>
      <c r="C3" s="100" t="str">
        <f ca="1">MID(CELL("filename",A1),FIND("]",CELL("filename",A1))+1,256)&amp;" Sheet"</f>
        <v>cVolumetrics Sheet</v>
      </c>
      <c r="D3" s="95"/>
      <c r="E3" s="95"/>
      <c r="F3" s="95"/>
      <c r="G3" s="95"/>
      <c r="H3" s="95"/>
      <c r="I3" s="95"/>
      <c r="J3" s="95"/>
      <c r="K3" s="95"/>
      <c r="L3" s="95"/>
      <c r="M3" s="95"/>
      <c r="N3" s="95"/>
      <c r="O3" s="95"/>
      <c r="P3" s="95"/>
      <c r="Q3" s="95"/>
      <c r="R3" s="95"/>
      <c r="S3" s="95"/>
      <c r="T3" s="95"/>
      <c r="U3" s="95"/>
      <c r="V3" s="95"/>
      <c r="W3" s="95"/>
      <c r="X3" s="95"/>
      <c r="Y3" s="95"/>
      <c r="Z3" s="105" t="str">
        <f>SysTime!Z3</f>
        <v>Period End</v>
      </c>
      <c r="AA3" s="57">
        <f>SysTime!AA3</f>
        <v>45016</v>
      </c>
      <c r="AB3" s="57">
        <f>SysTime!AB3</f>
        <v>45382</v>
      </c>
      <c r="AC3" s="57">
        <f>SysTime!AC3</f>
        <v>45747</v>
      </c>
      <c r="AD3" s="57">
        <f>SysTime!AD3</f>
        <v>46112</v>
      </c>
      <c r="AE3" s="57">
        <f>SysTime!AE3</f>
        <v>46477</v>
      </c>
      <c r="AF3" s="57">
        <f>SysTime!AF3</f>
        <v>46843</v>
      </c>
      <c r="AG3" s="57">
        <f>SysTime!AG3</f>
        <v>47208</v>
      </c>
      <c r="AH3" s="57">
        <f>SysTime!AH3</f>
        <v>47573</v>
      </c>
      <c r="AI3" s="57">
        <f>SysTime!AI3</f>
        <v>47938</v>
      </c>
      <c r="AJ3" s="57">
        <f>SysTime!AJ3</f>
        <v>48304</v>
      </c>
      <c r="AK3" s="57">
        <f>SysTime!AK3</f>
        <v>48669</v>
      </c>
      <c r="AL3" s="57">
        <f>SysTime!AL3</f>
        <v>49034</v>
      </c>
      <c r="AM3" s="57">
        <f>SysTime!AM3</f>
        <v>49399</v>
      </c>
      <c r="AN3" s="57">
        <f>SysTime!AN3</f>
        <v>49765</v>
      </c>
      <c r="AO3" s="57">
        <f>SysTime!AO3</f>
        <v>50130</v>
      </c>
      <c r="AP3" s="57">
        <f>SysTime!AP3</f>
        <v>50495</v>
      </c>
      <c r="AQ3" s="57">
        <f>SysTime!AQ3</f>
        <v>50860</v>
      </c>
      <c r="AR3" s="57">
        <f>SysTime!AR3</f>
        <v>51226</v>
      </c>
      <c r="AS3" s="57">
        <f>SysTime!AS3</f>
        <v>51591</v>
      </c>
      <c r="AT3" s="57">
        <f>SysTime!AT3</f>
        <v>51956</v>
      </c>
      <c r="AU3" s="57">
        <f>SysTime!AU3</f>
        <v>52321</v>
      </c>
      <c r="AV3" s="57">
        <f>SysTime!AV3</f>
        <v>52687</v>
      </c>
      <c r="AW3" s="57">
        <f>SysTime!AW3</f>
        <v>53052</v>
      </c>
      <c r="AX3" s="57">
        <f>SysTime!AX3</f>
        <v>53417</v>
      </c>
      <c r="AY3" s="57">
        <f>SysTime!AY3</f>
        <v>53782</v>
      </c>
      <c r="AZ3" s="57">
        <f>SysTime!AZ3</f>
        <v>54148</v>
      </c>
      <c r="BA3" s="57">
        <f>SysTime!BA3</f>
        <v>54513</v>
      </c>
      <c r="BB3" s="57">
        <f>SysTime!BB3</f>
        <v>54878</v>
      </c>
      <c r="BC3" s="57">
        <f>SysTime!BC3</f>
        <v>55243</v>
      </c>
      <c r="BD3" s="57">
        <f>SysTime!BD3</f>
        <v>55609</v>
      </c>
      <c r="BE3" s="57">
        <f>SysTime!BE3</f>
        <v>55974</v>
      </c>
      <c r="BF3" s="58"/>
      <c r="BG3" s="59">
        <f>SysTime!BG3</f>
        <v>45016</v>
      </c>
      <c r="BH3" s="59">
        <f>SysTime!BH3</f>
        <v>46843</v>
      </c>
      <c r="BI3" s="59">
        <f>SysTime!BI3</f>
        <v>48669</v>
      </c>
      <c r="BJ3" s="59">
        <f>SysTime!BJ3</f>
        <v>50495</v>
      </c>
      <c r="BK3" s="59">
        <f>SysTime!BK3</f>
        <v>52321</v>
      </c>
      <c r="BL3" s="59">
        <f>SysTime!BL3</f>
        <v>54148</v>
      </c>
      <c r="BM3" s="59">
        <f>SysTime!BM3</f>
        <v>55974</v>
      </c>
      <c r="BN3" s="33"/>
    </row>
    <row r="4" spans="1:66">
      <c r="A4" s="95"/>
      <c r="B4" s="95"/>
      <c r="C4" s="96" t="str">
        <f>IF(ISBLANK(cstProtectiveMarking),"",cstProtectiveMarking)</f>
        <v>Not Protectively Marked</v>
      </c>
      <c r="D4" s="95"/>
      <c r="E4" s="95"/>
      <c r="F4" s="95"/>
      <c r="G4" s="95"/>
      <c r="H4" s="95"/>
      <c r="I4" s="95"/>
      <c r="J4" s="95"/>
      <c r="K4" s="95"/>
      <c r="L4" s="95"/>
      <c r="M4" s="95"/>
      <c r="N4" s="95"/>
      <c r="O4" s="95"/>
      <c r="P4" s="95"/>
      <c r="Q4" s="95"/>
      <c r="R4" s="95"/>
      <c r="S4" s="95"/>
      <c r="T4" s="95"/>
      <c r="U4" s="95"/>
      <c r="V4" s="95"/>
      <c r="W4" s="95"/>
      <c r="X4" s="95"/>
      <c r="Y4" s="95"/>
      <c r="Z4" s="105" t="str">
        <f>SysTime!Z4</f>
        <v>Timeline</v>
      </c>
      <c r="AA4" s="60" t="str">
        <f>SysTime!AA4</f>
        <v>Annual</v>
      </c>
      <c r="AB4" s="60" t="str">
        <f>SysTime!AB4</f>
        <v>Annual</v>
      </c>
      <c r="AC4" s="60" t="str">
        <f>SysTime!AC4</f>
        <v>Annual</v>
      </c>
      <c r="AD4" s="60" t="str">
        <f>SysTime!AD4</f>
        <v>Annual</v>
      </c>
      <c r="AE4" s="60" t="str">
        <f>SysTime!AE4</f>
        <v>Annual</v>
      </c>
      <c r="AF4" s="60" t="str">
        <f>SysTime!AF4</f>
        <v>Annual</v>
      </c>
      <c r="AG4" s="60" t="str">
        <f>SysTime!AG4</f>
        <v>Annual</v>
      </c>
      <c r="AH4" s="60" t="str">
        <f>SysTime!AH4</f>
        <v>Annual</v>
      </c>
      <c r="AI4" s="60" t="str">
        <f>SysTime!AI4</f>
        <v>Annual</v>
      </c>
      <c r="AJ4" s="60" t="str">
        <f>SysTime!AJ4</f>
        <v>Annual</v>
      </c>
      <c r="AK4" s="60" t="str">
        <f>SysTime!AK4</f>
        <v>Annual</v>
      </c>
      <c r="AL4" s="60" t="str">
        <f>SysTime!AL4</f>
        <v>Annual</v>
      </c>
      <c r="AM4" s="60" t="str">
        <f>SysTime!AM4</f>
        <v>Annual</v>
      </c>
      <c r="AN4" s="60" t="str">
        <f>SysTime!AN4</f>
        <v>Annual</v>
      </c>
      <c r="AO4" s="60" t="str">
        <f>SysTime!AO4</f>
        <v>Annual</v>
      </c>
      <c r="AP4" s="60" t="str">
        <f>SysTime!AP4</f>
        <v>Annual</v>
      </c>
      <c r="AQ4" s="60" t="str">
        <f>SysTime!AQ4</f>
        <v>Annual</v>
      </c>
      <c r="AR4" s="60" t="str">
        <f>SysTime!AR4</f>
        <v>Annual</v>
      </c>
      <c r="AS4" s="60" t="str">
        <f>SysTime!AS4</f>
        <v>Annual</v>
      </c>
      <c r="AT4" s="60" t="str">
        <f>SysTime!AT4</f>
        <v>Annual</v>
      </c>
      <c r="AU4" s="60" t="str">
        <f>SysTime!AU4</f>
        <v>Annual</v>
      </c>
      <c r="AV4" s="60" t="str">
        <f>SysTime!AV4</f>
        <v>Annual</v>
      </c>
      <c r="AW4" s="60" t="str">
        <f>SysTime!AW4</f>
        <v>Annual</v>
      </c>
      <c r="AX4" s="60" t="str">
        <f>SysTime!AX4</f>
        <v>Annual</v>
      </c>
      <c r="AY4" s="60" t="str">
        <f>SysTime!AY4</f>
        <v>Annual</v>
      </c>
      <c r="AZ4" s="60" t="str">
        <f>SysTime!AZ4</f>
        <v>Annual</v>
      </c>
      <c r="BA4" s="60" t="str">
        <f>SysTime!BA4</f>
        <v>Annual</v>
      </c>
      <c r="BB4" s="60" t="str">
        <f>SysTime!BB4</f>
        <v>Annual</v>
      </c>
      <c r="BC4" s="60" t="str">
        <f>SysTime!BC4</f>
        <v>Annual</v>
      </c>
      <c r="BD4" s="60" t="str">
        <f>SysTime!BD4</f>
        <v>Annual</v>
      </c>
      <c r="BE4" s="60" t="str">
        <f>SysTime!BE4</f>
        <v>Annual</v>
      </c>
      <c r="BF4" s="61"/>
      <c r="BG4" s="62" t="str">
        <f>SysTime!BG4</f>
        <v>Annual</v>
      </c>
      <c r="BH4" s="62" t="str">
        <f>SysTime!BH4</f>
        <v>5 Yearly</v>
      </c>
      <c r="BI4" s="62" t="str">
        <f>SysTime!BI4</f>
        <v>5 Yearly</v>
      </c>
      <c r="BJ4" s="62" t="str">
        <f>SysTime!BJ4</f>
        <v>5 Yearly</v>
      </c>
      <c r="BK4" s="62" t="str">
        <f>SysTime!BK4</f>
        <v>5 Yearly</v>
      </c>
      <c r="BL4" s="62" t="str">
        <f>SysTime!BL4</f>
        <v>5 Yearly</v>
      </c>
      <c r="BM4" s="62" t="str">
        <f>SysTime!BM4</f>
        <v>5 Yearly</v>
      </c>
      <c r="BN4" s="34"/>
    </row>
    <row r="5" spans="1:66">
      <c r="A5" s="95"/>
      <c r="B5" s="95"/>
      <c r="C5" s="101" t="str">
        <f>HYPERLINK("#'Contents'!A1",sysChkWord)</f>
        <v>All Checks OK</v>
      </c>
      <c r="D5" s="101"/>
      <c r="E5" s="101"/>
      <c r="F5" s="101"/>
      <c r="G5" s="95"/>
      <c r="H5" s="95"/>
      <c r="I5" s="95"/>
      <c r="J5" s="95"/>
      <c r="K5" s="95"/>
      <c r="L5" s="95"/>
      <c r="M5" s="95"/>
      <c r="N5" s="95"/>
      <c r="O5" s="95"/>
      <c r="P5" s="95"/>
      <c r="Q5" s="95"/>
      <c r="R5" s="95"/>
      <c r="S5" s="95"/>
      <c r="T5" s="95"/>
      <c r="U5" s="95"/>
      <c r="V5" s="95"/>
      <c r="W5" s="95"/>
      <c r="X5" s="95"/>
      <c r="Y5" s="95"/>
      <c r="Z5" s="105" t="str">
        <f>SysTime!Z5</f>
        <v>Period index</v>
      </c>
      <c r="AA5" s="63">
        <f>SysTime!AA5</f>
        <v>1</v>
      </c>
      <c r="AB5" s="63">
        <f>SysTime!AB5</f>
        <v>2</v>
      </c>
      <c r="AC5" s="63">
        <f>SysTime!AC5</f>
        <v>3</v>
      </c>
      <c r="AD5" s="63">
        <f>SysTime!AD5</f>
        <v>4</v>
      </c>
      <c r="AE5" s="63">
        <f>SysTime!AE5</f>
        <v>5</v>
      </c>
      <c r="AF5" s="63">
        <f>SysTime!AF5</f>
        <v>6</v>
      </c>
      <c r="AG5" s="63">
        <f>SysTime!AG5</f>
        <v>7</v>
      </c>
      <c r="AH5" s="63">
        <f>SysTime!AH5</f>
        <v>8</v>
      </c>
      <c r="AI5" s="63">
        <f>SysTime!AI5</f>
        <v>9</v>
      </c>
      <c r="AJ5" s="63">
        <f>SysTime!AJ5</f>
        <v>10</v>
      </c>
      <c r="AK5" s="63">
        <f>SysTime!AK5</f>
        <v>11</v>
      </c>
      <c r="AL5" s="63">
        <f>SysTime!AL5</f>
        <v>12</v>
      </c>
      <c r="AM5" s="63">
        <f>SysTime!AM5</f>
        <v>13</v>
      </c>
      <c r="AN5" s="63">
        <f>SysTime!AN5</f>
        <v>14</v>
      </c>
      <c r="AO5" s="63">
        <f>SysTime!AO5</f>
        <v>15</v>
      </c>
      <c r="AP5" s="63">
        <f>SysTime!AP5</f>
        <v>16</v>
      </c>
      <c r="AQ5" s="63">
        <f>SysTime!AQ5</f>
        <v>17</v>
      </c>
      <c r="AR5" s="63">
        <f>SysTime!AR5</f>
        <v>18</v>
      </c>
      <c r="AS5" s="63">
        <f>SysTime!AS5</f>
        <v>19</v>
      </c>
      <c r="AT5" s="63">
        <f>SysTime!AT5</f>
        <v>20</v>
      </c>
      <c r="AU5" s="63">
        <f>SysTime!AU5</f>
        <v>21</v>
      </c>
      <c r="AV5" s="63">
        <f>SysTime!AV5</f>
        <v>22</v>
      </c>
      <c r="AW5" s="63">
        <f>SysTime!AW5</f>
        <v>23</v>
      </c>
      <c r="AX5" s="63">
        <f>SysTime!AX5</f>
        <v>24</v>
      </c>
      <c r="AY5" s="63">
        <f>SysTime!AY5</f>
        <v>25</v>
      </c>
      <c r="AZ5" s="63">
        <f>SysTime!AZ5</f>
        <v>26</v>
      </c>
      <c r="BA5" s="63">
        <f>SysTime!BA5</f>
        <v>27</v>
      </c>
      <c r="BB5" s="63">
        <f>SysTime!BB5</f>
        <v>28</v>
      </c>
      <c r="BC5" s="63">
        <f>SysTime!BC5</f>
        <v>29</v>
      </c>
      <c r="BD5" s="63">
        <f>SysTime!BD5</f>
        <v>30</v>
      </c>
      <c r="BE5" s="63">
        <f>SysTime!BE5</f>
        <v>31</v>
      </c>
      <c r="BF5" s="64"/>
      <c r="BG5" s="65">
        <f>SysTime!BG5</f>
        <v>1</v>
      </c>
      <c r="BH5" s="65">
        <f>SysTime!BH5</f>
        <v>2</v>
      </c>
      <c r="BI5" s="65">
        <f>SysTime!BI5</f>
        <v>3</v>
      </c>
      <c r="BJ5" s="65">
        <f>SysTime!BJ5</f>
        <v>4</v>
      </c>
      <c r="BK5" s="65">
        <f>SysTime!BK5</f>
        <v>5</v>
      </c>
      <c r="BL5" s="65">
        <f>SysTime!BL5</f>
        <v>6</v>
      </c>
      <c r="BM5" s="65">
        <f>SysTime!BM5</f>
        <v>7</v>
      </c>
      <c r="BN5" s="35"/>
    </row>
    <row r="6" spans="1:66" ht="13">
      <c r="A6" s="95"/>
      <c r="B6" s="102"/>
      <c r="C6" s="103" t="str">
        <f>HYPERLINK("#'Contents'!A1","Click for Contents")</f>
        <v>Click for Contents</v>
      </c>
      <c r="D6" s="101"/>
      <c r="E6" s="101"/>
      <c r="F6" s="101"/>
      <c r="G6" s="95"/>
      <c r="H6" s="95"/>
      <c r="I6" s="95"/>
      <c r="J6" s="95"/>
      <c r="K6" s="95"/>
      <c r="L6" s="95"/>
      <c r="M6" s="95"/>
      <c r="N6" s="95"/>
      <c r="O6" s="95"/>
      <c r="P6" s="95"/>
      <c r="Q6" s="95"/>
      <c r="R6" s="95"/>
      <c r="S6" s="95"/>
      <c r="T6" s="95"/>
      <c r="U6" s="95"/>
      <c r="V6" s="95"/>
      <c r="W6" s="95"/>
      <c r="X6" s="95"/>
      <c r="Y6" s="95"/>
      <c r="Z6" s="105" t="str">
        <f>SysTime!Z6</f>
        <v>Year index</v>
      </c>
      <c r="AA6" s="63">
        <f>SysTime!AA6</f>
        <v>1</v>
      </c>
      <c r="AB6" s="63">
        <f>SysTime!AB6</f>
        <v>2</v>
      </c>
      <c r="AC6" s="63">
        <f>SysTime!AC6</f>
        <v>3</v>
      </c>
      <c r="AD6" s="63">
        <f>SysTime!AD6</f>
        <v>4</v>
      </c>
      <c r="AE6" s="63">
        <f>SysTime!AE6</f>
        <v>5</v>
      </c>
      <c r="AF6" s="63">
        <f>SysTime!AF6</f>
        <v>6</v>
      </c>
      <c r="AG6" s="63">
        <f>SysTime!AG6</f>
        <v>7</v>
      </c>
      <c r="AH6" s="63">
        <f>SysTime!AH6</f>
        <v>8</v>
      </c>
      <c r="AI6" s="63">
        <f>SysTime!AI6</f>
        <v>9</v>
      </c>
      <c r="AJ6" s="63">
        <f>SysTime!AJ6</f>
        <v>10</v>
      </c>
      <c r="AK6" s="63">
        <f>SysTime!AK6</f>
        <v>11</v>
      </c>
      <c r="AL6" s="63">
        <f>SysTime!AL6</f>
        <v>12</v>
      </c>
      <c r="AM6" s="63">
        <f>SysTime!AM6</f>
        <v>13</v>
      </c>
      <c r="AN6" s="63">
        <f>SysTime!AN6</f>
        <v>14</v>
      </c>
      <c r="AO6" s="63">
        <f>SysTime!AO6</f>
        <v>15</v>
      </c>
      <c r="AP6" s="63">
        <f>SysTime!AP6</f>
        <v>16</v>
      </c>
      <c r="AQ6" s="63">
        <f>SysTime!AQ6</f>
        <v>17</v>
      </c>
      <c r="AR6" s="63">
        <f>SysTime!AR6</f>
        <v>18</v>
      </c>
      <c r="AS6" s="63">
        <f>SysTime!AS6</f>
        <v>19</v>
      </c>
      <c r="AT6" s="63">
        <f>SysTime!AT6</f>
        <v>20</v>
      </c>
      <c r="AU6" s="63">
        <f>SysTime!AU6</f>
        <v>21</v>
      </c>
      <c r="AV6" s="63">
        <f>SysTime!AV6</f>
        <v>22</v>
      </c>
      <c r="AW6" s="63">
        <f>SysTime!AW6</f>
        <v>23</v>
      </c>
      <c r="AX6" s="63">
        <f>SysTime!AX6</f>
        <v>24</v>
      </c>
      <c r="AY6" s="63">
        <f>SysTime!AY6</f>
        <v>25</v>
      </c>
      <c r="AZ6" s="63">
        <f>SysTime!AZ6</f>
        <v>26</v>
      </c>
      <c r="BA6" s="63">
        <f>SysTime!BA6</f>
        <v>27</v>
      </c>
      <c r="BB6" s="63">
        <f>SysTime!BB6</f>
        <v>28</v>
      </c>
      <c r="BC6" s="63">
        <f>SysTime!BC6</f>
        <v>29</v>
      </c>
      <c r="BD6" s="63">
        <f>SysTime!BD6</f>
        <v>30</v>
      </c>
      <c r="BE6" s="63">
        <f>SysTime!BE6</f>
        <v>31</v>
      </c>
      <c r="BF6" s="64"/>
      <c r="BG6" s="65">
        <f>SysTime!BG6</f>
        <v>0</v>
      </c>
      <c r="BH6" s="65">
        <f>SysTime!BH6</f>
        <v>0</v>
      </c>
      <c r="BI6" s="65">
        <f>SysTime!BI6</f>
        <v>0</v>
      </c>
      <c r="BJ6" s="65">
        <f>SysTime!BJ6</f>
        <v>0</v>
      </c>
      <c r="BK6" s="65">
        <f>SysTime!BK6</f>
        <v>0</v>
      </c>
      <c r="BL6" s="65">
        <f>SysTime!BL6</f>
        <v>0</v>
      </c>
      <c r="BM6" s="65">
        <f>SysTime!BM6</f>
        <v>0</v>
      </c>
      <c r="BN6" s="35"/>
    </row>
    <row r="7" spans="1:66">
      <c r="A7" s="95"/>
      <c r="B7" s="95"/>
      <c r="C7" s="95"/>
      <c r="D7" s="95"/>
      <c r="E7" s="95"/>
      <c r="F7" s="95"/>
      <c r="G7" s="95"/>
      <c r="H7" s="95"/>
      <c r="I7" s="95"/>
      <c r="J7" s="95"/>
      <c r="K7" s="95"/>
      <c r="L7" s="95"/>
      <c r="M7" s="95"/>
      <c r="N7" s="95"/>
      <c r="O7" s="95"/>
      <c r="P7" s="95"/>
      <c r="Q7" s="95"/>
      <c r="R7" s="95"/>
      <c r="S7" s="95"/>
      <c r="T7" s="95"/>
      <c r="U7" s="95"/>
      <c r="V7" s="95"/>
      <c r="W7" s="95"/>
      <c r="X7" s="95"/>
      <c r="Y7" s="95"/>
      <c r="Z7" s="105" t="str">
        <f>SysTime!Z7</f>
        <v>Relative period</v>
      </c>
      <c r="AA7" s="63">
        <f>SysTime!AA7</f>
        <v>1</v>
      </c>
      <c r="AB7" s="63">
        <f>SysTime!AB7</f>
        <v>2</v>
      </c>
      <c r="AC7" s="63">
        <f>SysTime!AC7</f>
        <v>3</v>
      </c>
      <c r="AD7" s="63">
        <f>SysTime!AD7</f>
        <v>4</v>
      </c>
      <c r="AE7" s="63">
        <f>SysTime!AE7</f>
        <v>5</v>
      </c>
      <c r="AF7" s="63">
        <f>SysTime!AF7</f>
        <v>6</v>
      </c>
      <c r="AG7" s="63">
        <f>SysTime!AG7</f>
        <v>7</v>
      </c>
      <c r="AH7" s="63">
        <f>SysTime!AH7</f>
        <v>8</v>
      </c>
      <c r="AI7" s="63">
        <f>SysTime!AI7</f>
        <v>9</v>
      </c>
      <c r="AJ7" s="63">
        <f>SysTime!AJ7</f>
        <v>10</v>
      </c>
      <c r="AK7" s="63">
        <f>SysTime!AK7</f>
        <v>11</v>
      </c>
      <c r="AL7" s="63">
        <f>SysTime!AL7</f>
        <v>12</v>
      </c>
      <c r="AM7" s="63">
        <f>SysTime!AM7</f>
        <v>13</v>
      </c>
      <c r="AN7" s="63">
        <f>SysTime!AN7</f>
        <v>14</v>
      </c>
      <c r="AO7" s="63">
        <f>SysTime!AO7</f>
        <v>15</v>
      </c>
      <c r="AP7" s="63">
        <f>SysTime!AP7</f>
        <v>16</v>
      </c>
      <c r="AQ7" s="63">
        <f>SysTime!AQ7</f>
        <v>17</v>
      </c>
      <c r="AR7" s="63">
        <f>SysTime!AR7</f>
        <v>18</v>
      </c>
      <c r="AS7" s="63">
        <f>SysTime!AS7</f>
        <v>19</v>
      </c>
      <c r="AT7" s="63">
        <f>SysTime!AT7</f>
        <v>20</v>
      </c>
      <c r="AU7" s="63">
        <f>SysTime!AU7</f>
        <v>21</v>
      </c>
      <c r="AV7" s="63">
        <f>SysTime!AV7</f>
        <v>22</v>
      </c>
      <c r="AW7" s="63">
        <f>SysTime!AW7</f>
        <v>23</v>
      </c>
      <c r="AX7" s="63">
        <f>SysTime!AX7</f>
        <v>24</v>
      </c>
      <c r="AY7" s="63">
        <f>SysTime!AY7</f>
        <v>25</v>
      </c>
      <c r="AZ7" s="63">
        <f>SysTime!AZ7</f>
        <v>26</v>
      </c>
      <c r="BA7" s="63">
        <f>SysTime!BA7</f>
        <v>27</v>
      </c>
      <c r="BB7" s="63">
        <f>SysTime!BB7</f>
        <v>28</v>
      </c>
      <c r="BC7" s="63">
        <f>SysTime!BC7</f>
        <v>29</v>
      </c>
      <c r="BD7" s="63">
        <f>SysTime!BD7</f>
        <v>30</v>
      </c>
      <c r="BE7" s="63">
        <f>SysTime!BE7</f>
        <v>31</v>
      </c>
      <c r="BF7" s="64"/>
      <c r="BG7" s="65">
        <f>SysTime!BG7</f>
        <v>1</v>
      </c>
      <c r="BH7" s="65">
        <f>SysTime!BH7</f>
        <v>2</v>
      </c>
      <c r="BI7" s="65">
        <f>SysTime!BI7</f>
        <v>3</v>
      </c>
      <c r="BJ7" s="65">
        <f>SysTime!BJ7</f>
        <v>4</v>
      </c>
      <c r="BK7" s="65">
        <f>SysTime!BK7</f>
        <v>5</v>
      </c>
      <c r="BL7" s="65">
        <f>SysTime!BL7</f>
        <v>6</v>
      </c>
      <c r="BM7" s="65">
        <f>SysTime!BM7</f>
        <v>7</v>
      </c>
      <c r="BN7" s="35"/>
    </row>
    <row r="8" spans="1:66">
      <c r="A8" s="97">
        <f>SUM(A9:A101)</f>
        <v>0</v>
      </c>
      <c r="B8" s="99">
        <f>SUM(B9:B101)</f>
        <v>0</v>
      </c>
      <c r="C8" s="104"/>
      <c r="D8" s="104"/>
      <c r="E8" s="104"/>
      <c r="F8" s="104"/>
      <c r="G8" s="104" t="s">
        <v>5</v>
      </c>
      <c r="H8" s="104"/>
      <c r="I8" s="104"/>
      <c r="J8" s="95"/>
      <c r="K8" s="95"/>
      <c r="L8" s="95"/>
      <c r="M8" s="95"/>
      <c r="N8" s="95"/>
      <c r="O8" s="95"/>
      <c r="P8" s="95"/>
      <c r="Q8" s="95"/>
      <c r="R8" s="95"/>
      <c r="S8" s="95"/>
      <c r="T8" s="95"/>
      <c r="U8" s="95"/>
      <c r="V8" s="95"/>
      <c r="W8" s="95"/>
      <c r="X8" s="95"/>
      <c r="Y8" s="95"/>
      <c r="Z8" s="95"/>
      <c r="AA8" s="95"/>
      <c r="AB8" s="95"/>
      <c r="AC8" s="95"/>
      <c r="AD8" s="95"/>
      <c r="AE8" s="95"/>
      <c r="AF8" s="95"/>
      <c r="AG8" s="95"/>
      <c r="AH8" s="95"/>
      <c r="AI8" s="95"/>
      <c r="AJ8" s="95"/>
      <c r="AK8" s="95"/>
      <c r="AL8" s="95"/>
      <c r="AM8" s="95"/>
      <c r="AN8" s="95"/>
      <c r="AO8" s="95"/>
      <c r="AP8" s="95"/>
      <c r="AQ8" s="95"/>
      <c r="AR8" s="95"/>
      <c r="AS8" s="95"/>
      <c r="AT8" s="95"/>
      <c r="AU8" s="95"/>
      <c r="AV8" s="95"/>
      <c r="AW8" s="95"/>
      <c r="AX8" s="95"/>
      <c r="AY8" s="95"/>
      <c r="AZ8" s="95"/>
      <c r="BA8" s="95"/>
      <c r="BB8" s="95"/>
      <c r="BC8" s="95"/>
      <c r="BD8" s="95"/>
      <c r="BE8" s="95"/>
      <c r="BF8" s="95"/>
      <c r="BG8" s="95"/>
      <c r="BH8" s="95"/>
      <c r="BI8" s="95"/>
      <c r="BJ8" s="95"/>
      <c r="BK8" s="95"/>
      <c r="BL8" s="95"/>
      <c r="BM8" s="95"/>
      <c r="BN8" s="21"/>
    </row>
    <row r="10" spans="1:66" ht="16">
      <c r="A10" s="24"/>
      <c r="B10" s="24"/>
      <c r="C10" s="24"/>
      <c r="D10" s="24">
        <v>1</v>
      </c>
      <c r="E10" s="24" t="s">
        <v>212</v>
      </c>
      <c r="F10" s="24"/>
      <c r="G10" s="24"/>
      <c r="H10" s="24"/>
      <c r="I10" s="24"/>
      <c r="J10" s="24"/>
      <c r="K10" s="24"/>
      <c r="L10" s="24"/>
      <c r="M10" s="24"/>
      <c r="N10" s="24"/>
      <c r="O10" s="24"/>
      <c r="P10" s="24"/>
      <c r="Q10" s="24"/>
      <c r="R10" s="24"/>
      <c r="S10" s="24"/>
      <c r="T10" s="24"/>
      <c r="U10" s="24"/>
      <c r="V10" s="24"/>
      <c r="W10" s="24"/>
      <c r="X10" s="24"/>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c r="BM10" s="24"/>
      <c r="BN10" s="24"/>
    </row>
    <row r="11" spans="1:66">
      <c r="F11" s="18"/>
      <c r="G11" s="17"/>
    </row>
    <row r="12" spans="1:66" ht="14" thickBot="1">
      <c r="A12" s="25"/>
      <c r="B12" s="25"/>
      <c r="C12" s="25"/>
      <c r="D12" s="25"/>
      <c r="E12" s="25" t="s">
        <v>387</v>
      </c>
      <c r="F12" s="25" t="s">
        <v>211</v>
      </c>
      <c r="G12" s="25"/>
      <c r="H12" s="25"/>
      <c r="I12" s="25"/>
      <c r="J12" s="25"/>
      <c r="K12" s="25"/>
      <c r="L12" s="25"/>
      <c r="M12" s="25"/>
      <c r="N12" s="25"/>
      <c r="O12" s="25"/>
      <c r="P12" s="25"/>
      <c r="Q12" s="25"/>
      <c r="R12" s="25"/>
      <c r="S12" s="25"/>
      <c r="T12" s="25"/>
      <c r="U12" s="25"/>
      <c r="V12" s="25"/>
      <c r="W12" s="25"/>
      <c r="X12" s="25"/>
      <c r="Y12" s="25"/>
      <c r="Z12" s="25"/>
      <c r="AA12" s="25"/>
      <c r="AB12" s="25"/>
      <c r="AC12" s="25"/>
      <c r="AD12" s="25"/>
      <c r="AE12" s="25"/>
      <c r="AF12" s="25"/>
      <c r="AG12" s="25"/>
      <c r="AH12" s="25"/>
      <c r="AI12" s="25"/>
      <c r="AJ12" s="25"/>
      <c r="AK12" s="25"/>
      <c r="AL12" s="25"/>
      <c r="AM12" s="25"/>
      <c r="AN12" s="25"/>
      <c r="AO12" s="25"/>
      <c r="AP12" s="25"/>
      <c r="AQ12" s="25"/>
      <c r="AR12" s="25"/>
      <c r="AS12" s="25"/>
      <c r="AT12" s="25"/>
      <c r="AU12" s="25"/>
      <c r="AV12" s="25"/>
      <c r="AW12" s="25"/>
      <c r="AX12" s="25"/>
      <c r="AY12" s="25"/>
      <c r="AZ12" s="25"/>
      <c r="BA12" s="25"/>
      <c r="BB12" s="25"/>
      <c r="BC12" s="25"/>
      <c r="BD12" s="25"/>
      <c r="BE12" s="25"/>
      <c r="BF12" s="25"/>
      <c r="BG12" s="25"/>
      <c r="BH12" s="25"/>
      <c r="BI12" s="25"/>
      <c r="BJ12" s="25"/>
      <c r="BK12" s="25"/>
      <c r="BL12" s="25"/>
      <c r="BM12" s="25"/>
      <c r="BN12" s="25"/>
    </row>
    <row r="13" spans="1:66">
      <c r="F13" s="18"/>
      <c r="G13" s="17"/>
    </row>
    <row r="14" spans="1:66">
      <c r="F14" s="18" t="s">
        <v>176</v>
      </c>
      <c r="G14" s="17"/>
      <c r="I14"/>
    </row>
    <row r="15" spans="1:66" customFormat="1"/>
    <row r="16" spans="1:66">
      <c r="F16" s="18" t="s">
        <v>213</v>
      </c>
      <c r="G16" s="17"/>
      <c r="I16"/>
    </row>
    <row r="17" spans="1:66">
      <c r="F17" s="18"/>
      <c r="G17" s="17"/>
    </row>
    <row r="18" spans="1:66" ht="16">
      <c r="A18" s="24"/>
      <c r="B18" s="24"/>
      <c r="C18" s="24"/>
      <c r="D18" s="24">
        <v>2</v>
      </c>
      <c r="E18" s="24" t="s">
        <v>301</v>
      </c>
      <c r="F18" s="24"/>
      <c r="G18" s="24"/>
      <c r="H18" s="24"/>
      <c r="I18" s="24"/>
      <c r="J18" s="24"/>
      <c r="K18" s="24"/>
      <c r="L18" s="24"/>
      <c r="M18" s="24"/>
      <c r="N18" s="24"/>
      <c r="O18" s="24"/>
      <c r="P18" s="24"/>
      <c r="Q18" s="24"/>
      <c r="R18" s="24"/>
      <c r="S18" s="24"/>
      <c r="T18" s="24"/>
      <c r="U18" s="24"/>
      <c r="V18" s="24"/>
      <c r="W18" s="24"/>
      <c r="X18" s="24"/>
      <c r="Y18" s="24"/>
      <c r="Z18" s="24"/>
      <c r="AA18" s="24"/>
      <c r="AB18" s="24"/>
      <c r="AC18" s="24"/>
      <c r="AD18" s="24"/>
      <c r="AE18" s="24"/>
      <c r="AF18" s="24"/>
      <c r="AG18" s="24"/>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c r="BM18" s="24"/>
    </row>
    <row r="19" spans="1:66">
      <c r="F19" s="18"/>
      <c r="G19" s="17"/>
    </row>
    <row r="20" spans="1:66">
      <c r="F20" s="27" t="s">
        <v>332</v>
      </c>
      <c r="G20" s="17" t="s">
        <v>305</v>
      </c>
      <c r="AA20" s="9">
        <f>SysTime!AA22</f>
        <v>0</v>
      </c>
      <c r="AB20" s="9">
        <f>SysTime!AB22</f>
        <v>1</v>
      </c>
      <c r="AC20" s="9">
        <f>SysTime!AC22</f>
        <v>1</v>
      </c>
      <c r="AD20" s="9">
        <f>SysTime!AD22</f>
        <v>1</v>
      </c>
      <c r="AE20" s="9">
        <f>SysTime!AE22</f>
        <v>1</v>
      </c>
      <c r="AF20" s="9">
        <f>SysTime!AF22</f>
        <v>1</v>
      </c>
      <c r="AG20" s="9">
        <f>SysTime!AG22</f>
        <v>1</v>
      </c>
      <c r="AH20" s="9">
        <f>SysTime!AH22</f>
        <v>1</v>
      </c>
      <c r="AI20" s="9">
        <f>SysTime!AI22</f>
        <v>1</v>
      </c>
      <c r="AJ20" s="9">
        <f>SysTime!AJ22</f>
        <v>1</v>
      </c>
      <c r="AK20" s="9">
        <f>SysTime!AK22</f>
        <v>1</v>
      </c>
      <c r="AL20" s="9">
        <f>SysTime!AL22</f>
        <v>1</v>
      </c>
      <c r="AM20" s="9">
        <f>SysTime!AM22</f>
        <v>1</v>
      </c>
      <c r="AN20" s="9">
        <f>SysTime!AN22</f>
        <v>1</v>
      </c>
      <c r="AO20" s="9">
        <f>SysTime!AO22</f>
        <v>1</v>
      </c>
      <c r="AP20" s="9">
        <f>SysTime!AP22</f>
        <v>1</v>
      </c>
      <c r="AQ20" s="9">
        <f>SysTime!AQ22</f>
        <v>1</v>
      </c>
      <c r="AR20" s="9">
        <f>SysTime!AR22</f>
        <v>1</v>
      </c>
      <c r="AS20" s="9">
        <f>SysTime!AS22</f>
        <v>1</v>
      </c>
      <c r="AT20" s="9">
        <f>SysTime!AT22</f>
        <v>1</v>
      </c>
      <c r="AU20" s="9">
        <f>SysTime!AU22</f>
        <v>1</v>
      </c>
      <c r="AV20" s="9">
        <f>SysTime!AV22</f>
        <v>1</v>
      </c>
      <c r="AW20" s="9">
        <f>SysTime!AW22</f>
        <v>1</v>
      </c>
      <c r="AX20" s="9">
        <f>SysTime!AX22</f>
        <v>1</v>
      </c>
      <c r="AY20" s="9">
        <f>SysTime!AY22</f>
        <v>1</v>
      </c>
      <c r="AZ20" s="9">
        <f>SysTime!AZ22</f>
        <v>1</v>
      </c>
      <c r="BA20" s="9">
        <f>SysTime!BA22</f>
        <v>1</v>
      </c>
      <c r="BB20" s="9">
        <f>SysTime!BB22</f>
        <v>1</v>
      </c>
      <c r="BC20" s="9">
        <f>SysTime!BC22</f>
        <v>1</v>
      </c>
      <c r="BD20" s="9">
        <f>SysTime!BD22</f>
        <v>1</v>
      </c>
      <c r="BE20" s="9">
        <f>SysTime!BE22</f>
        <v>1</v>
      </c>
      <c r="BG20" s="39"/>
      <c r="BH20" s="39"/>
      <c r="BI20" s="39"/>
      <c r="BJ20" s="39"/>
      <c r="BK20" s="39"/>
      <c r="BL20" s="39"/>
      <c r="BM20" s="39"/>
    </row>
    <row r="22" spans="1:66">
      <c r="F22" s="40" t="s">
        <v>369</v>
      </c>
      <c r="G22" s="17" t="s">
        <v>305</v>
      </c>
      <c r="AA22" s="9">
        <f>SysTime!AA24</f>
        <v>0</v>
      </c>
      <c r="AB22" s="9">
        <f>SysTime!AB24</f>
        <v>1</v>
      </c>
      <c r="AC22" s="9">
        <f>SysTime!AC24</f>
        <v>0</v>
      </c>
      <c r="AD22" s="9">
        <f>SysTime!AD24</f>
        <v>0</v>
      </c>
      <c r="AE22" s="9">
        <f>SysTime!AE24</f>
        <v>0</v>
      </c>
      <c r="AF22" s="9">
        <f>SysTime!AF24</f>
        <v>0</v>
      </c>
      <c r="AG22" s="9">
        <f>SysTime!AG24</f>
        <v>0</v>
      </c>
      <c r="AH22" s="9">
        <f>SysTime!AH24</f>
        <v>0</v>
      </c>
      <c r="AI22" s="9">
        <f>SysTime!AI24</f>
        <v>0</v>
      </c>
      <c r="AJ22" s="9">
        <f>SysTime!AJ24</f>
        <v>0</v>
      </c>
      <c r="AK22" s="9">
        <f>SysTime!AK24</f>
        <v>0</v>
      </c>
      <c r="AL22" s="9">
        <f>SysTime!AL24</f>
        <v>0</v>
      </c>
      <c r="AM22" s="9">
        <f>SysTime!AM24</f>
        <v>0</v>
      </c>
      <c r="AN22" s="9">
        <f>SysTime!AN24</f>
        <v>0</v>
      </c>
      <c r="AO22" s="9">
        <f>SysTime!AO24</f>
        <v>0</v>
      </c>
      <c r="AP22" s="9">
        <f>SysTime!AP24</f>
        <v>0</v>
      </c>
      <c r="AQ22" s="9">
        <f>SysTime!AQ24</f>
        <v>0</v>
      </c>
      <c r="AR22" s="9">
        <f>SysTime!AR24</f>
        <v>0</v>
      </c>
      <c r="AS22" s="9">
        <f>SysTime!AS24</f>
        <v>0</v>
      </c>
      <c r="AT22" s="9">
        <f>SysTime!AT24</f>
        <v>0</v>
      </c>
      <c r="AU22" s="9">
        <f>SysTime!AU24</f>
        <v>0</v>
      </c>
      <c r="AV22" s="9">
        <f>SysTime!AV24</f>
        <v>0</v>
      </c>
      <c r="AW22" s="9">
        <f>SysTime!AW24</f>
        <v>0</v>
      </c>
      <c r="AX22" s="9">
        <f>SysTime!AX24</f>
        <v>0</v>
      </c>
      <c r="AY22" s="9">
        <f>SysTime!AY24</f>
        <v>0</v>
      </c>
      <c r="AZ22" s="9">
        <f>SysTime!AZ24</f>
        <v>0</v>
      </c>
      <c r="BA22" s="9">
        <f>SysTime!BA24</f>
        <v>0</v>
      </c>
      <c r="BB22" s="9">
        <f>SysTime!BB24</f>
        <v>0</v>
      </c>
      <c r="BC22" s="9">
        <f>SysTime!BC24</f>
        <v>0</v>
      </c>
      <c r="BD22" s="9">
        <f>SysTime!BD24</f>
        <v>0</v>
      </c>
      <c r="BE22" s="9">
        <f>SysTime!BE24</f>
        <v>0</v>
      </c>
      <c r="BG22" s="39"/>
      <c r="BH22" s="39"/>
      <c r="BI22" s="39"/>
      <c r="BJ22" s="39"/>
      <c r="BK22" s="39"/>
      <c r="BL22" s="39"/>
      <c r="BM22" s="39"/>
    </row>
    <row r="23" spans="1:66">
      <c r="G23" s="17"/>
    </row>
    <row r="24" spans="1:66">
      <c r="F24" s="40" t="s">
        <v>373</v>
      </c>
      <c r="G24" s="17" t="s">
        <v>6</v>
      </c>
      <c r="K24" s="9">
        <f>SysTime!K26</f>
        <v>2</v>
      </c>
      <c r="AA24" s="39"/>
      <c r="AB24" s="39"/>
      <c r="AC24" s="39"/>
      <c r="AD24" s="39"/>
      <c r="AE24" s="39"/>
      <c r="AF24" s="39"/>
      <c r="AG24" s="39"/>
      <c r="AH24" s="39"/>
      <c r="AI24" s="39"/>
      <c r="AJ24" s="39"/>
      <c r="AK24" s="39"/>
      <c r="AL24" s="39"/>
      <c r="AM24" s="39"/>
      <c r="AN24" s="39"/>
      <c r="AO24" s="39"/>
      <c r="AP24" s="39"/>
      <c r="AQ24" s="39"/>
      <c r="AR24" s="39"/>
      <c r="AS24" s="39"/>
      <c r="AT24" s="39"/>
      <c r="AU24" s="39"/>
      <c r="AV24" s="39"/>
      <c r="AW24" s="39"/>
      <c r="AX24" s="39"/>
      <c r="AY24" s="39"/>
      <c r="AZ24" s="39"/>
      <c r="BA24" s="39"/>
      <c r="BB24" s="39"/>
      <c r="BC24" s="39"/>
      <c r="BD24" s="39"/>
      <c r="BE24" s="39"/>
      <c r="BG24" s="39"/>
      <c r="BH24" s="39"/>
      <c r="BI24" s="39"/>
      <c r="BJ24" s="39"/>
      <c r="BK24" s="39"/>
      <c r="BL24" s="39"/>
      <c r="BM24" s="39"/>
    </row>
    <row r="26" spans="1:66">
      <c r="D26" s="18"/>
      <c r="E26" s="18"/>
      <c r="F26" s="18" t="s">
        <v>302</v>
      </c>
      <c r="G26" s="17" t="str">
        <f>cstFlag</f>
        <v>Flag</v>
      </c>
      <c r="AA26" s="9">
        <f>SysTime!AA28</f>
        <v>1</v>
      </c>
      <c r="AB26" s="9">
        <f>SysTime!AB28</f>
        <v>0</v>
      </c>
      <c r="AC26" s="9">
        <f>SysTime!AC28</f>
        <v>0</v>
      </c>
      <c r="AD26" s="9">
        <f>SysTime!AD28</f>
        <v>0</v>
      </c>
      <c r="AE26" s="9">
        <f>SysTime!AE28</f>
        <v>0</v>
      </c>
      <c r="AF26" s="9">
        <f>SysTime!AF28</f>
        <v>0</v>
      </c>
      <c r="AG26" s="9">
        <f>SysTime!AG28</f>
        <v>0</v>
      </c>
      <c r="AH26" s="9">
        <f>SysTime!AH28</f>
        <v>0</v>
      </c>
      <c r="AI26" s="9">
        <f>SysTime!AI28</f>
        <v>0</v>
      </c>
      <c r="AJ26" s="9">
        <f>SysTime!AJ28</f>
        <v>0</v>
      </c>
      <c r="AK26" s="9">
        <f>SysTime!AK28</f>
        <v>0</v>
      </c>
      <c r="AL26" s="9">
        <f>SysTime!AL28</f>
        <v>0</v>
      </c>
      <c r="AM26" s="9">
        <f>SysTime!AM28</f>
        <v>0</v>
      </c>
      <c r="AN26" s="9">
        <f>SysTime!AN28</f>
        <v>0</v>
      </c>
      <c r="AO26" s="9">
        <f>SysTime!AO28</f>
        <v>0</v>
      </c>
      <c r="AP26" s="9">
        <f>SysTime!AP28</f>
        <v>0</v>
      </c>
      <c r="AQ26" s="9">
        <f>SysTime!AQ28</f>
        <v>0</v>
      </c>
      <c r="AR26" s="9">
        <f>SysTime!AR28</f>
        <v>0</v>
      </c>
      <c r="AS26" s="9">
        <f>SysTime!AS28</f>
        <v>0</v>
      </c>
      <c r="AT26" s="9">
        <f>SysTime!AT28</f>
        <v>0</v>
      </c>
      <c r="AU26" s="9">
        <f>SysTime!AU28</f>
        <v>0</v>
      </c>
      <c r="AV26" s="9">
        <f>SysTime!AV28</f>
        <v>0</v>
      </c>
      <c r="AW26" s="9">
        <f>SysTime!AW28</f>
        <v>0</v>
      </c>
      <c r="AX26" s="9">
        <f>SysTime!AX28</f>
        <v>0</v>
      </c>
      <c r="AY26" s="9">
        <f>SysTime!AY28</f>
        <v>0</v>
      </c>
      <c r="AZ26" s="9">
        <f>SysTime!AZ28</f>
        <v>0</v>
      </c>
      <c r="BA26" s="9">
        <f>SysTime!BA28</f>
        <v>0</v>
      </c>
      <c r="BB26" s="9">
        <f>SysTime!BB28</f>
        <v>0</v>
      </c>
      <c r="BC26" s="9">
        <f>SysTime!BC28</f>
        <v>0</v>
      </c>
      <c r="BD26" s="9">
        <f>SysTime!BD28</f>
        <v>0</v>
      </c>
      <c r="BE26" s="9">
        <f>SysTime!BE28</f>
        <v>0</v>
      </c>
      <c r="BG26" s="39"/>
      <c r="BH26" s="39"/>
      <c r="BI26" s="39"/>
      <c r="BJ26" s="39"/>
      <c r="BK26" s="39"/>
      <c r="BL26" s="39"/>
      <c r="BM26" s="39"/>
    </row>
    <row r="27" spans="1:66">
      <c r="D27" s="18"/>
      <c r="E27" s="18"/>
      <c r="F27" s="18"/>
      <c r="G27" s="17"/>
    </row>
    <row r="28" spans="1:66" ht="16">
      <c r="A28" s="24"/>
      <c r="B28" s="24"/>
      <c r="C28" s="24"/>
      <c r="D28" s="24">
        <v>3</v>
      </c>
      <c r="E28" s="24" t="s">
        <v>175</v>
      </c>
      <c r="F28" s="24"/>
      <c r="G28" s="24"/>
      <c r="H28" s="24"/>
      <c r="I28" s="24"/>
      <c r="J28" s="24"/>
      <c r="K28" s="24"/>
      <c r="L28" s="24"/>
      <c r="M28" s="24"/>
      <c r="N28" s="24"/>
      <c r="O28" s="24"/>
      <c r="P28" s="24"/>
      <c r="Q28" s="24"/>
      <c r="R28" s="24"/>
      <c r="S28" s="24"/>
      <c r="T28" s="24"/>
      <c r="U28" s="24"/>
      <c r="V28" s="24"/>
      <c r="W28" s="24"/>
      <c r="X28" s="24"/>
      <c r="Y28" s="24"/>
      <c r="Z28" s="24"/>
      <c r="AA28" s="24"/>
      <c r="AB28" s="24"/>
      <c r="AC28" s="24"/>
      <c r="AD28" s="24"/>
      <c r="AE28" s="24"/>
      <c r="AF28" s="24"/>
      <c r="AG28" s="24"/>
      <c r="AH28" s="24"/>
      <c r="AI28" s="24"/>
      <c r="AJ28" s="24"/>
      <c r="AK28" s="24"/>
      <c r="AL28" s="24"/>
      <c r="AM28" s="24"/>
      <c r="AN28" s="24"/>
      <c r="AO28" s="24"/>
      <c r="AP28" s="24"/>
      <c r="AQ28" s="24"/>
      <c r="AR28" s="24"/>
      <c r="AS28" s="24"/>
      <c r="AT28" s="24"/>
      <c r="AU28" s="24"/>
      <c r="AV28" s="24"/>
      <c r="AW28" s="24"/>
      <c r="AX28" s="24"/>
      <c r="AY28" s="24"/>
      <c r="AZ28" s="24"/>
      <c r="BA28" s="24"/>
      <c r="BB28" s="24"/>
      <c r="BC28" s="24"/>
      <c r="BD28" s="24"/>
      <c r="BE28" s="24"/>
      <c r="BF28" s="24"/>
      <c r="BG28" s="24"/>
      <c r="BH28" s="24"/>
      <c r="BI28" s="24"/>
      <c r="BJ28" s="24"/>
      <c r="BK28" s="24"/>
      <c r="BL28" s="24"/>
      <c r="BM28" s="24"/>
      <c r="BN28" s="24"/>
    </row>
    <row r="29" spans="1:66">
      <c r="F29" s="18"/>
      <c r="G29" s="17"/>
    </row>
    <row r="30" spans="1:66" ht="14" thickBot="1">
      <c r="A30" s="25"/>
      <c r="B30" s="25"/>
      <c r="C30" s="25"/>
      <c r="D30" s="25"/>
      <c r="E30" s="25" t="s">
        <v>390</v>
      </c>
      <c r="F30" s="25" t="s">
        <v>199</v>
      </c>
      <c r="G30" s="25"/>
      <c r="H30" s="25"/>
      <c r="I30" s="25"/>
      <c r="J30" s="25"/>
      <c r="K30" s="25"/>
      <c r="L30" s="25"/>
      <c r="M30" s="25"/>
      <c r="N30" s="25"/>
      <c r="O30" s="25"/>
      <c r="P30" s="25"/>
      <c r="Q30" s="25"/>
      <c r="R30" s="25"/>
      <c r="S30" s="25"/>
      <c r="T30" s="25"/>
      <c r="U30" s="25"/>
      <c r="V30" s="25"/>
      <c r="W30" s="25"/>
      <c r="X30" s="25"/>
      <c r="Y30" s="25"/>
      <c r="Z30" s="25"/>
      <c r="AA30" s="25"/>
      <c r="AB30" s="25"/>
      <c r="AC30" s="25"/>
      <c r="AD30" s="25"/>
      <c r="AE30" s="25"/>
      <c r="AF30" s="25"/>
      <c r="AG30" s="25"/>
      <c r="AH30" s="25"/>
      <c r="AI30" s="25"/>
      <c r="AJ30" s="25"/>
      <c r="AK30" s="25"/>
      <c r="AL30" s="25"/>
      <c r="AM30" s="25"/>
      <c r="AN30" s="25"/>
      <c r="AO30" s="25"/>
      <c r="AP30" s="25"/>
      <c r="AQ30" s="25"/>
      <c r="AR30" s="25"/>
      <c r="AS30" s="25"/>
      <c r="AT30" s="25"/>
      <c r="AU30" s="25"/>
      <c r="AV30" s="25"/>
      <c r="AW30" s="25"/>
      <c r="AX30" s="25"/>
      <c r="AY30" s="25"/>
      <c r="AZ30" s="25"/>
      <c r="BA30" s="25"/>
      <c r="BB30" s="25"/>
      <c r="BC30" s="25"/>
      <c r="BD30" s="25"/>
      <c r="BE30" s="25"/>
      <c r="BF30" s="25"/>
      <c r="BG30" s="25"/>
      <c r="BH30" s="25"/>
      <c r="BI30" s="25"/>
      <c r="BJ30" s="25"/>
      <c r="BK30" s="25"/>
      <c r="BL30" s="25"/>
      <c r="BM30" s="25"/>
      <c r="BN30" s="25"/>
    </row>
    <row r="31" spans="1:66">
      <c r="F31" s="18"/>
      <c r="G31" s="17"/>
    </row>
    <row r="32" spans="1:66" ht="13">
      <c r="F32" s="26" t="s">
        <v>174</v>
      </c>
      <c r="G32" s="17"/>
    </row>
    <row r="33" spans="1:66">
      <c r="F33" s="18"/>
      <c r="G33" s="17"/>
    </row>
    <row r="34" spans="1:66" customFormat="1">
      <c r="F34" t="s">
        <v>198</v>
      </c>
      <c r="G34" s="17" t="str">
        <f>cstHours</f>
        <v>Hrs</v>
      </c>
      <c r="K34" s="9" cm="1">
        <f t="array" ref="K34">INDEX(iOptions!$N$16:$N$18,ActiveCallVolumeScenarioIndex)</f>
        <v>100000</v>
      </c>
      <c r="AA34" s="39"/>
      <c r="AB34" s="39"/>
      <c r="AC34" s="39"/>
      <c r="AD34" s="39"/>
      <c r="AE34" s="39"/>
      <c r="AF34" s="39"/>
      <c r="AG34" s="39"/>
      <c r="AH34" s="39"/>
      <c r="AI34" s="39"/>
      <c r="AJ34" s="39"/>
      <c r="AK34" s="39"/>
      <c r="AL34" s="39"/>
      <c r="AM34" s="39"/>
      <c r="AN34" s="39"/>
      <c r="AO34" s="39"/>
      <c r="AP34" s="39"/>
      <c r="AQ34" s="39"/>
      <c r="AR34" s="39"/>
      <c r="AS34" s="39"/>
      <c r="AT34" s="39"/>
      <c r="AU34" s="39"/>
      <c r="AV34" s="39"/>
      <c r="AW34" s="39"/>
      <c r="AX34" s="39"/>
      <c r="AY34" s="39"/>
      <c r="AZ34" s="39"/>
      <c r="BA34" s="39"/>
      <c r="BB34" s="39"/>
      <c r="BC34" s="39"/>
      <c r="BD34" s="39"/>
      <c r="BE34" s="39"/>
      <c r="BF34" s="40"/>
      <c r="BG34" s="39"/>
      <c r="BH34" s="39"/>
      <c r="BI34" s="39"/>
      <c r="BJ34" s="39"/>
      <c r="BK34" s="39"/>
      <c r="BL34" s="39"/>
      <c r="BM34" s="39"/>
    </row>
    <row r="35" spans="1:66" customFormat="1">
      <c r="F35" s="18" t="s">
        <v>311</v>
      </c>
      <c r="G35" s="17" t="str">
        <f>cstPercent</f>
        <v>%</v>
      </c>
      <c r="K35" s="11">
        <f>iControl!$I$16</f>
        <v>0.1</v>
      </c>
      <c r="AA35" s="39"/>
      <c r="AB35" s="39"/>
      <c r="AC35" s="39"/>
      <c r="AD35" s="39"/>
      <c r="AE35" s="39"/>
      <c r="AF35" s="39"/>
      <c r="AG35" s="39"/>
      <c r="AH35" s="39"/>
      <c r="AI35" s="39"/>
      <c r="AJ35" s="39"/>
      <c r="AK35" s="39"/>
      <c r="AL35" s="39"/>
      <c r="AM35" s="39"/>
      <c r="AN35" s="39"/>
      <c r="AO35" s="39"/>
      <c r="AP35" s="39"/>
      <c r="AQ35" s="39"/>
      <c r="AR35" s="39"/>
      <c r="AS35" s="39"/>
      <c r="AT35" s="39"/>
      <c r="AU35" s="39"/>
      <c r="AV35" s="39"/>
      <c r="AW35" s="39"/>
      <c r="AX35" s="39"/>
      <c r="AY35" s="39"/>
      <c r="AZ35" s="39"/>
      <c r="BA35" s="39"/>
      <c r="BB35" s="39"/>
      <c r="BC35" s="39"/>
      <c r="BD35" s="39"/>
      <c r="BE35" s="39"/>
      <c r="BF35" s="40"/>
      <c r="BG35" s="39"/>
      <c r="BH35" s="39"/>
      <c r="BI35" s="39"/>
      <c r="BJ35" s="39"/>
      <c r="BK35" s="39"/>
      <c r="BL35" s="39"/>
      <c r="BM35" s="39"/>
    </row>
    <row r="36" spans="1:66" customFormat="1">
      <c r="BH36" s="40"/>
      <c r="BI36" s="40"/>
      <c r="BJ36" s="40"/>
      <c r="BK36" s="40"/>
    </row>
    <row r="37" spans="1:66" customFormat="1" ht="13">
      <c r="F37" s="26" t="s">
        <v>1</v>
      </c>
    </row>
    <row r="38" spans="1:66">
      <c r="F38" s="18"/>
      <c r="G38" s="17"/>
      <c r="Z38" s="46" t="s">
        <v>431</v>
      </c>
    </row>
    <row r="39" spans="1:66">
      <c r="A39" s="19">
        <f>IF(ABS(SUM(AA39:BE39)-SUM(BG39:BM39))&lt;eTol,0,1)</f>
        <v>0</v>
      </c>
      <c r="F39" s="40" t="s">
        <v>364</v>
      </c>
      <c r="G39" s="17" t="str">
        <f>cstHours</f>
        <v>Hrs</v>
      </c>
      <c r="K39" s="14">
        <f>$K34*(1-$K35)</f>
        <v>90000</v>
      </c>
      <c r="Z39" s="14">
        <f>SUM(AA39:BE39)</f>
        <v>2700000</v>
      </c>
      <c r="AA39" s="14">
        <f>$K$39*AA20</f>
        <v>0</v>
      </c>
      <c r="AB39" s="14">
        <f t="shared" ref="AB39:BE39" si="0">$K$39*AB20</f>
        <v>90000</v>
      </c>
      <c r="AC39" s="14">
        <f t="shared" si="0"/>
        <v>90000</v>
      </c>
      <c r="AD39" s="14">
        <f t="shared" si="0"/>
        <v>90000</v>
      </c>
      <c r="AE39" s="14">
        <f t="shared" si="0"/>
        <v>90000</v>
      </c>
      <c r="AF39" s="14">
        <f t="shared" si="0"/>
        <v>90000</v>
      </c>
      <c r="AG39" s="14">
        <f t="shared" si="0"/>
        <v>90000</v>
      </c>
      <c r="AH39" s="14">
        <f t="shared" si="0"/>
        <v>90000</v>
      </c>
      <c r="AI39" s="14">
        <f t="shared" si="0"/>
        <v>90000</v>
      </c>
      <c r="AJ39" s="14">
        <f t="shared" si="0"/>
        <v>90000</v>
      </c>
      <c r="AK39" s="14">
        <f t="shared" si="0"/>
        <v>90000</v>
      </c>
      <c r="AL39" s="14">
        <f t="shared" si="0"/>
        <v>90000</v>
      </c>
      <c r="AM39" s="14">
        <f t="shared" si="0"/>
        <v>90000</v>
      </c>
      <c r="AN39" s="14">
        <f t="shared" si="0"/>
        <v>90000</v>
      </c>
      <c r="AO39" s="14">
        <f t="shared" si="0"/>
        <v>90000</v>
      </c>
      <c r="AP39" s="14">
        <f t="shared" si="0"/>
        <v>90000</v>
      </c>
      <c r="AQ39" s="14">
        <f t="shared" si="0"/>
        <v>90000</v>
      </c>
      <c r="AR39" s="14">
        <f t="shared" si="0"/>
        <v>90000</v>
      </c>
      <c r="AS39" s="14">
        <f t="shared" si="0"/>
        <v>90000</v>
      </c>
      <c r="AT39" s="14">
        <f t="shared" si="0"/>
        <v>90000</v>
      </c>
      <c r="AU39" s="14">
        <f t="shared" si="0"/>
        <v>90000</v>
      </c>
      <c r="AV39" s="14">
        <f t="shared" si="0"/>
        <v>90000</v>
      </c>
      <c r="AW39" s="14">
        <f t="shared" si="0"/>
        <v>90000</v>
      </c>
      <c r="AX39" s="14">
        <f t="shared" si="0"/>
        <v>90000</v>
      </c>
      <c r="AY39" s="14">
        <f t="shared" si="0"/>
        <v>90000</v>
      </c>
      <c r="AZ39" s="14">
        <f t="shared" si="0"/>
        <v>90000</v>
      </c>
      <c r="BA39" s="14">
        <f t="shared" si="0"/>
        <v>90000</v>
      </c>
      <c r="BB39" s="14">
        <f t="shared" si="0"/>
        <v>90000</v>
      </c>
      <c r="BC39" s="14">
        <f t="shared" si="0"/>
        <v>90000</v>
      </c>
      <c r="BD39" s="14">
        <f t="shared" si="0"/>
        <v>90000</v>
      </c>
      <c r="BE39" s="14">
        <f t="shared" si="0"/>
        <v>90000</v>
      </c>
      <c r="BG39" s="14">
        <f>SUMIFS($AA39:$BE39,$AA$2:$BE$2,"&gt;="&amp;BG$2,$AA$3:$BE$3,"&lt;="&amp;BG$3)</f>
        <v>0</v>
      </c>
      <c r="BH39" s="14">
        <f t="shared" ref="BH39:BM39" si="1">SUMIFS($AA39:$BE39,$AA$2:$BE$2,"&gt;="&amp;BH$2,$AA$3:$BE$3,"&lt;="&amp;BH$3)</f>
        <v>450000</v>
      </c>
      <c r="BI39" s="14">
        <f t="shared" si="1"/>
        <v>450000</v>
      </c>
      <c r="BJ39" s="14">
        <f t="shared" si="1"/>
        <v>450000</v>
      </c>
      <c r="BK39" s="14">
        <f t="shared" si="1"/>
        <v>450000</v>
      </c>
      <c r="BL39" s="14">
        <f t="shared" si="1"/>
        <v>450000</v>
      </c>
      <c r="BM39" s="14">
        <f t="shared" si="1"/>
        <v>450000</v>
      </c>
    </row>
    <row r="40" spans="1:66">
      <c r="F40" s="18"/>
      <c r="G40" s="17"/>
    </row>
    <row r="41" spans="1:66" ht="16">
      <c r="A41" s="24"/>
      <c r="B41" s="24"/>
      <c r="C41" s="24"/>
      <c r="D41" s="24">
        <v>4</v>
      </c>
      <c r="E41" s="24" t="s">
        <v>200</v>
      </c>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c r="BK41" s="24"/>
      <c r="BL41" s="24"/>
      <c r="BM41" s="24"/>
      <c r="BN41" s="24"/>
    </row>
    <row r="42" spans="1:66">
      <c r="F42" s="18"/>
      <c r="G42" s="17"/>
    </row>
    <row r="43" spans="1:66" ht="14" thickBot="1">
      <c r="A43" s="25"/>
      <c r="B43" s="25"/>
      <c r="C43" s="25"/>
      <c r="D43" s="25"/>
      <c r="E43" s="25" t="s">
        <v>391</v>
      </c>
      <c r="F43" s="25" t="s">
        <v>86</v>
      </c>
      <c r="G43" s="25"/>
      <c r="H43" s="25"/>
      <c r="I43" s="25"/>
      <c r="J43" s="25"/>
      <c r="K43" s="25"/>
      <c r="L43" s="25"/>
      <c r="M43" s="25"/>
      <c r="N43" s="25"/>
      <c r="O43" s="25"/>
      <c r="P43" s="25"/>
      <c r="Q43" s="25"/>
      <c r="R43" s="25"/>
      <c r="S43" s="25"/>
      <c r="T43" s="25"/>
      <c r="U43" s="25"/>
      <c r="V43" s="25"/>
      <c r="W43" s="25"/>
      <c r="X43" s="25"/>
      <c r="Y43" s="25"/>
      <c r="Z43" s="25"/>
      <c r="AA43" s="25"/>
      <c r="AB43" s="25"/>
      <c r="AC43" s="25"/>
      <c r="AD43" s="25"/>
      <c r="AE43" s="25"/>
      <c r="AF43" s="25"/>
      <c r="AG43" s="25"/>
      <c r="AH43" s="25"/>
      <c r="AI43" s="25"/>
      <c r="AJ43" s="25"/>
      <c r="AK43" s="25"/>
      <c r="AL43" s="25"/>
      <c r="AM43" s="25"/>
      <c r="AN43" s="25"/>
      <c r="AO43" s="25"/>
      <c r="AP43" s="25"/>
      <c r="AQ43" s="25"/>
      <c r="AR43" s="25"/>
      <c r="AS43" s="25"/>
      <c r="AT43" s="25"/>
      <c r="AU43" s="25"/>
      <c r="AV43" s="25"/>
      <c r="AW43" s="25"/>
      <c r="AX43" s="25"/>
      <c r="AY43" s="25"/>
      <c r="AZ43" s="25"/>
      <c r="BA43" s="25"/>
      <c r="BB43" s="25"/>
      <c r="BC43" s="25"/>
      <c r="BD43" s="25"/>
      <c r="BE43" s="25"/>
      <c r="BF43" s="25"/>
      <c r="BG43" s="25"/>
      <c r="BH43" s="25"/>
      <c r="BI43" s="25"/>
      <c r="BJ43" s="25"/>
      <c r="BK43" s="25"/>
      <c r="BL43" s="25"/>
      <c r="BM43" s="25"/>
      <c r="BN43" s="25"/>
    </row>
    <row r="44" spans="1:66">
      <c r="F44" s="18"/>
      <c r="G44" s="17"/>
    </row>
    <row r="45" spans="1:66" ht="13">
      <c r="F45" s="26" t="s">
        <v>174</v>
      </c>
      <c r="G45" s="17"/>
    </row>
    <row r="46" spans="1:66">
      <c r="F46" s="18"/>
      <c r="G46" s="17"/>
    </row>
    <row r="47" spans="1:66">
      <c r="F47" s="40" t="s">
        <v>201</v>
      </c>
      <c r="G47" s="17" t="str">
        <f>cstHours</f>
        <v>Hrs</v>
      </c>
      <c r="K47" s="9">
        <f>iOptions!$N$26</f>
        <v>1912</v>
      </c>
      <c r="AA47" s="39"/>
      <c r="AB47" s="39"/>
      <c r="AC47" s="39"/>
      <c r="AD47" s="39"/>
      <c r="AE47" s="39"/>
      <c r="AF47" s="39"/>
      <c r="AG47" s="39"/>
      <c r="AH47" s="39"/>
      <c r="AI47" s="39"/>
      <c r="AJ47" s="39"/>
      <c r="AK47" s="39"/>
      <c r="AL47" s="39"/>
      <c r="AM47" s="39"/>
      <c r="AN47" s="39"/>
      <c r="AO47" s="39"/>
      <c r="AP47" s="39"/>
      <c r="AQ47" s="39"/>
      <c r="AR47" s="39"/>
      <c r="AS47" s="39"/>
      <c r="AT47" s="39"/>
      <c r="AU47" s="39"/>
      <c r="AV47" s="39"/>
      <c r="AW47" s="39"/>
      <c r="AX47" s="39"/>
      <c r="AY47" s="39"/>
      <c r="AZ47" s="39"/>
      <c r="BA47" s="39"/>
      <c r="BB47" s="39"/>
      <c r="BC47" s="39"/>
      <c r="BD47" s="39"/>
      <c r="BE47" s="39"/>
      <c r="BG47" s="39"/>
      <c r="BH47" s="39"/>
      <c r="BI47" s="39"/>
      <c r="BJ47" s="39"/>
      <c r="BK47" s="39"/>
      <c r="BL47" s="39"/>
      <c r="BM47" s="39"/>
    </row>
    <row r="48" spans="1:66">
      <c r="F48" s="40" t="s">
        <v>202</v>
      </c>
      <c r="G48" s="17" t="str">
        <f>cstPercent</f>
        <v>%</v>
      </c>
      <c r="K48" s="11" cm="1">
        <f t="array" ref="K48">INDEX(iOptions!$M$28:$O$28,1,ActiveCostScenarioIndex)</f>
        <v>0.8</v>
      </c>
      <c r="AA48" s="39"/>
      <c r="AB48" s="39"/>
      <c r="AC48" s="39"/>
      <c r="AD48" s="39"/>
      <c r="AE48" s="39"/>
      <c r="AF48" s="39"/>
      <c r="AG48" s="39"/>
      <c r="AH48" s="39"/>
      <c r="AI48" s="39"/>
      <c r="AJ48" s="39"/>
      <c r="AK48" s="39"/>
      <c r="AL48" s="39"/>
      <c r="AM48" s="39"/>
      <c r="AN48" s="39"/>
      <c r="AO48" s="39"/>
      <c r="AP48" s="39"/>
      <c r="AQ48" s="39"/>
      <c r="AR48" s="39"/>
      <c r="AS48" s="39"/>
      <c r="AT48" s="39"/>
      <c r="AU48" s="39"/>
      <c r="AV48" s="39"/>
      <c r="AW48" s="39"/>
      <c r="AX48" s="39"/>
      <c r="AY48" s="39"/>
      <c r="AZ48" s="39"/>
      <c r="BA48" s="39"/>
      <c r="BB48" s="39"/>
      <c r="BC48" s="39"/>
      <c r="BD48" s="39"/>
      <c r="BE48" s="39"/>
      <c r="BG48" s="39"/>
      <c r="BH48" s="39"/>
      <c r="BI48" s="39"/>
      <c r="BJ48" s="39"/>
      <c r="BK48" s="39"/>
      <c r="BL48" s="39"/>
      <c r="BM48" s="39"/>
    </row>
    <row r="50" spans="1:66" ht="13">
      <c r="F50" s="26" t="s">
        <v>1</v>
      </c>
    </row>
    <row r="51" spans="1:66">
      <c r="F51" s="18"/>
      <c r="G51" s="17"/>
    </row>
    <row r="52" spans="1:66">
      <c r="F52" s="40" t="s">
        <v>328</v>
      </c>
      <c r="G52" s="17" t="str">
        <f>cstNum</f>
        <v>#</v>
      </c>
      <c r="AA52" s="14">
        <f>$K47</f>
        <v>1912</v>
      </c>
      <c r="AB52" s="14">
        <f>$K47</f>
        <v>1912</v>
      </c>
      <c r="AC52" s="14">
        <f t="shared" ref="AC52:BE52" si="2">$K47</f>
        <v>1912</v>
      </c>
      <c r="AD52" s="14">
        <f t="shared" si="2"/>
        <v>1912</v>
      </c>
      <c r="AE52" s="14">
        <f t="shared" si="2"/>
        <v>1912</v>
      </c>
      <c r="AF52" s="14">
        <f t="shared" si="2"/>
        <v>1912</v>
      </c>
      <c r="AG52" s="14">
        <f t="shared" si="2"/>
        <v>1912</v>
      </c>
      <c r="AH52" s="14">
        <f t="shared" si="2"/>
        <v>1912</v>
      </c>
      <c r="AI52" s="14">
        <f t="shared" si="2"/>
        <v>1912</v>
      </c>
      <c r="AJ52" s="14">
        <f t="shared" si="2"/>
        <v>1912</v>
      </c>
      <c r="AK52" s="14">
        <f t="shared" si="2"/>
        <v>1912</v>
      </c>
      <c r="AL52" s="14">
        <f t="shared" si="2"/>
        <v>1912</v>
      </c>
      <c r="AM52" s="14">
        <f t="shared" si="2"/>
        <v>1912</v>
      </c>
      <c r="AN52" s="14">
        <f t="shared" si="2"/>
        <v>1912</v>
      </c>
      <c r="AO52" s="14">
        <f t="shared" si="2"/>
        <v>1912</v>
      </c>
      <c r="AP52" s="14">
        <f t="shared" si="2"/>
        <v>1912</v>
      </c>
      <c r="AQ52" s="14">
        <f t="shared" si="2"/>
        <v>1912</v>
      </c>
      <c r="AR52" s="14">
        <f t="shared" si="2"/>
        <v>1912</v>
      </c>
      <c r="AS52" s="14">
        <f t="shared" si="2"/>
        <v>1912</v>
      </c>
      <c r="AT52" s="14">
        <f t="shared" si="2"/>
        <v>1912</v>
      </c>
      <c r="AU52" s="14">
        <f t="shared" si="2"/>
        <v>1912</v>
      </c>
      <c r="AV52" s="14">
        <f t="shared" si="2"/>
        <v>1912</v>
      </c>
      <c r="AW52" s="14">
        <f t="shared" si="2"/>
        <v>1912</v>
      </c>
      <c r="AX52" s="14">
        <f t="shared" si="2"/>
        <v>1912</v>
      </c>
      <c r="AY52" s="14">
        <f t="shared" si="2"/>
        <v>1912</v>
      </c>
      <c r="AZ52" s="14">
        <f t="shared" si="2"/>
        <v>1912</v>
      </c>
      <c r="BA52" s="14">
        <f t="shared" si="2"/>
        <v>1912</v>
      </c>
      <c r="BB52" s="14">
        <f t="shared" si="2"/>
        <v>1912</v>
      </c>
      <c r="BC52" s="14">
        <f t="shared" si="2"/>
        <v>1912</v>
      </c>
      <c r="BD52" s="14">
        <f t="shared" si="2"/>
        <v>1912</v>
      </c>
      <c r="BE52" s="14">
        <f t="shared" si="2"/>
        <v>1912</v>
      </c>
      <c r="BG52" s="39"/>
      <c r="BH52" s="39"/>
      <c r="BI52" s="39"/>
      <c r="BJ52" s="39"/>
      <c r="BK52" s="39"/>
      <c r="BL52" s="39"/>
      <c r="BM52" s="39"/>
    </row>
    <row r="53" spans="1:66" customFormat="1"/>
    <row r="54" spans="1:66">
      <c r="A54" s="19">
        <f>IF(MIN(AA54:BE54)&lt;0,1,0)</f>
        <v>0</v>
      </c>
      <c r="F54" s="40" t="s">
        <v>204</v>
      </c>
      <c r="G54" s="17" t="str">
        <f>cstNum</f>
        <v>#</v>
      </c>
      <c r="AA54" s="15">
        <f>AA39/AA52</f>
        <v>0</v>
      </c>
      <c r="AB54" s="15">
        <f>AB39/AB52</f>
        <v>47.071129707112974</v>
      </c>
      <c r="AC54" s="15">
        <f>AC39/AC52</f>
        <v>47.071129707112974</v>
      </c>
      <c r="AD54" s="15">
        <f t="shared" ref="AD54:BE54" si="3">AD39/AD52</f>
        <v>47.071129707112974</v>
      </c>
      <c r="AE54" s="15">
        <f t="shared" si="3"/>
        <v>47.071129707112974</v>
      </c>
      <c r="AF54" s="15">
        <f t="shared" si="3"/>
        <v>47.071129707112974</v>
      </c>
      <c r="AG54" s="15">
        <f t="shared" si="3"/>
        <v>47.071129707112974</v>
      </c>
      <c r="AH54" s="15">
        <f t="shared" si="3"/>
        <v>47.071129707112974</v>
      </c>
      <c r="AI54" s="15">
        <f t="shared" si="3"/>
        <v>47.071129707112974</v>
      </c>
      <c r="AJ54" s="15">
        <f t="shared" si="3"/>
        <v>47.071129707112974</v>
      </c>
      <c r="AK54" s="15">
        <f t="shared" si="3"/>
        <v>47.071129707112974</v>
      </c>
      <c r="AL54" s="15">
        <f t="shared" si="3"/>
        <v>47.071129707112974</v>
      </c>
      <c r="AM54" s="15">
        <f t="shared" si="3"/>
        <v>47.071129707112974</v>
      </c>
      <c r="AN54" s="15">
        <f t="shared" si="3"/>
        <v>47.071129707112974</v>
      </c>
      <c r="AO54" s="15">
        <f t="shared" si="3"/>
        <v>47.071129707112974</v>
      </c>
      <c r="AP54" s="15">
        <f t="shared" si="3"/>
        <v>47.071129707112974</v>
      </c>
      <c r="AQ54" s="15">
        <f t="shared" si="3"/>
        <v>47.071129707112974</v>
      </c>
      <c r="AR54" s="15">
        <f t="shared" si="3"/>
        <v>47.071129707112974</v>
      </c>
      <c r="AS54" s="15">
        <f t="shared" si="3"/>
        <v>47.071129707112974</v>
      </c>
      <c r="AT54" s="15">
        <f t="shared" si="3"/>
        <v>47.071129707112974</v>
      </c>
      <c r="AU54" s="15">
        <f t="shared" si="3"/>
        <v>47.071129707112974</v>
      </c>
      <c r="AV54" s="15">
        <f t="shared" si="3"/>
        <v>47.071129707112974</v>
      </c>
      <c r="AW54" s="15">
        <f t="shared" si="3"/>
        <v>47.071129707112974</v>
      </c>
      <c r="AX54" s="15">
        <f t="shared" si="3"/>
        <v>47.071129707112974</v>
      </c>
      <c r="AY54" s="15">
        <f t="shared" si="3"/>
        <v>47.071129707112974</v>
      </c>
      <c r="AZ54" s="15">
        <f t="shared" si="3"/>
        <v>47.071129707112974</v>
      </c>
      <c r="BA54" s="15">
        <f t="shared" si="3"/>
        <v>47.071129707112974</v>
      </c>
      <c r="BB54" s="15">
        <f t="shared" si="3"/>
        <v>47.071129707112974</v>
      </c>
      <c r="BC54" s="15">
        <f t="shared" si="3"/>
        <v>47.071129707112974</v>
      </c>
      <c r="BD54" s="15">
        <f t="shared" si="3"/>
        <v>47.071129707112974</v>
      </c>
      <c r="BE54" s="15">
        <f t="shared" si="3"/>
        <v>47.071129707112974</v>
      </c>
      <c r="BG54" s="39"/>
      <c r="BH54" s="39"/>
      <c r="BI54" s="39"/>
      <c r="BJ54" s="39"/>
      <c r="BK54" s="39"/>
      <c r="BL54" s="39"/>
      <c r="BM54" s="39"/>
    </row>
    <row r="55" spans="1:66">
      <c r="F55" s="18"/>
      <c r="G55" s="17"/>
    </row>
    <row r="56" spans="1:66">
      <c r="A56" s="19">
        <f>IF(MIN(AA56:BE56)&lt;0,1,0)</f>
        <v>0</v>
      </c>
      <c r="F56" s="40" t="s">
        <v>203</v>
      </c>
      <c r="G56" s="17" t="str">
        <f>cstNum</f>
        <v>#</v>
      </c>
      <c r="AA56" s="15">
        <f>AA54/$K48</f>
        <v>0</v>
      </c>
      <c r="AB56" s="15">
        <f t="shared" ref="AB56:BE56" si="4">AB54/$K48</f>
        <v>58.838912133891213</v>
      </c>
      <c r="AC56" s="15">
        <f t="shared" si="4"/>
        <v>58.838912133891213</v>
      </c>
      <c r="AD56" s="15">
        <f t="shared" si="4"/>
        <v>58.838912133891213</v>
      </c>
      <c r="AE56" s="15">
        <f t="shared" si="4"/>
        <v>58.838912133891213</v>
      </c>
      <c r="AF56" s="15">
        <f t="shared" si="4"/>
        <v>58.838912133891213</v>
      </c>
      <c r="AG56" s="15">
        <f t="shared" si="4"/>
        <v>58.838912133891213</v>
      </c>
      <c r="AH56" s="15">
        <f t="shared" si="4"/>
        <v>58.838912133891213</v>
      </c>
      <c r="AI56" s="15">
        <f t="shared" si="4"/>
        <v>58.838912133891213</v>
      </c>
      <c r="AJ56" s="15">
        <f t="shared" si="4"/>
        <v>58.838912133891213</v>
      </c>
      <c r="AK56" s="15">
        <f t="shared" si="4"/>
        <v>58.838912133891213</v>
      </c>
      <c r="AL56" s="15">
        <f t="shared" si="4"/>
        <v>58.838912133891213</v>
      </c>
      <c r="AM56" s="15">
        <f t="shared" si="4"/>
        <v>58.838912133891213</v>
      </c>
      <c r="AN56" s="15">
        <f t="shared" si="4"/>
        <v>58.838912133891213</v>
      </c>
      <c r="AO56" s="15">
        <f t="shared" si="4"/>
        <v>58.838912133891213</v>
      </c>
      <c r="AP56" s="15">
        <f t="shared" si="4"/>
        <v>58.838912133891213</v>
      </c>
      <c r="AQ56" s="15">
        <f t="shared" si="4"/>
        <v>58.838912133891213</v>
      </c>
      <c r="AR56" s="15">
        <f t="shared" si="4"/>
        <v>58.838912133891213</v>
      </c>
      <c r="AS56" s="15">
        <f t="shared" si="4"/>
        <v>58.838912133891213</v>
      </c>
      <c r="AT56" s="15">
        <f t="shared" si="4"/>
        <v>58.838912133891213</v>
      </c>
      <c r="AU56" s="15">
        <f t="shared" si="4"/>
        <v>58.838912133891213</v>
      </c>
      <c r="AV56" s="15">
        <f t="shared" si="4"/>
        <v>58.838912133891213</v>
      </c>
      <c r="AW56" s="15">
        <f t="shared" si="4"/>
        <v>58.838912133891213</v>
      </c>
      <c r="AX56" s="15">
        <f t="shared" si="4"/>
        <v>58.838912133891213</v>
      </c>
      <c r="AY56" s="15">
        <f t="shared" si="4"/>
        <v>58.838912133891213</v>
      </c>
      <c r="AZ56" s="15">
        <f t="shared" si="4"/>
        <v>58.838912133891213</v>
      </c>
      <c r="BA56" s="15">
        <f t="shared" si="4"/>
        <v>58.838912133891213</v>
      </c>
      <c r="BB56" s="15">
        <f t="shared" si="4"/>
        <v>58.838912133891213</v>
      </c>
      <c r="BC56" s="15">
        <f t="shared" si="4"/>
        <v>58.838912133891213</v>
      </c>
      <c r="BD56" s="15">
        <f t="shared" si="4"/>
        <v>58.838912133891213</v>
      </c>
      <c r="BE56" s="15">
        <f t="shared" si="4"/>
        <v>58.838912133891213</v>
      </c>
      <c r="BG56" s="39"/>
      <c r="BH56" s="39"/>
      <c r="BI56" s="39"/>
      <c r="BJ56" s="39"/>
      <c r="BK56" s="39"/>
      <c r="BL56" s="39"/>
      <c r="BM56" s="39"/>
    </row>
    <row r="57" spans="1:66" customFormat="1"/>
    <row r="58" spans="1:66" ht="14" thickBot="1">
      <c r="A58" s="25"/>
      <c r="B58" s="25"/>
      <c r="C58" s="25"/>
      <c r="D58" s="25"/>
      <c r="E58" s="25" t="s">
        <v>395</v>
      </c>
      <c r="F58" s="25" t="s">
        <v>97</v>
      </c>
      <c r="G58" s="25"/>
      <c r="H58" s="25"/>
      <c r="I58" s="25"/>
      <c r="J58" s="25"/>
      <c r="K58" s="25"/>
      <c r="L58" s="25"/>
      <c r="M58" s="25"/>
      <c r="N58" s="25"/>
      <c r="O58" s="25"/>
      <c r="P58" s="25"/>
      <c r="Q58" s="25"/>
      <c r="R58" s="25"/>
      <c r="S58" s="25"/>
      <c r="T58" s="25"/>
      <c r="U58" s="25"/>
      <c r="V58" s="25"/>
      <c r="W58" s="25"/>
      <c r="X58" s="25"/>
      <c r="Y58" s="25"/>
      <c r="Z58" s="25"/>
      <c r="AA58" s="25"/>
      <c r="AB58" s="25"/>
      <c r="AC58" s="25"/>
      <c r="AD58" s="25"/>
      <c r="AE58" s="25"/>
      <c r="AF58" s="25"/>
      <c r="AG58" s="25"/>
      <c r="AH58" s="25"/>
      <c r="AI58" s="25"/>
      <c r="AJ58" s="25"/>
      <c r="AK58" s="25"/>
      <c r="AL58" s="25"/>
      <c r="AM58" s="25"/>
      <c r="AN58" s="25"/>
      <c r="AO58" s="25"/>
      <c r="AP58" s="25"/>
      <c r="AQ58" s="25"/>
      <c r="AR58" s="25"/>
      <c r="AS58" s="25"/>
      <c r="AT58" s="25"/>
      <c r="AU58" s="25"/>
      <c r="AV58" s="25"/>
      <c r="AW58" s="25"/>
      <c r="AX58" s="25"/>
      <c r="AY58" s="25"/>
      <c r="AZ58" s="25"/>
      <c r="BA58" s="25"/>
      <c r="BB58" s="25"/>
      <c r="BC58" s="25"/>
      <c r="BD58" s="25"/>
      <c r="BE58" s="25"/>
      <c r="BF58" s="25"/>
      <c r="BG58" s="25"/>
      <c r="BH58" s="25"/>
      <c r="BI58" s="25"/>
      <c r="BJ58" s="25"/>
      <c r="BK58" s="25"/>
      <c r="BL58" s="25"/>
      <c r="BM58" s="25"/>
      <c r="BN58" s="25"/>
    </row>
    <row r="59" spans="1:66">
      <c r="F59" s="18"/>
      <c r="G59" s="17"/>
    </row>
    <row r="60" spans="1:66" ht="13">
      <c r="F60" s="26" t="s">
        <v>174</v>
      </c>
      <c r="G60" s="17"/>
    </row>
    <row r="61" spans="1:66">
      <c r="F61" s="18"/>
      <c r="G61" s="17"/>
    </row>
    <row r="62" spans="1:66">
      <c r="F62" s="56" t="s">
        <v>88</v>
      </c>
      <c r="G62" s="17" t="str">
        <f>cstNum</f>
        <v>#</v>
      </c>
      <c r="K62" s="9" cm="1">
        <f t="array" ref="K62">INDEX(iOptions!$M$34:$O$34,1,ActiveCostScenarioIndex)</f>
        <v>15</v>
      </c>
      <c r="AA62" s="39"/>
      <c r="AB62" s="39"/>
      <c r="AC62" s="39"/>
      <c r="AD62" s="39"/>
      <c r="AE62" s="39"/>
      <c r="AF62" s="39"/>
      <c r="AG62" s="39"/>
      <c r="AH62" s="39"/>
      <c r="AI62" s="39"/>
      <c r="AJ62" s="39"/>
      <c r="AK62" s="39"/>
      <c r="AL62" s="39"/>
      <c r="AM62" s="39"/>
      <c r="AN62" s="39"/>
      <c r="AO62" s="39"/>
      <c r="AP62" s="39"/>
      <c r="AQ62" s="39"/>
      <c r="AR62" s="39"/>
      <c r="AS62" s="39"/>
      <c r="AT62" s="39"/>
      <c r="AU62" s="39"/>
      <c r="AV62" s="39"/>
      <c r="AW62" s="39"/>
      <c r="AX62" s="39"/>
      <c r="AY62" s="39"/>
      <c r="AZ62" s="39"/>
      <c r="BA62" s="39"/>
      <c r="BB62" s="39"/>
      <c r="BC62" s="39"/>
      <c r="BD62" s="39"/>
      <c r="BE62" s="39"/>
      <c r="BG62" s="39"/>
      <c r="BH62" s="39"/>
      <c r="BI62" s="39"/>
      <c r="BJ62" s="39"/>
      <c r="BK62" s="39"/>
      <c r="BL62" s="39"/>
      <c r="BM62" s="39"/>
    </row>
    <row r="64" spans="1:66" ht="13">
      <c r="F64" s="26" t="s">
        <v>1</v>
      </c>
    </row>
    <row r="65" spans="1:66">
      <c r="F65" s="18"/>
      <c r="G65" s="17"/>
    </row>
    <row r="66" spans="1:66">
      <c r="A66" s="19">
        <f>IF(MIN(AA66:BE66)&lt;0,1,0)</f>
        <v>0</v>
      </c>
      <c r="F66" s="40" t="s">
        <v>206</v>
      </c>
      <c r="G66" s="17" t="str">
        <f>cstNum</f>
        <v>#</v>
      </c>
      <c r="AA66" s="15">
        <f t="shared" ref="AA66:BE66" si="5">AA54/$K62</f>
        <v>0</v>
      </c>
      <c r="AB66" s="15">
        <f t="shared" si="5"/>
        <v>3.1380753138075317</v>
      </c>
      <c r="AC66" s="15">
        <f t="shared" si="5"/>
        <v>3.1380753138075317</v>
      </c>
      <c r="AD66" s="15">
        <f t="shared" si="5"/>
        <v>3.1380753138075317</v>
      </c>
      <c r="AE66" s="15">
        <f t="shared" si="5"/>
        <v>3.1380753138075317</v>
      </c>
      <c r="AF66" s="15">
        <f t="shared" si="5"/>
        <v>3.1380753138075317</v>
      </c>
      <c r="AG66" s="15">
        <f t="shared" si="5"/>
        <v>3.1380753138075317</v>
      </c>
      <c r="AH66" s="15">
        <f t="shared" si="5"/>
        <v>3.1380753138075317</v>
      </c>
      <c r="AI66" s="15">
        <f t="shared" si="5"/>
        <v>3.1380753138075317</v>
      </c>
      <c r="AJ66" s="15">
        <f t="shared" si="5"/>
        <v>3.1380753138075317</v>
      </c>
      <c r="AK66" s="15">
        <f t="shared" si="5"/>
        <v>3.1380753138075317</v>
      </c>
      <c r="AL66" s="15">
        <f t="shared" si="5"/>
        <v>3.1380753138075317</v>
      </c>
      <c r="AM66" s="15">
        <f t="shared" si="5"/>
        <v>3.1380753138075317</v>
      </c>
      <c r="AN66" s="15">
        <f t="shared" si="5"/>
        <v>3.1380753138075317</v>
      </c>
      <c r="AO66" s="15">
        <f t="shared" si="5"/>
        <v>3.1380753138075317</v>
      </c>
      <c r="AP66" s="15">
        <f t="shared" si="5"/>
        <v>3.1380753138075317</v>
      </c>
      <c r="AQ66" s="15">
        <f t="shared" si="5"/>
        <v>3.1380753138075317</v>
      </c>
      <c r="AR66" s="15">
        <f t="shared" si="5"/>
        <v>3.1380753138075317</v>
      </c>
      <c r="AS66" s="15">
        <f t="shared" si="5"/>
        <v>3.1380753138075317</v>
      </c>
      <c r="AT66" s="15">
        <f t="shared" si="5"/>
        <v>3.1380753138075317</v>
      </c>
      <c r="AU66" s="15">
        <f t="shared" si="5"/>
        <v>3.1380753138075317</v>
      </c>
      <c r="AV66" s="15">
        <f t="shared" si="5"/>
        <v>3.1380753138075317</v>
      </c>
      <c r="AW66" s="15">
        <f t="shared" si="5"/>
        <v>3.1380753138075317</v>
      </c>
      <c r="AX66" s="15">
        <f t="shared" si="5"/>
        <v>3.1380753138075317</v>
      </c>
      <c r="AY66" s="15">
        <f t="shared" si="5"/>
        <v>3.1380753138075317</v>
      </c>
      <c r="AZ66" s="15">
        <f t="shared" si="5"/>
        <v>3.1380753138075317</v>
      </c>
      <c r="BA66" s="15">
        <f t="shared" si="5"/>
        <v>3.1380753138075317</v>
      </c>
      <c r="BB66" s="15">
        <f t="shared" si="5"/>
        <v>3.1380753138075317</v>
      </c>
      <c r="BC66" s="15">
        <f t="shared" si="5"/>
        <v>3.1380753138075317</v>
      </c>
      <c r="BD66" s="15">
        <f t="shared" si="5"/>
        <v>3.1380753138075317</v>
      </c>
      <c r="BE66" s="15">
        <f t="shared" si="5"/>
        <v>3.1380753138075317</v>
      </c>
      <c r="BG66" s="39"/>
      <c r="BH66" s="39"/>
      <c r="BI66" s="39"/>
      <c r="BJ66" s="39"/>
      <c r="BK66" s="39"/>
      <c r="BL66" s="39"/>
      <c r="BM66" s="39"/>
    </row>
    <row r="67" spans="1:66">
      <c r="F67" s="18"/>
      <c r="G67" s="17"/>
    </row>
    <row r="68" spans="1:66">
      <c r="A68" s="19">
        <f>IF(MIN(AA68:BE68)&lt;0,1,0)</f>
        <v>0</v>
      </c>
      <c r="F68" s="40" t="s">
        <v>205</v>
      </c>
      <c r="G68" s="17" t="str">
        <f>cstNum</f>
        <v>#</v>
      </c>
      <c r="AA68" s="15">
        <f t="shared" ref="AA68:BE68" si="6">AA56/$K62</f>
        <v>0</v>
      </c>
      <c r="AB68" s="15">
        <f t="shared" si="6"/>
        <v>3.9225941422594142</v>
      </c>
      <c r="AC68" s="15">
        <f t="shared" si="6"/>
        <v>3.9225941422594142</v>
      </c>
      <c r="AD68" s="15">
        <f t="shared" si="6"/>
        <v>3.9225941422594142</v>
      </c>
      <c r="AE68" s="15">
        <f t="shared" si="6"/>
        <v>3.9225941422594142</v>
      </c>
      <c r="AF68" s="15">
        <f t="shared" si="6"/>
        <v>3.9225941422594142</v>
      </c>
      <c r="AG68" s="15">
        <f t="shared" si="6"/>
        <v>3.9225941422594142</v>
      </c>
      <c r="AH68" s="15">
        <f t="shared" si="6"/>
        <v>3.9225941422594142</v>
      </c>
      <c r="AI68" s="15">
        <f t="shared" si="6"/>
        <v>3.9225941422594142</v>
      </c>
      <c r="AJ68" s="15">
        <f t="shared" si="6"/>
        <v>3.9225941422594142</v>
      </c>
      <c r="AK68" s="15">
        <f t="shared" si="6"/>
        <v>3.9225941422594142</v>
      </c>
      <c r="AL68" s="15">
        <f t="shared" si="6"/>
        <v>3.9225941422594142</v>
      </c>
      <c r="AM68" s="15">
        <f t="shared" si="6"/>
        <v>3.9225941422594142</v>
      </c>
      <c r="AN68" s="15">
        <f t="shared" si="6"/>
        <v>3.9225941422594142</v>
      </c>
      <c r="AO68" s="15">
        <f t="shared" si="6"/>
        <v>3.9225941422594142</v>
      </c>
      <c r="AP68" s="15">
        <f t="shared" si="6"/>
        <v>3.9225941422594142</v>
      </c>
      <c r="AQ68" s="15">
        <f t="shared" si="6"/>
        <v>3.9225941422594142</v>
      </c>
      <c r="AR68" s="15">
        <f t="shared" si="6"/>
        <v>3.9225941422594142</v>
      </c>
      <c r="AS68" s="15">
        <f t="shared" si="6"/>
        <v>3.9225941422594142</v>
      </c>
      <c r="AT68" s="15">
        <f t="shared" si="6"/>
        <v>3.9225941422594142</v>
      </c>
      <c r="AU68" s="15">
        <f t="shared" si="6"/>
        <v>3.9225941422594142</v>
      </c>
      <c r="AV68" s="15">
        <f t="shared" si="6"/>
        <v>3.9225941422594142</v>
      </c>
      <c r="AW68" s="15">
        <f t="shared" si="6"/>
        <v>3.9225941422594142</v>
      </c>
      <c r="AX68" s="15">
        <f t="shared" si="6"/>
        <v>3.9225941422594142</v>
      </c>
      <c r="AY68" s="15">
        <f t="shared" si="6"/>
        <v>3.9225941422594142</v>
      </c>
      <c r="AZ68" s="15">
        <f t="shared" si="6"/>
        <v>3.9225941422594142</v>
      </c>
      <c r="BA68" s="15">
        <f t="shared" si="6"/>
        <v>3.9225941422594142</v>
      </c>
      <c r="BB68" s="15">
        <f t="shared" si="6"/>
        <v>3.9225941422594142</v>
      </c>
      <c r="BC68" s="15">
        <f t="shared" si="6"/>
        <v>3.9225941422594142</v>
      </c>
      <c r="BD68" s="15">
        <f t="shared" si="6"/>
        <v>3.9225941422594142</v>
      </c>
      <c r="BE68" s="15">
        <f t="shared" si="6"/>
        <v>3.9225941422594142</v>
      </c>
      <c r="BG68" s="39"/>
      <c r="BH68" s="39"/>
      <c r="BI68" s="39"/>
      <c r="BJ68" s="39"/>
      <c r="BK68" s="39"/>
      <c r="BL68" s="39"/>
      <c r="BM68" s="39"/>
    </row>
    <row r="69" spans="1:66" customFormat="1">
      <c r="A69" s="40"/>
    </row>
    <row r="70" spans="1:66" ht="14" thickBot="1">
      <c r="A70" s="25"/>
      <c r="B70" s="25"/>
      <c r="C70" s="25"/>
      <c r="D70" s="25"/>
      <c r="E70" s="25" t="s">
        <v>396</v>
      </c>
      <c r="F70" s="25" t="s">
        <v>207</v>
      </c>
      <c r="G70" s="25"/>
      <c r="H70" s="25"/>
      <c r="I70" s="25"/>
      <c r="J70" s="25"/>
      <c r="K70" s="25"/>
      <c r="L70" s="25"/>
      <c r="M70" s="25"/>
      <c r="N70" s="25"/>
      <c r="O70" s="25"/>
      <c r="P70" s="25"/>
      <c r="Q70" s="25"/>
      <c r="R70" s="25"/>
      <c r="S70" s="25"/>
      <c r="T70" s="25"/>
      <c r="U70" s="25"/>
      <c r="V70" s="25"/>
      <c r="W70" s="25"/>
      <c r="X70" s="25"/>
      <c r="Y70" s="25"/>
      <c r="Z70" s="25"/>
      <c r="AA70" s="25"/>
      <c r="AB70" s="25"/>
      <c r="AC70" s="25"/>
      <c r="AD70" s="25"/>
      <c r="AE70" s="25"/>
      <c r="AF70" s="25"/>
      <c r="AG70" s="25"/>
      <c r="AH70" s="25"/>
      <c r="AI70" s="25"/>
      <c r="AJ70" s="25"/>
      <c r="AK70" s="25"/>
      <c r="AL70" s="25"/>
      <c r="AM70" s="25"/>
      <c r="AN70" s="25"/>
      <c r="AO70" s="25"/>
      <c r="AP70" s="25"/>
      <c r="AQ70" s="25"/>
      <c r="AR70" s="25"/>
      <c r="AS70" s="25"/>
      <c r="AT70" s="25"/>
      <c r="AU70" s="25"/>
      <c r="AV70" s="25"/>
      <c r="AW70" s="25"/>
      <c r="AX70" s="25"/>
      <c r="AY70" s="25"/>
      <c r="AZ70" s="25"/>
      <c r="BA70" s="25"/>
      <c r="BB70" s="25"/>
      <c r="BC70" s="25"/>
      <c r="BD70" s="25"/>
      <c r="BE70" s="25"/>
      <c r="BF70" s="25"/>
      <c r="BG70" s="25"/>
      <c r="BH70" s="25"/>
      <c r="BI70" s="25"/>
      <c r="BJ70" s="25"/>
      <c r="BK70" s="25"/>
      <c r="BL70" s="25"/>
      <c r="BM70" s="25"/>
      <c r="BN70" s="25"/>
    </row>
    <row r="71" spans="1:66">
      <c r="F71" s="18"/>
      <c r="G71" s="17"/>
    </row>
    <row r="72" spans="1:66" ht="13">
      <c r="F72" s="26" t="s">
        <v>174</v>
      </c>
      <c r="G72" s="17"/>
    </row>
    <row r="73" spans="1:66">
      <c r="F73" s="18"/>
      <c r="G73" s="17"/>
    </row>
    <row r="74" spans="1:66">
      <c r="F74" s="56" t="s">
        <v>91</v>
      </c>
      <c r="G74" s="17" t="str">
        <f>cstNum</f>
        <v>#</v>
      </c>
      <c r="K74" s="10">
        <f>iOptions!$N40</f>
        <v>3</v>
      </c>
      <c r="AA74" s="39"/>
      <c r="AB74" s="39"/>
      <c r="AC74" s="39"/>
      <c r="AD74" s="39"/>
      <c r="AE74" s="39"/>
      <c r="AF74" s="39"/>
      <c r="AG74" s="39"/>
      <c r="AH74" s="39"/>
      <c r="AI74" s="39"/>
      <c r="AJ74" s="39"/>
      <c r="AK74" s="39"/>
      <c r="AL74" s="39"/>
      <c r="AM74" s="39"/>
      <c r="AN74" s="39"/>
      <c r="AO74" s="39"/>
      <c r="AP74" s="39"/>
      <c r="AQ74" s="39"/>
      <c r="AR74" s="39"/>
      <c r="AS74" s="39"/>
      <c r="AT74" s="39"/>
      <c r="AU74" s="39"/>
      <c r="AV74" s="39"/>
      <c r="AW74" s="39"/>
      <c r="AX74" s="39"/>
      <c r="AY74" s="39"/>
      <c r="AZ74" s="39"/>
      <c r="BA74" s="39"/>
      <c r="BB74" s="39"/>
      <c r="BC74" s="39"/>
      <c r="BD74" s="39"/>
      <c r="BE74" s="39"/>
      <c r="BG74" s="39"/>
      <c r="BH74" s="39"/>
      <c r="BI74" s="39"/>
      <c r="BJ74" s="39"/>
      <c r="BK74" s="39"/>
      <c r="BL74" s="39"/>
      <c r="BM74" s="39"/>
    </row>
    <row r="75" spans="1:66">
      <c r="F75" s="56" t="s">
        <v>92</v>
      </c>
      <c r="G75" s="17" t="str">
        <f>cstNum</f>
        <v>#</v>
      </c>
      <c r="K75" s="10">
        <f>iOptions!$N41</f>
        <v>2</v>
      </c>
      <c r="AA75" s="39"/>
      <c r="AB75" s="39"/>
      <c r="AC75" s="39"/>
      <c r="AD75" s="39"/>
      <c r="AE75" s="39"/>
      <c r="AF75" s="39"/>
      <c r="AG75" s="39"/>
      <c r="AH75" s="39"/>
      <c r="AI75" s="39"/>
      <c r="AJ75" s="39"/>
      <c r="AK75" s="39"/>
      <c r="AL75" s="39"/>
      <c r="AM75" s="39"/>
      <c r="AN75" s="39"/>
      <c r="AO75" s="39"/>
      <c r="AP75" s="39"/>
      <c r="AQ75" s="39"/>
      <c r="AR75" s="39"/>
      <c r="AS75" s="39"/>
      <c r="AT75" s="39"/>
      <c r="AU75" s="39"/>
      <c r="AV75" s="39"/>
      <c r="AW75" s="39"/>
      <c r="AX75" s="39"/>
      <c r="AY75" s="39"/>
      <c r="AZ75" s="39"/>
      <c r="BA75" s="39"/>
      <c r="BB75" s="39"/>
      <c r="BC75" s="39"/>
      <c r="BD75" s="39"/>
      <c r="BE75" s="39"/>
      <c r="BG75" s="39"/>
      <c r="BH75" s="39"/>
      <c r="BI75" s="39"/>
      <c r="BJ75" s="39"/>
      <c r="BK75" s="39"/>
      <c r="BL75" s="39"/>
      <c r="BM75" s="39"/>
    </row>
    <row r="76" spans="1:66">
      <c r="F76" s="56" t="s">
        <v>93</v>
      </c>
      <c r="G76" s="17" t="str">
        <f>cstNum</f>
        <v>#</v>
      </c>
      <c r="K76" s="10">
        <f>iOptions!$N42</f>
        <v>1</v>
      </c>
      <c r="AA76" s="39"/>
      <c r="AB76" s="39"/>
      <c r="AC76" s="39"/>
      <c r="AD76" s="39"/>
      <c r="AE76" s="39"/>
      <c r="AF76" s="39"/>
      <c r="AG76" s="39"/>
      <c r="AH76" s="39"/>
      <c r="AI76" s="39"/>
      <c r="AJ76" s="39"/>
      <c r="AK76" s="39"/>
      <c r="AL76" s="39"/>
      <c r="AM76" s="39"/>
      <c r="AN76" s="39"/>
      <c r="AO76" s="39"/>
      <c r="AP76" s="39"/>
      <c r="AQ76" s="39"/>
      <c r="AR76" s="39"/>
      <c r="AS76" s="39"/>
      <c r="AT76" s="39"/>
      <c r="AU76" s="39"/>
      <c r="AV76" s="39"/>
      <c r="AW76" s="39"/>
      <c r="AX76" s="39"/>
      <c r="AY76" s="39"/>
      <c r="AZ76" s="39"/>
      <c r="BA76" s="39"/>
      <c r="BB76" s="39"/>
      <c r="BC76" s="39"/>
      <c r="BD76" s="39"/>
      <c r="BE76" s="39"/>
      <c r="BG76" s="39"/>
      <c r="BH76" s="39"/>
      <c r="BI76" s="39"/>
      <c r="BJ76" s="39"/>
      <c r="BK76" s="39"/>
      <c r="BL76" s="39"/>
      <c r="BM76" s="39"/>
    </row>
    <row r="77" spans="1:66">
      <c r="F77" s="56" t="s">
        <v>94</v>
      </c>
      <c r="G77" s="17" t="str">
        <f>cstNum</f>
        <v>#</v>
      </c>
      <c r="K77" s="10">
        <f>iOptions!$N43</f>
        <v>1</v>
      </c>
      <c r="AA77" s="39"/>
      <c r="AB77" s="39"/>
      <c r="AC77" s="39"/>
      <c r="AD77" s="39"/>
      <c r="AE77" s="39"/>
      <c r="AF77" s="39"/>
      <c r="AG77" s="39"/>
      <c r="AH77" s="39"/>
      <c r="AI77" s="39"/>
      <c r="AJ77" s="39"/>
      <c r="AK77" s="39"/>
      <c r="AL77" s="39"/>
      <c r="AM77" s="39"/>
      <c r="AN77" s="39"/>
      <c r="AO77" s="39"/>
      <c r="AP77" s="39"/>
      <c r="AQ77" s="39"/>
      <c r="AR77" s="39"/>
      <c r="AS77" s="39"/>
      <c r="AT77" s="39"/>
      <c r="AU77" s="39"/>
      <c r="AV77" s="39"/>
      <c r="AW77" s="39"/>
      <c r="AX77" s="39"/>
      <c r="AY77" s="39"/>
      <c r="AZ77" s="39"/>
      <c r="BA77" s="39"/>
      <c r="BB77" s="39"/>
      <c r="BC77" s="39"/>
      <c r="BD77" s="39"/>
      <c r="BE77" s="39"/>
      <c r="BG77" s="39"/>
      <c r="BH77" s="39"/>
      <c r="BI77" s="39"/>
      <c r="BJ77" s="39"/>
      <c r="BK77" s="39"/>
      <c r="BL77" s="39"/>
      <c r="BM77" s="39"/>
    </row>
    <row r="79" spans="1:66" ht="13">
      <c r="F79" s="26" t="s">
        <v>1</v>
      </c>
    </row>
    <row r="80" spans="1:66">
      <c r="F80" s="18"/>
      <c r="G80" s="17"/>
    </row>
    <row r="81" spans="1:66">
      <c r="A81" s="19">
        <f>IF(MIN(AA81:BE81)&lt;0,1,0)</f>
        <v>0</v>
      </c>
      <c r="F81" s="40" t="s">
        <v>208</v>
      </c>
      <c r="G81" s="17" t="str">
        <f>cstNum</f>
        <v>#</v>
      </c>
      <c r="AA81" s="15">
        <f>SUM($K$74:$K$77)*AA20</f>
        <v>0</v>
      </c>
      <c r="AB81" s="15">
        <f t="shared" ref="AB81:BE81" si="7">SUM($K$74:$K$77)*AB20</f>
        <v>7</v>
      </c>
      <c r="AC81" s="15">
        <f t="shared" si="7"/>
        <v>7</v>
      </c>
      <c r="AD81" s="15">
        <f t="shared" si="7"/>
        <v>7</v>
      </c>
      <c r="AE81" s="15">
        <f t="shared" si="7"/>
        <v>7</v>
      </c>
      <c r="AF81" s="15">
        <f t="shared" si="7"/>
        <v>7</v>
      </c>
      <c r="AG81" s="15">
        <f t="shared" si="7"/>
        <v>7</v>
      </c>
      <c r="AH81" s="15">
        <f t="shared" si="7"/>
        <v>7</v>
      </c>
      <c r="AI81" s="15">
        <f t="shared" si="7"/>
        <v>7</v>
      </c>
      <c r="AJ81" s="15">
        <f t="shared" si="7"/>
        <v>7</v>
      </c>
      <c r="AK81" s="15">
        <f t="shared" si="7"/>
        <v>7</v>
      </c>
      <c r="AL81" s="15">
        <f t="shared" si="7"/>
        <v>7</v>
      </c>
      <c r="AM81" s="15">
        <f t="shared" si="7"/>
        <v>7</v>
      </c>
      <c r="AN81" s="15">
        <f t="shared" si="7"/>
        <v>7</v>
      </c>
      <c r="AO81" s="15">
        <f t="shared" si="7"/>
        <v>7</v>
      </c>
      <c r="AP81" s="15">
        <f t="shared" si="7"/>
        <v>7</v>
      </c>
      <c r="AQ81" s="15">
        <f t="shared" si="7"/>
        <v>7</v>
      </c>
      <c r="AR81" s="15">
        <f t="shared" si="7"/>
        <v>7</v>
      </c>
      <c r="AS81" s="15">
        <f t="shared" si="7"/>
        <v>7</v>
      </c>
      <c r="AT81" s="15">
        <f t="shared" si="7"/>
        <v>7</v>
      </c>
      <c r="AU81" s="15">
        <f t="shared" si="7"/>
        <v>7</v>
      </c>
      <c r="AV81" s="15">
        <f t="shared" si="7"/>
        <v>7</v>
      </c>
      <c r="AW81" s="15">
        <f t="shared" si="7"/>
        <v>7</v>
      </c>
      <c r="AX81" s="15">
        <f t="shared" si="7"/>
        <v>7</v>
      </c>
      <c r="AY81" s="15">
        <f t="shared" si="7"/>
        <v>7</v>
      </c>
      <c r="AZ81" s="15">
        <f t="shared" si="7"/>
        <v>7</v>
      </c>
      <c r="BA81" s="15">
        <f t="shared" si="7"/>
        <v>7</v>
      </c>
      <c r="BB81" s="15">
        <f t="shared" si="7"/>
        <v>7</v>
      </c>
      <c r="BC81" s="15">
        <f t="shared" si="7"/>
        <v>7</v>
      </c>
      <c r="BD81" s="15">
        <f t="shared" si="7"/>
        <v>7</v>
      </c>
      <c r="BE81" s="15">
        <f t="shared" si="7"/>
        <v>7</v>
      </c>
      <c r="BG81" s="39"/>
      <c r="BH81" s="39"/>
      <c r="BI81" s="39"/>
      <c r="BJ81" s="39"/>
      <c r="BK81" s="39"/>
      <c r="BL81" s="39"/>
      <c r="BM81" s="39"/>
    </row>
    <row r="82" spans="1:66">
      <c r="F82" s="18"/>
      <c r="G82" s="17"/>
    </row>
    <row r="83" spans="1:66" ht="14" thickBot="1">
      <c r="A83" s="25"/>
      <c r="B83" s="25"/>
      <c r="C83" s="25"/>
      <c r="D83" s="25"/>
      <c r="E83" s="25" t="s">
        <v>397</v>
      </c>
      <c r="F83" s="25" t="s">
        <v>209</v>
      </c>
      <c r="G83" s="25"/>
      <c r="H83" s="25"/>
      <c r="I83" s="25"/>
      <c r="J83" s="25"/>
      <c r="K83" s="25"/>
      <c r="L83" s="25"/>
      <c r="M83" s="25"/>
      <c r="N83" s="25"/>
      <c r="O83" s="25"/>
      <c r="P83" s="25"/>
      <c r="Q83" s="25"/>
      <c r="R83" s="25"/>
      <c r="S83" s="25"/>
      <c r="T83" s="25"/>
      <c r="U83" s="25"/>
      <c r="V83" s="25"/>
      <c r="W83" s="25"/>
      <c r="X83" s="25"/>
      <c r="Y83" s="25"/>
      <c r="Z83" s="25"/>
      <c r="AA83" s="25"/>
      <c r="AB83" s="25"/>
      <c r="AC83" s="25"/>
      <c r="AD83" s="25"/>
      <c r="AE83" s="25"/>
      <c r="AF83" s="25"/>
      <c r="AG83" s="25"/>
      <c r="AH83" s="25"/>
      <c r="AI83" s="25"/>
      <c r="AJ83" s="25"/>
      <c r="AK83" s="25"/>
      <c r="AL83" s="25"/>
      <c r="AM83" s="25"/>
      <c r="AN83" s="25"/>
      <c r="AO83" s="25"/>
      <c r="AP83" s="25"/>
      <c r="AQ83" s="25"/>
      <c r="AR83" s="25"/>
      <c r="AS83" s="25"/>
      <c r="AT83" s="25"/>
      <c r="AU83" s="25"/>
      <c r="AV83" s="25"/>
      <c r="AW83" s="25"/>
      <c r="AX83" s="25"/>
      <c r="AY83" s="25"/>
      <c r="AZ83" s="25"/>
      <c r="BA83" s="25"/>
      <c r="BB83" s="25"/>
      <c r="BC83" s="25"/>
      <c r="BD83" s="25"/>
      <c r="BE83" s="25"/>
      <c r="BF83" s="25"/>
      <c r="BG83" s="25"/>
      <c r="BH83" s="25"/>
      <c r="BI83" s="25"/>
      <c r="BJ83" s="25"/>
      <c r="BK83" s="25"/>
      <c r="BL83" s="25"/>
      <c r="BM83" s="25"/>
      <c r="BN83" s="25"/>
    </row>
    <row r="84" spans="1:66">
      <c r="F84" s="18"/>
      <c r="G84" s="17"/>
    </row>
    <row r="85" spans="1:66" ht="13">
      <c r="F85" s="26" t="s">
        <v>1</v>
      </c>
    </row>
    <row r="86" spans="1:66">
      <c r="F86" s="18"/>
      <c r="G86" s="17"/>
      <c r="K86" s="46" t="s">
        <v>432</v>
      </c>
    </row>
    <row r="87" spans="1:66">
      <c r="A87" s="19">
        <f>IF(MIN(AA87:BE87)&lt;0,1,0)</f>
        <v>0</v>
      </c>
      <c r="F87" s="40" t="s">
        <v>209</v>
      </c>
      <c r="G87" s="17" t="str">
        <f>cstNum</f>
        <v>#</v>
      </c>
      <c r="K87" s="15">
        <f>MAX(AA87:BE87)</f>
        <v>57.209205020920507</v>
      </c>
      <c r="AA87" s="15">
        <f t="shared" ref="AA87:BE87" si="8">SUM(AA54,AA66,AA81)</f>
        <v>0</v>
      </c>
      <c r="AB87" s="15">
        <f t="shared" si="8"/>
        <v>57.209205020920507</v>
      </c>
      <c r="AC87" s="15">
        <f t="shared" si="8"/>
        <v>57.209205020920507</v>
      </c>
      <c r="AD87" s="15">
        <f t="shared" si="8"/>
        <v>57.209205020920507</v>
      </c>
      <c r="AE87" s="15">
        <f t="shared" si="8"/>
        <v>57.209205020920507</v>
      </c>
      <c r="AF87" s="15">
        <f t="shared" si="8"/>
        <v>57.209205020920507</v>
      </c>
      <c r="AG87" s="15">
        <f t="shared" si="8"/>
        <v>57.209205020920507</v>
      </c>
      <c r="AH87" s="15">
        <f t="shared" si="8"/>
        <v>57.209205020920507</v>
      </c>
      <c r="AI87" s="15">
        <f t="shared" si="8"/>
        <v>57.209205020920507</v>
      </c>
      <c r="AJ87" s="15">
        <f t="shared" si="8"/>
        <v>57.209205020920507</v>
      </c>
      <c r="AK87" s="15">
        <f t="shared" si="8"/>
        <v>57.209205020920507</v>
      </c>
      <c r="AL87" s="15">
        <f t="shared" si="8"/>
        <v>57.209205020920507</v>
      </c>
      <c r="AM87" s="15">
        <f t="shared" si="8"/>
        <v>57.209205020920507</v>
      </c>
      <c r="AN87" s="15">
        <f t="shared" si="8"/>
        <v>57.209205020920507</v>
      </c>
      <c r="AO87" s="15">
        <f t="shared" si="8"/>
        <v>57.209205020920507</v>
      </c>
      <c r="AP87" s="15">
        <f t="shared" si="8"/>
        <v>57.209205020920507</v>
      </c>
      <c r="AQ87" s="15">
        <f t="shared" si="8"/>
        <v>57.209205020920507</v>
      </c>
      <c r="AR87" s="15">
        <f t="shared" si="8"/>
        <v>57.209205020920507</v>
      </c>
      <c r="AS87" s="15">
        <f t="shared" si="8"/>
        <v>57.209205020920507</v>
      </c>
      <c r="AT87" s="15">
        <f t="shared" si="8"/>
        <v>57.209205020920507</v>
      </c>
      <c r="AU87" s="15">
        <f t="shared" si="8"/>
        <v>57.209205020920507</v>
      </c>
      <c r="AV87" s="15">
        <f t="shared" si="8"/>
        <v>57.209205020920507</v>
      </c>
      <c r="AW87" s="15">
        <f t="shared" si="8"/>
        <v>57.209205020920507</v>
      </c>
      <c r="AX87" s="15">
        <f t="shared" si="8"/>
        <v>57.209205020920507</v>
      </c>
      <c r="AY87" s="15">
        <f t="shared" si="8"/>
        <v>57.209205020920507</v>
      </c>
      <c r="AZ87" s="15">
        <f t="shared" si="8"/>
        <v>57.209205020920507</v>
      </c>
      <c r="BA87" s="15">
        <f t="shared" si="8"/>
        <v>57.209205020920507</v>
      </c>
      <c r="BB87" s="15">
        <f t="shared" si="8"/>
        <v>57.209205020920507</v>
      </c>
      <c r="BC87" s="15">
        <f t="shared" si="8"/>
        <v>57.209205020920507</v>
      </c>
      <c r="BD87" s="15">
        <f t="shared" si="8"/>
        <v>57.209205020920507</v>
      </c>
      <c r="BE87" s="15">
        <f t="shared" si="8"/>
        <v>57.209205020920507</v>
      </c>
      <c r="BG87" s="39"/>
      <c r="BH87" s="39"/>
      <c r="BI87" s="39"/>
      <c r="BJ87" s="39"/>
      <c r="BK87" s="39"/>
      <c r="BL87" s="39"/>
      <c r="BM87" s="39"/>
    </row>
    <row r="88" spans="1:66">
      <c r="F88" s="18"/>
      <c r="G88" s="17"/>
    </row>
    <row r="89" spans="1:66" ht="16">
      <c r="A89" s="24"/>
      <c r="B89" s="24"/>
      <c r="C89" s="24"/>
      <c r="D89" s="24">
        <v>5</v>
      </c>
      <c r="E89" s="24" t="s">
        <v>210</v>
      </c>
      <c r="F89" s="24"/>
      <c r="G89" s="24"/>
      <c r="H89" s="24"/>
      <c r="I89" s="24"/>
      <c r="J89" s="24"/>
      <c r="K89" s="24"/>
      <c r="L89" s="24"/>
      <c r="M89" s="24"/>
      <c r="N89" s="24"/>
      <c r="O89" s="24"/>
      <c r="P89" s="24"/>
      <c r="Q89" s="24"/>
      <c r="R89" s="24"/>
      <c r="S89" s="24"/>
      <c r="T89" s="24"/>
      <c r="U89" s="24"/>
      <c r="V89" s="24"/>
      <c r="W89" s="24"/>
      <c r="X89" s="24"/>
      <c r="Y89" s="24"/>
      <c r="Z89" s="24"/>
      <c r="AA89" s="24"/>
      <c r="AB89" s="24"/>
      <c r="AC89" s="24"/>
      <c r="AD89" s="24"/>
      <c r="AE89" s="24"/>
      <c r="AF89" s="24"/>
      <c r="AG89" s="24"/>
      <c r="AH89" s="24"/>
      <c r="AI89" s="24"/>
      <c r="AJ89" s="24"/>
      <c r="AK89" s="24"/>
      <c r="AL89" s="24"/>
      <c r="AM89" s="24"/>
      <c r="AN89" s="24"/>
      <c r="AO89" s="24"/>
      <c r="AP89" s="24"/>
      <c r="AQ89" s="24"/>
      <c r="AR89" s="24"/>
      <c r="AS89" s="24"/>
      <c r="AT89" s="24"/>
      <c r="AU89" s="24"/>
      <c r="AV89" s="24"/>
      <c r="AW89" s="24"/>
      <c r="AX89" s="24"/>
      <c r="AY89" s="24"/>
      <c r="AZ89" s="24"/>
      <c r="BA89" s="24"/>
      <c r="BB89" s="24"/>
      <c r="BC89" s="24"/>
      <c r="BD89" s="24"/>
      <c r="BE89" s="24"/>
      <c r="BF89" s="24"/>
      <c r="BG89" s="24"/>
      <c r="BH89" s="24"/>
      <c r="BI89" s="24"/>
      <c r="BJ89" s="24"/>
      <c r="BK89" s="24"/>
      <c r="BL89" s="24"/>
      <c r="BM89" s="24"/>
      <c r="BN89" s="24"/>
    </row>
    <row r="90" spans="1:66">
      <c r="F90" s="18"/>
      <c r="G90" s="17"/>
    </row>
    <row r="91" spans="1:66" ht="14" thickBot="1">
      <c r="A91" s="25"/>
      <c r="B91" s="25"/>
      <c r="C91" s="25"/>
      <c r="D91" s="25"/>
      <c r="E91" s="25" t="s">
        <v>392</v>
      </c>
      <c r="F91" s="25" t="s">
        <v>210</v>
      </c>
      <c r="G91" s="25"/>
      <c r="H91" s="25"/>
      <c r="I91" s="25"/>
      <c r="J91" s="25"/>
      <c r="K91" s="25"/>
      <c r="L91" s="25"/>
      <c r="M91" s="25"/>
      <c r="N91" s="25"/>
      <c r="O91" s="25"/>
      <c r="P91" s="25"/>
      <c r="Q91" s="25"/>
      <c r="R91" s="25"/>
      <c r="S91" s="25"/>
      <c r="T91" s="25"/>
      <c r="U91" s="25"/>
      <c r="V91" s="25"/>
      <c r="W91" s="25"/>
      <c r="X91" s="25"/>
      <c r="Y91" s="25"/>
      <c r="Z91" s="25"/>
      <c r="AA91" s="25"/>
      <c r="AB91" s="25"/>
      <c r="AC91" s="25"/>
      <c r="AD91" s="25"/>
      <c r="AE91" s="25"/>
      <c r="AF91" s="25"/>
      <c r="AG91" s="25"/>
      <c r="AH91" s="25"/>
      <c r="AI91" s="25"/>
      <c r="AJ91" s="25"/>
      <c r="AK91" s="25"/>
      <c r="AL91" s="25"/>
      <c r="AM91" s="25"/>
      <c r="AN91" s="25"/>
      <c r="AO91" s="25"/>
      <c r="AP91" s="25"/>
      <c r="AQ91" s="25"/>
      <c r="AR91" s="25"/>
      <c r="AS91" s="25"/>
      <c r="AT91" s="25"/>
      <c r="AU91" s="25"/>
      <c r="AV91" s="25"/>
      <c r="AW91" s="25"/>
      <c r="AX91" s="25"/>
      <c r="AY91" s="25"/>
      <c r="AZ91" s="25"/>
      <c r="BA91" s="25"/>
      <c r="BB91" s="25"/>
      <c r="BC91" s="25"/>
      <c r="BD91" s="25"/>
      <c r="BE91" s="25"/>
      <c r="BF91" s="25"/>
      <c r="BG91" s="25"/>
      <c r="BH91" s="25"/>
      <c r="BI91" s="25"/>
      <c r="BJ91" s="25"/>
      <c r="BK91" s="25"/>
      <c r="BL91" s="25"/>
      <c r="BM91" s="25"/>
      <c r="BN91" s="25"/>
    </row>
    <row r="92" spans="1:66">
      <c r="F92" s="18"/>
      <c r="G92" s="17"/>
    </row>
    <row r="93" spans="1:66" ht="13">
      <c r="F93" s="26" t="s">
        <v>174</v>
      </c>
      <c r="G93" s="17"/>
    </row>
    <row r="94" spans="1:66">
      <c r="F94" s="18"/>
      <c r="G94" s="17"/>
    </row>
    <row r="95" spans="1:66">
      <c r="F95" s="40" t="s">
        <v>323</v>
      </c>
      <c r="G95" s="17" t="str" cm="1">
        <f t="array" ref="G95">cstArea&amp;"/"&amp;cstFTE</f>
        <v>m2/FTE</v>
      </c>
      <c r="K95" s="9" cm="1">
        <f t="array" ref="K95">INDEX(iOptions!$M$131:$O$131,1,ActiveCostScenarioIndex)</f>
        <v>15</v>
      </c>
      <c r="AA95" s="39"/>
      <c r="AB95" s="39"/>
      <c r="AC95" s="39"/>
      <c r="AD95" s="39"/>
      <c r="AE95" s="39"/>
      <c r="AF95" s="39"/>
      <c r="AG95" s="39"/>
      <c r="AH95" s="39"/>
      <c r="AI95" s="39"/>
      <c r="AJ95" s="39"/>
      <c r="AK95" s="39"/>
      <c r="AL95" s="39"/>
      <c r="AM95" s="39"/>
      <c r="AN95" s="39"/>
      <c r="AO95" s="39"/>
      <c r="AP95" s="39"/>
      <c r="AQ95" s="39"/>
      <c r="AR95" s="39"/>
      <c r="AS95" s="39"/>
      <c r="AT95" s="39"/>
      <c r="AU95" s="39"/>
      <c r="AV95" s="39"/>
      <c r="AW95" s="39"/>
      <c r="AX95" s="39"/>
      <c r="AY95" s="39"/>
      <c r="AZ95" s="39"/>
      <c r="BA95" s="39"/>
      <c r="BB95" s="39"/>
      <c r="BC95" s="39"/>
      <c r="BD95" s="39"/>
      <c r="BE95" s="39"/>
      <c r="BG95" s="39"/>
      <c r="BH95" s="39"/>
      <c r="BI95" s="39"/>
      <c r="BJ95" s="39"/>
      <c r="BK95" s="39"/>
      <c r="BL95" s="39"/>
      <c r="BM95" s="39"/>
    </row>
    <row r="97" spans="1:66" ht="13">
      <c r="F97" s="26" t="s">
        <v>1</v>
      </c>
    </row>
    <row r="98" spans="1:66">
      <c r="F98" s="18"/>
      <c r="G98" s="17"/>
      <c r="K98" s="46" t="s">
        <v>432</v>
      </c>
    </row>
    <row r="99" spans="1:66">
      <c r="A99" s="19">
        <f>IF(MIN(AA99:BE99)&lt;0,1,0)</f>
        <v>0</v>
      </c>
      <c r="F99" s="40" t="s">
        <v>123</v>
      </c>
      <c r="G99" s="17" t="str">
        <f>cstArea</f>
        <v>m2</v>
      </c>
      <c r="K99" s="14">
        <f>$K95*K87</f>
        <v>858.13807531380758</v>
      </c>
      <c r="AA99" s="14">
        <f>$K$99</f>
        <v>858.13807531380758</v>
      </c>
      <c r="AB99" s="14">
        <f t="shared" ref="AB99:BE99" si="9">$K$99</f>
        <v>858.13807531380758</v>
      </c>
      <c r="AC99" s="14">
        <f t="shared" si="9"/>
        <v>858.13807531380758</v>
      </c>
      <c r="AD99" s="14">
        <f t="shared" si="9"/>
        <v>858.13807531380758</v>
      </c>
      <c r="AE99" s="14">
        <f t="shared" si="9"/>
        <v>858.13807531380758</v>
      </c>
      <c r="AF99" s="14">
        <f t="shared" si="9"/>
        <v>858.13807531380758</v>
      </c>
      <c r="AG99" s="14">
        <f t="shared" si="9"/>
        <v>858.13807531380758</v>
      </c>
      <c r="AH99" s="14">
        <f t="shared" si="9"/>
        <v>858.13807531380758</v>
      </c>
      <c r="AI99" s="14">
        <f t="shared" si="9"/>
        <v>858.13807531380758</v>
      </c>
      <c r="AJ99" s="14">
        <f t="shared" si="9"/>
        <v>858.13807531380758</v>
      </c>
      <c r="AK99" s="14">
        <f t="shared" si="9"/>
        <v>858.13807531380758</v>
      </c>
      <c r="AL99" s="14">
        <f t="shared" si="9"/>
        <v>858.13807531380758</v>
      </c>
      <c r="AM99" s="14">
        <f t="shared" si="9"/>
        <v>858.13807531380758</v>
      </c>
      <c r="AN99" s="14">
        <f t="shared" si="9"/>
        <v>858.13807531380758</v>
      </c>
      <c r="AO99" s="14">
        <f t="shared" si="9"/>
        <v>858.13807531380758</v>
      </c>
      <c r="AP99" s="14">
        <f t="shared" si="9"/>
        <v>858.13807531380758</v>
      </c>
      <c r="AQ99" s="14">
        <f t="shared" si="9"/>
        <v>858.13807531380758</v>
      </c>
      <c r="AR99" s="14">
        <f t="shared" si="9"/>
        <v>858.13807531380758</v>
      </c>
      <c r="AS99" s="14">
        <f t="shared" si="9"/>
        <v>858.13807531380758</v>
      </c>
      <c r="AT99" s="14">
        <f t="shared" si="9"/>
        <v>858.13807531380758</v>
      </c>
      <c r="AU99" s="14">
        <f t="shared" si="9"/>
        <v>858.13807531380758</v>
      </c>
      <c r="AV99" s="14">
        <f t="shared" si="9"/>
        <v>858.13807531380758</v>
      </c>
      <c r="AW99" s="14">
        <f t="shared" si="9"/>
        <v>858.13807531380758</v>
      </c>
      <c r="AX99" s="14">
        <f t="shared" si="9"/>
        <v>858.13807531380758</v>
      </c>
      <c r="AY99" s="14">
        <f t="shared" si="9"/>
        <v>858.13807531380758</v>
      </c>
      <c r="AZ99" s="14">
        <f t="shared" si="9"/>
        <v>858.13807531380758</v>
      </c>
      <c r="BA99" s="14">
        <f t="shared" si="9"/>
        <v>858.13807531380758</v>
      </c>
      <c r="BB99" s="14">
        <f t="shared" si="9"/>
        <v>858.13807531380758</v>
      </c>
      <c r="BC99" s="14">
        <f t="shared" si="9"/>
        <v>858.13807531380758</v>
      </c>
      <c r="BD99" s="14">
        <f t="shared" si="9"/>
        <v>858.13807531380758</v>
      </c>
      <c r="BE99" s="14">
        <f t="shared" si="9"/>
        <v>858.13807531380758</v>
      </c>
      <c r="BG99" s="39"/>
      <c r="BH99" s="39"/>
      <c r="BI99" s="39"/>
      <c r="BJ99" s="39"/>
      <c r="BK99" s="39"/>
      <c r="BL99" s="39"/>
      <c r="BM99" s="39"/>
    </row>
    <row r="100" spans="1:66">
      <c r="F100" s="18"/>
      <c r="G100" s="17"/>
    </row>
    <row r="101" spans="1:66" ht="16">
      <c r="A101" s="24"/>
      <c r="B101" s="24"/>
      <c r="C101" s="24"/>
      <c r="D101" s="24" t="s">
        <v>8</v>
      </c>
      <c r="E101" s="24"/>
      <c r="F101" s="24"/>
      <c r="G101" s="24"/>
      <c r="H101" s="24"/>
      <c r="I101" s="24"/>
      <c r="J101" s="24"/>
      <c r="K101" s="24"/>
      <c r="L101" s="24"/>
      <c r="M101" s="24"/>
      <c r="N101" s="24"/>
      <c r="O101" s="24"/>
      <c r="P101" s="24"/>
      <c r="Q101" s="24"/>
      <c r="R101" s="24"/>
      <c r="S101" s="24"/>
      <c r="T101" s="24"/>
      <c r="U101" s="24"/>
      <c r="V101" s="24"/>
      <c r="W101" s="24"/>
      <c r="X101" s="24"/>
      <c r="Y101" s="24"/>
      <c r="Z101" s="24"/>
      <c r="AA101" s="24"/>
      <c r="AB101" s="24"/>
      <c r="AC101" s="24"/>
      <c r="AD101" s="24"/>
      <c r="AE101" s="24"/>
      <c r="AF101" s="24"/>
      <c r="AG101" s="24"/>
      <c r="AH101" s="24"/>
      <c r="AI101" s="24"/>
      <c r="AJ101" s="24"/>
      <c r="AK101" s="24"/>
      <c r="AL101" s="24"/>
      <c r="AM101" s="24"/>
      <c r="AN101" s="24"/>
      <c r="AO101" s="24"/>
      <c r="AP101" s="24"/>
      <c r="AQ101" s="24"/>
      <c r="AR101" s="24"/>
      <c r="AS101" s="24"/>
      <c r="AT101" s="24"/>
      <c r="AU101" s="24"/>
      <c r="AV101" s="24"/>
      <c r="AW101" s="24"/>
      <c r="AX101" s="24"/>
      <c r="AY101" s="24"/>
      <c r="AZ101" s="24"/>
      <c r="BA101" s="24"/>
      <c r="BB101" s="24"/>
      <c r="BC101" s="24"/>
      <c r="BD101" s="24"/>
      <c r="BE101" s="24"/>
      <c r="BF101" s="24"/>
      <c r="BG101" s="24"/>
      <c r="BH101" s="24"/>
      <c r="BI101" s="24"/>
      <c r="BJ101" s="24"/>
      <c r="BK101" s="24"/>
      <c r="BL101" s="24"/>
      <c r="BM101" s="24"/>
      <c r="BN101" s="24"/>
    </row>
  </sheetData>
  <sheetProtection algorithmName="SHA-512" hashValue="VmGa2TjwhzrCuuRnZHU1qd0CUW9oDjl1tyXZ5ircFZ3eiUfsJVP+WZcFo13AQj/P6eTWxavO06KJUTGll4YN+A==" saltValue="tGWpzxn5Q7HlfY+5Xd6aeQ==" spinCount="100000" sheet="1" objects="1" scenarios="1" formatColumns="0" formatRows="0"/>
  <conditionalFormatting sqref="C5:F5">
    <cfRule type="expression" dxfId="20" priority="1">
      <formula>IF(AND(sysChk=0,sysWarn=0),1,0)</formula>
    </cfRule>
    <cfRule type="expression" dxfId="19" priority="2">
      <formula>IF(AND(sysChk=0,sysWarn&lt;&gt;0),1,0)</formula>
    </cfRule>
    <cfRule type="expression" dxfId="18" priority="3">
      <formula>IF(sysChk&lt;&gt;0,1,0)</formula>
    </cfRule>
  </conditionalFormatting>
  <pageMargins left="0.70866141732283472" right="0.70866141732283472" top="0.74803149606299213" bottom="0.74803149606299213" header="0.31496062992125984" footer="0.31496062992125984"/>
  <pageSetup paperSize="9" scale="25" orientation="landscape" r:id="rId1"/>
  <headerFooter>
    <oddFooter>&amp;F</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6387" r:id="rId4" name="Drop Down 3">
              <controlPr defaultSize="0" autoLine="0" autoPict="0">
                <anchor moveWithCells="1">
                  <from>
                    <xdr:col>7</xdr:col>
                    <xdr:colOff>139700</xdr:colOff>
                    <xdr:row>12</xdr:row>
                    <xdr:rowOff>139700</xdr:rowOff>
                  </from>
                  <to>
                    <xdr:col>10</xdr:col>
                    <xdr:colOff>444500</xdr:colOff>
                    <xdr:row>14</xdr:row>
                    <xdr:rowOff>0</xdr:rowOff>
                  </to>
                </anchor>
              </controlPr>
            </control>
          </mc:Choice>
        </mc:AlternateContent>
        <mc:AlternateContent xmlns:mc="http://schemas.openxmlformats.org/markup-compatibility/2006">
          <mc:Choice Requires="x14">
            <control shapeId="16388" r:id="rId5" name="Drop Down 4">
              <controlPr defaultSize="0" autoLine="0" autoPict="0">
                <anchor moveWithCells="1">
                  <from>
                    <xdr:col>7</xdr:col>
                    <xdr:colOff>139700</xdr:colOff>
                    <xdr:row>14</xdr:row>
                    <xdr:rowOff>139700</xdr:rowOff>
                  </from>
                  <to>
                    <xdr:col>10</xdr:col>
                    <xdr:colOff>444500</xdr:colOff>
                    <xdr:row>16</xdr:row>
                    <xdr:rowOff>0</xdr:rowOff>
                  </to>
                </anchor>
              </controlPr>
            </control>
          </mc:Choice>
        </mc:AlternateContent>
      </controls>
    </mc:Choice>
  </mc:AlternateConten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7F4D50-A1CC-4083-A549-AD212200DA46}">
  <sheetPr codeName="Sheet24">
    <tabColor rgb="FF00B050"/>
    <pageSetUpPr fitToPage="1"/>
  </sheetPr>
  <dimension ref="A1:BR484"/>
  <sheetViews>
    <sheetView showGridLines="0" zoomScale="80" zoomScaleNormal="80" workbookViewId="0">
      <pane xSplit="26" ySplit="9" topLeftCell="AA10" activePane="bottomRight" state="frozen"/>
      <selection pane="topRight"/>
      <selection pane="bottomLeft"/>
      <selection pane="bottomRight"/>
    </sheetView>
  </sheetViews>
  <sheetFormatPr baseColWidth="10" defaultColWidth="0" defaultRowHeight="12" outlineLevelCol="1"/>
  <cols>
    <col min="1" max="2" width="5.796875" style="40" customWidth="1"/>
    <col min="3" max="3" width="8" style="40" bestFit="1" customWidth="1"/>
    <col min="4" max="5" width="3.59765625" style="40" customWidth="1"/>
    <col min="6" max="6" width="39.59765625" style="40" bestFit="1" customWidth="1"/>
    <col min="7" max="7" width="14.59765625" style="40" bestFit="1" customWidth="1"/>
    <col min="8" max="8" width="2.19921875" style="40" customWidth="1"/>
    <col min="9" max="9" width="13.59765625" style="40" bestFit="1" customWidth="1"/>
    <col min="10" max="10" width="2.19921875" style="40" customWidth="1"/>
    <col min="11" max="11" width="14.796875" style="40" bestFit="1" customWidth="1"/>
    <col min="12" max="25" width="2.19921875" style="40" hidden="1" customWidth="1" outlineLevel="1"/>
    <col min="26" max="26" width="2.19921875" style="40" customWidth="1" collapsed="1"/>
    <col min="27" max="65" width="12.796875" style="40" customWidth="1"/>
    <col min="66" max="66" width="8.796875" style="40" hidden="1" customWidth="1"/>
    <col min="67" max="70" width="0" style="40" hidden="1" customWidth="1"/>
    <col min="71" max="16384" width="8.796875" style="40" hidden="1"/>
  </cols>
  <sheetData>
    <row r="1" spans="1:66">
      <c r="A1" s="95"/>
      <c r="B1" s="95"/>
      <c r="C1" s="96" t="s">
        <v>436</v>
      </c>
      <c r="D1" s="95"/>
      <c r="E1" s="95"/>
      <c r="F1" s="95"/>
      <c r="G1" s="95"/>
      <c r="H1" s="95"/>
      <c r="I1" s="95"/>
      <c r="J1" s="95"/>
      <c r="K1" s="95"/>
      <c r="L1" s="95"/>
      <c r="M1" s="95"/>
      <c r="N1" s="95"/>
      <c r="O1" s="95"/>
      <c r="P1" s="95"/>
      <c r="Q1" s="95"/>
      <c r="R1" s="95"/>
      <c r="S1" s="95"/>
      <c r="T1" s="95"/>
      <c r="U1" s="95"/>
      <c r="V1" s="95"/>
      <c r="W1" s="95"/>
      <c r="X1" s="95"/>
      <c r="Y1" s="95"/>
      <c r="Z1" s="95"/>
      <c r="AA1" s="95"/>
      <c r="AB1" s="95"/>
      <c r="AC1" s="95"/>
      <c r="AD1" s="95"/>
      <c r="AE1" s="95"/>
      <c r="AF1" s="95"/>
      <c r="AG1" s="95"/>
      <c r="AH1" s="95"/>
      <c r="AI1" s="95"/>
      <c r="AJ1" s="95"/>
      <c r="AK1" s="95"/>
      <c r="AL1" s="95"/>
      <c r="AM1" s="95"/>
      <c r="AN1" s="95"/>
      <c r="AO1" s="95"/>
      <c r="AP1" s="95"/>
      <c r="AQ1" s="95"/>
      <c r="AR1" s="95"/>
      <c r="AS1" s="95"/>
      <c r="AT1" s="95"/>
      <c r="AU1" s="95"/>
      <c r="AV1" s="95"/>
      <c r="AW1" s="95"/>
      <c r="AX1" s="95"/>
      <c r="AY1" s="95"/>
      <c r="AZ1" s="95"/>
      <c r="BA1" s="95"/>
      <c r="BB1" s="95"/>
      <c r="BC1" s="95"/>
      <c r="BD1" s="95"/>
      <c r="BE1" s="95"/>
      <c r="BF1" s="95"/>
      <c r="BG1" s="95"/>
      <c r="BH1" s="95"/>
      <c r="BI1" s="95"/>
      <c r="BJ1" s="95"/>
      <c r="BK1" s="95"/>
      <c r="BL1" s="95"/>
      <c r="BM1" s="95"/>
      <c r="BN1" s="21"/>
    </row>
    <row r="2" spans="1:66" ht="13">
      <c r="A2" s="95"/>
      <c r="B2" s="95"/>
      <c r="C2" s="98" t="str">
        <f>cstProjectName</f>
        <v>Should Cost Modelling Case Study - Illustrative SCM</v>
      </c>
      <c r="D2" s="95"/>
      <c r="E2" s="95"/>
      <c r="F2" s="95"/>
      <c r="G2" s="95"/>
      <c r="H2" s="95"/>
      <c r="I2" s="95"/>
      <c r="J2" s="95"/>
      <c r="K2" s="95"/>
      <c r="L2" s="95"/>
      <c r="M2" s="95"/>
      <c r="N2" s="95"/>
      <c r="O2" s="95"/>
      <c r="P2" s="95"/>
      <c r="Q2" s="95"/>
      <c r="R2" s="95"/>
      <c r="S2" s="95"/>
      <c r="T2" s="95"/>
      <c r="U2" s="95"/>
      <c r="V2" s="95"/>
      <c r="W2" s="95"/>
      <c r="X2" s="95"/>
      <c r="Y2" s="95"/>
      <c r="Z2" s="105" t="str">
        <f>SysTime!Z2</f>
        <v>Period Start</v>
      </c>
      <c r="AA2" s="57">
        <f>SysTime!AA2</f>
        <v>44652</v>
      </c>
      <c r="AB2" s="57">
        <f>SysTime!AB2</f>
        <v>45017</v>
      </c>
      <c r="AC2" s="57">
        <f>SysTime!AC2</f>
        <v>45383</v>
      </c>
      <c r="AD2" s="57">
        <f>SysTime!AD2</f>
        <v>45748</v>
      </c>
      <c r="AE2" s="57">
        <f>SysTime!AE2</f>
        <v>46113</v>
      </c>
      <c r="AF2" s="57">
        <f>SysTime!AF2</f>
        <v>46478</v>
      </c>
      <c r="AG2" s="57">
        <f>SysTime!AG2</f>
        <v>46844</v>
      </c>
      <c r="AH2" s="57">
        <f>SysTime!AH2</f>
        <v>47209</v>
      </c>
      <c r="AI2" s="57">
        <f>SysTime!AI2</f>
        <v>47574</v>
      </c>
      <c r="AJ2" s="57">
        <f>SysTime!AJ2</f>
        <v>47939</v>
      </c>
      <c r="AK2" s="57">
        <f>SysTime!AK2</f>
        <v>48305</v>
      </c>
      <c r="AL2" s="57">
        <f>SysTime!AL2</f>
        <v>48670</v>
      </c>
      <c r="AM2" s="57">
        <f>SysTime!AM2</f>
        <v>49035</v>
      </c>
      <c r="AN2" s="57">
        <f>SysTime!AN2</f>
        <v>49400</v>
      </c>
      <c r="AO2" s="57">
        <f>SysTime!AO2</f>
        <v>49766</v>
      </c>
      <c r="AP2" s="57">
        <f>SysTime!AP2</f>
        <v>50131</v>
      </c>
      <c r="AQ2" s="57">
        <f>SysTime!AQ2</f>
        <v>50496</v>
      </c>
      <c r="AR2" s="57">
        <f>SysTime!AR2</f>
        <v>50861</v>
      </c>
      <c r="AS2" s="57">
        <f>SysTime!AS2</f>
        <v>51227</v>
      </c>
      <c r="AT2" s="57">
        <f>SysTime!AT2</f>
        <v>51592</v>
      </c>
      <c r="AU2" s="57">
        <f>SysTime!AU2</f>
        <v>51957</v>
      </c>
      <c r="AV2" s="57">
        <f>SysTime!AV2</f>
        <v>52322</v>
      </c>
      <c r="AW2" s="57">
        <f>SysTime!AW2</f>
        <v>52688</v>
      </c>
      <c r="AX2" s="57">
        <f>SysTime!AX2</f>
        <v>53053</v>
      </c>
      <c r="AY2" s="57">
        <f>SysTime!AY2</f>
        <v>53418</v>
      </c>
      <c r="AZ2" s="57">
        <f>SysTime!AZ2</f>
        <v>53783</v>
      </c>
      <c r="BA2" s="57">
        <f>SysTime!BA2</f>
        <v>54149</v>
      </c>
      <c r="BB2" s="57">
        <f>SysTime!BB2</f>
        <v>54514</v>
      </c>
      <c r="BC2" s="57">
        <f>SysTime!BC2</f>
        <v>54879</v>
      </c>
      <c r="BD2" s="57">
        <f>SysTime!BD2</f>
        <v>55244</v>
      </c>
      <c r="BE2" s="57">
        <f>SysTime!BE2</f>
        <v>55610</v>
      </c>
      <c r="BF2" s="58"/>
      <c r="BG2" s="59">
        <f>SysTime!BG2</f>
        <v>44652</v>
      </c>
      <c r="BH2" s="59">
        <f>SysTime!BH2</f>
        <v>45017</v>
      </c>
      <c r="BI2" s="59">
        <f>SysTime!BI2</f>
        <v>46844</v>
      </c>
      <c r="BJ2" s="59">
        <f>SysTime!BJ2</f>
        <v>48670</v>
      </c>
      <c r="BK2" s="59">
        <f>SysTime!BK2</f>
        <v>50496</v>
      </c>
      <c r="BL2" s="59">
        <f>SysTime!BL2</f>
        <v>52322</v>
      </c>
      <c r="BM2" s="59">
        <f>SysTime!BM2</f>
        <v>54149</v>
      </c>
      <c r="BN2" s="33"/>
    </row>
    <row r="3" spans="1:66" ht="13">
      <c r="A3" s="95"/>
      <c r="B3" s="95"/>
      <c r="C3" s="100" t="str">
        <f ca="1">MID(CELL("filename",A1),FIND("]",CELL("filename",A1))+1,256)&amp;" Sheet"</f>
        <v>cCosts Sheet</v>
      </c>
      <c r="D3" s="95"/>
      <c r="E3" s="95"/>
      <c r="F3" s="95"/>
      <c r="G3" s="95"/>
      <c r="H3" s="95"/>
      <c r="I3" s="95"/>
      <c r="J3" s="95"/>
      <c r="K3" s="95"/>
      <c r="L3" s="95"/>
      <c r="M3" s="95"/>
      <c r="N3" s="95"/>
      <c r="O3" s="95"/>
      <c r="P3" s="95"/>
      <c r="Q3" s="95"/>
      <c r="R3" s="95"/>
      <c r="S3" s="95"/>
      <c r="T3" s="95"/>
      <c r="U3" s="95"/>
      <c r="V3" s="95"/>
      <c r="W3" s="95"/>
      <c r="X3" s="95"/>
      <c r="Y3" s="95"/>
      <c r="Z3" s="105" t="str">
        <f>SysTime!Z3</f>
        <v>Period End</v>
      </c>
      <c r="AA3" s="57">
        <f>SysTime!AA3</f>
        <v>45016</v>
      </c>
      <c r="AB3" s="57">
        <f>SysTime!AB3</f>
        <v>45382</v>
      </c>
      <c r="AC3" s="57">
        <f>SysTime!AC3</f>
        <v>45747</v>
      </c>
      <c r="AD3" s="57">
        <f>SysTime!AD3</f>
        <v>46112</v>
      </c>
      <c r="AE3" s="57">
        <f>SysTime!AE3</f>
        <v>46477</v>
      </c>
      <c r="AF3" s="57">
        <f>SysTime!AF3</f>
        <v>46843</v>
      </c>
      <c r="AG3" s="57">
        <f>SysTime!AG3</f>
        <v>47208</v>
      </c>
      <c r="AH3" s="57">
        <f>SysTime!AH3</f>
        <v>47573</v>
      </c>
      <c r="AI3" s="57">
        <f>SysTime!AI3</f>
        <v>47938</v>
      </c>
      <c r="AJ3" s="57">
        <f>SysTime!AJ3</f>
        <v>48304</v>
      </c>
      <c r="AK3" s="57">
        <f>SysTime!AK3</f>
        <v>48669</v>
      </c>
      <c r="AL3" s="57">
        <f>SysTime!AL3</f>
        <v>49034</v>
      </c>
      <c r="AM3" s="57">
        <f>SysTime!AM3</f>
        <v>49399</v>
      </c>
      <c r="AN3" s="57">
        <f>SysTime!AN3</f>
        <v>49765</v>
      </c>
      <c r="AO3" s="57">
        <f>SysTime!AO3</f>
        <v>50130</v>
      </c>
      <c r="AP3" s="57">
        <f>SysTime!AP3</f>
        <v>50495</v>
      </c>
      <c r="AQ3" s="57">
        <f>SysTime!AQ3</f>
        <v>50860</v>
      </c>
      <c r="AR3" s="57">
        <f>SysTime!AR3</f>
        <v>51226</v>
      </c>
      <c r="AS3" s="57">
        <f>SysTime!AS3</f>
        <v>51591</v>
      </c>
      <c r="AT3" s="57">
        <f>SysTime!AT3</f>
        <v>51956</v>
      </c>
      <c r="AU3" s="57">
        <f>SysTime!AU3</f>
        <v>52321</v>
      </c>
      <c r="AV3" s="57">
        <f>SysTime!AV3</f>
        <v>52687</v>
      </c>
      <c r="AW3" s="57">
        <f>SysTime!AW3</f>
        <v>53052</v>
      </c>
      <c r="AX3" s="57">
        <f>SysTime!AX3</f>
        <v>53417</v>
      </c>
      <c r="AY3" s="57">
        <f>SysTime!AY3</f>
        <v>53782</v>
      </c>
      <c r="AZ3" s="57">
        <f>SysTime!AZ3</f>
        <v>54148</v>
      </c>
      <c r="BA3" s="57">
        <f>SysTime!BA3</f>
        <v>54513</v>
      </c>
      <c r="BB3" s="57">
        <f>SysTime!BB3</f>
        <v>54878</v>
      </c>
      <c r="BC3" s="57">
        <f>SysTime!BC3</f>
        <v>55243</v>
      </c>
      <c r="BD3" s="57">
        <f>SysTime!BD3</f>
        <v>55609</v>
      </c>
      <c r="BE3" s="57">
        <f>SysTime!BE3</f>
        <v>55974</v>
      </c>
      <c r="BF3" s="58"/>
      <c r="BG3" s="59">
        <f>SysTime!BG3</f>
        <v>45016</v>
      </c>
      <c r="BH3" s="59">
        <f>SysTime!BH3</f>
        <v>46843</v>
      </c>
      <c r="BI3" s="59">
        <f>SysTime!BI3</f>
        <v>48669</v>
      </c>
      <c r="BJ3" s="59">
        <f>SysTime!BJ3</f>
        <v>50495</v>
      </c>
      <c r="BK3" s="59">
        <f>SysTime!BK3</f>
        <v>52321</v>
      </c>
      <c r="BL3" s="59">
        <f>SysTime!BL3</f>
        <v>54148</v>
      </c>
      <c r="BM3" s="59">
        <f>SysTime!BM3</f>
        <v>55974</v>
      </c>
      <c r="BN3" s="33"/>
    </row>
    <row r="4" spans="1:66">
      <c r="A4" s="95"/>
      <c r="B4" s="95"/>
      <c r="C4" s="96" t="str">
        <f>IF(ISBLANK(cstProtectiveMarking),"",cstProtectiveMarking)</f>
        <v>Not Protectively Marked</v>
      </c>
      <c r="D4" s="95"/>
      <c r="E4" s="95"/>
      <c r="F4" s="95"/>
      <c r="G4" s="95"/>
      <c r="H4" s="95"/>
      <c r="I4" s="95"/>
      <c r="J4" s="95"/>
      <c r="K4" s="95"/>
      <c r="L4" s="95"/>
      <c r="M4" s="95"/>
      <c r="N4" s="95"/>
      <c r="O4" s="95"/>
      <c r="P4" s="95"/>
      <c r="Q4" s="95"/>
      <c r="R4" s="95"/>
      <c r="S4" s="95"/>
      <c r="T4" s="95"/>
      <c r="U4" s="95"/>
      <c r="V4" s="95"/>
      <c r="W4" s="95"/>
      <c r="X4" s="95"/>
      <c r="Y4" s="95"/>
      <c r="Z4" s="105" t="str">
        <f>SysTime!Z4</f>
        <v>Timeline</v>
      </c>
      <c r="AA4" s="60" t="str">
        <f>SysTime!AA4</f>
        <v>Annual</v>
      </c>
      <c r="AB4" s="60" t="str">
        <f>SysTime!AB4</f>
        <v>Annual</v>
      </c>
      <c r="AC4" s="60" t="str">
        <f>SysTime!AC4</f>
        <v>Annual</v>
      </c>
      <c r="AD4" s="60" t="str">
        <f>SysTime!AD4</f>
        <v>Annual</v>
      </c>
      <c r="AE4" s="60" t="str">
        <f>SysTime!AE4</f>
        <v>Annual</v>
      </c>
      <c r="AF4" s="60" t="str">
        <f>SysTime!AF4</f>
        <v>Annual</v>
      </c>
      <c r="AG4" s="60" t="str">
        <f>SysTime!AG4</f>
        <v>Annual</v>
      </c>
      <c r="AH4" s="60" t="str">
        <f>SysTime!AH4</f>
        <v>Annual</v>
      </c>
      <c r="AI4" s="60" t="str">
        <f>SysTime!AI4</f>
        <v>Annual</v>
      </c>
      <c r="AJ4" s="60" t="str">
        <f>SysTime!AJ4</f>
        <v>Annual</v>
      </c>
      <c r="AK4" s="60" t="str">
        <f>SysTime!AK4</f>
        <v>Annual</v>
      </c>
      <c r="AL4" s="60" t="str">
        <f>SysTime!AL4</f>
        <v>Annual</v>
      </c>
      <c r="AM4" s="60" t="str">
        <f>SysTime!AM4</f>
        <v>Annual</v>
      </c>
      <c r="AN4" s="60" t="str">
        <f>SysTime!AN4</f>
        <v>Annual</v>
      </c>
      <c r="AO4" s="60" t="str">
        <f>SysTime!AO4</f>
        <v>Annual</v>
      </c>
      <c r="AP4" s="60" t="str">
        <f>SysTime!AP4</f>
        <v>Annual</v>
      </c>
      <c r="AQ4" s="60" t="str">
        <f>SysTime!AQ4</f>
        <v>Annual</v>
      </c>
      <c r="AR4" s="60" t="str">
        <f>SysTime!AR4</f>
        <v>Annual</v>
      </c>
      <c r="AS4" s="60" t="str">
        <f>SysTime!AS4</f>
        <v>Annual</v>
      </c>
      <c r="AT4" s="60" t="str">
        <f>SysTime!AT4</f>
        <v>Annual</v>
      </c>
      <c r="AU4" s="60" t="str">
        <f>SysTime!AU4</f>
        <v>Annual</v>
      </c>
      <c r="AV4" s="60" t="str">
        <f>SysTime!AV4</f>
        <v>Annual</v>
      </c>
      <c r="AW4" s="60" t="str">
        <f>SysTime!AW4</f>
        <v>Annual</v>
      </c>
      <c r="AX4" s="60" t="str">
        <f>SysTime!AX4</f>
        <v>Annual</v>
      </c>
      <c r="AY4" s="60" t="str">
        <f>SysTime!AY4</f>
        <v>Annual</v>
      </c>
      <c r="AZ4" s="60" t="str">
        <f>SysTime!AZ4</f>
        <v>Annual</v>
      </c>
      <c r="BA4" s="60" t="str">
        <f>SysTime!BA4</f>
        <v>Annual</v>
      </c>
      <c r="BB4" s="60" t="str">
        <f>SysTime!BB4</f>
        <v>Annual</v>
      </c>
      <c r="BC4" s="60" t="str">
        <f>SysTime!BC4</f>
        <v>Annual</v>
      </c>
      <c r="BD4" s="60" t="str">
        <f>SysTime!BD4</f>
        <v>Annual</v>
      </c>
      <c r="BE4" s="60" t="str">
        <f>SysTime!BE4</f>
        <v>Annual</v>
      </c>
      <c r="BF4" s="61"/>
      <c r="BG4" s="62" t="str">
        <f>SysTime!BG4</f>
        <v>Annual</v>
      </c>
      <c r="BH4" s="62" t="str">
        <f>SysTime!BH4</f>
        <v>5 Yearly</v>
      </c>
      <c r="BI4" s="62" t="str">
        <f>SysTime!BI4</f>
        <v>5 Yearly</v>
      </c>
      <c r="BJ4" s="62" t="str">
        <f>SysTime!BJ4</f>
        <v>5 Yearly</v>
      </c>
      <c r="BK4" s="62" t="str">
        <f>SysTime!BK4</f>
        <v>5 Yearly</v>
      </c>
      <c r="BL4" s="62" t="str">
        <f>SysTime!BL4</f>
        <v>5 Yearly</v>
      </c>
      <c r="BM4" s="62" t="str">
        <f>SysTime!BM4</f>
        <v>5 Yearly</v>
      </c>
      <c r="BN4" s="34"/>
    </row>
    <row r="5" spans="1:66">
      <c r="A5" s="95"/>
      <c r="B5" s="95"/>
      <c r="C5" s="101" t="str">
        <f>HYPERLINK("#'Contents'!A1",sysChkWord)</f>
        <v>All Checks OK</v>
      </c>
      <c r="D5" s="101"/>
      <c r="E5" s="101"/>
      <c r="F5" s="101"/>
      <c r="G5" s="95"/>
      <c r="H5" s="95"/>
      <c r="I5" s="95"/>
      <c r="J5" s="95"/>
      <c r="K5" s="95"/>
      <c r="L5" s="95"/>
      <c r="M5" s="95"/>
      <c r="N5" s="95"/>
      <c r="O5" s="95"/>
      <c r="P5" s="95"/>
      <c r="Q5" s="95"/>
      <c r="R5" s="95"/>
      <c r="S5" s="95"/>
      <c r="T5" s="95"/>
      <c r="U5" s="95"/>
      <c r="V5" s="95"/>
      <c r="W5" s="95"/>
      <c r="X5" s="95"/>
      <c r="Y5" s="95"/>
      <c r="Z5" s="105" t="str">
        <f>SysTime!Z5</f>
        <v>Period index</v>
      </c>
      <c r="AA5" s="63">
        <f>SysTime!AA5</f>
        <v>1</v>
      </c>
      <c r="AB5" s="63">
        <f>SysTime!AB5</f>
        <v>2</v>
      </c>
      <c r="AC5" s="63">
        <f>SysTime!AC5</f>
        <v>3</v>
      </c>
      <c r="AD5" s="63">
        <f>SysTime!AD5</f>
        <v>4</v>
      </c>
      <c r="AE5" s="63">
        <f>SysTime!AE5</f>
        <v>5</v>
      </c>
      <c r="AF5" s="63">
        <f>SysTime!AF5</f>
        <v>6</v>
      </c>
      <c r="AG5" s="63">
        <f>SysTime!AG5</f>
        <v>7</v>
      </c>
      <c r="AH5" s="63">
        <f>SysTime!AH5</f>
        <v>8</v>
      </c>
      <c r="AI5" s="63">
        <f>SysTime!AI5</f>
        <v>9</v>
      </c>
      <c r="AJ5" s="63">
        <f>SysTime!AJ5</f>
        <v>10</v>
      </c>
      <c r="AK5" s="63">
        <f>SysTime!AK5</f>
        <v>11</v>
      </c>
      <c r="AL5" s="63">
        <f>SysTime!AL5</f>
        <v>12</v>
      </c>
      <c r="AM5" s="63">
        <f>SysTime!AM5</f>
        <v>13</v>
      </c>
      <c r="AN5" s="63">
        <f>SysTime!AN5</f>
        <v>14</v>
      </c>
      <c r="AO5" s="63">
        <f>SysTime!AO5</f>
        <v>15</v>
      </c>
      <c r="AP5" s="63">
        <f>SysTime!AP5</f>
        <v>16</v>
      </c>
      <c r="AQ5" s="63">
        <f>SysTime!AQ5</f>
        <v>17</v>
      </c>
      <c r="AR5" s="63">
        <f>SysTime!AR5</f>
        <v>18</v>
      </c>
      <c r="AS5" s="63">
        <f>SysTime!AS5</f>
        <v>19</v>
      </c>
      <c r="AT5" s="63">
        <f>SysTime!AT5</f>
        <v>20</v>
      </c>
      <c r="AU5" s="63">
        <f>SysTime!AU5</f>
        <v>21</v>
      </c>
      <c r="AV5" s="63">
        <f>SysTime!AV5</f>
        <v>22</v>
      </c>
      <c r="AW5" s="63">
        <f>SysTime!AW5</f>
        <v>23</v>
      </c>
      <c r="AX5" s="63">
        <f>SysTime!AX5</f>
        <v>24</v>
      </c>
      <c r="AY5" s="63">
        <f>SysTime!AY5</f>
        <v>25</v>
      </c>
      <c r="AZ5" s="63">
        <f>SysTime!AZ5</f>
        <v>26</v>
      </c>
      <c r="BA5" s="63">
        <f>SysTime!BA5</f>
        <v>27</v>
      </c>
      <c r="BB5" s="63">
        <f>SysTime!BB5</f>
        <v>28</v>
      </c>
      <c r="BC5" s="63">
        <f>SysTime!BC5</f>
        <v>29</v>
      </c>
      <c r="BD5" s="63">
        <f>SysTime!BD5</f>
        <v>30</v>
      </c>
      <c r="BE5" s="63">
        <f>SysTime!BE5</f>
        <v>31</v>
      </c>
      <c r="BF5" s="64"/>
      <c r="BG5" s="65">
        <f>SysTime!BG5</f>
        <v>1</v>
      </c>
      <c r="BH5" s="65">
        <f>SysTime!BH5</f>
        <v>2</v>
      </c>
      <c r="BI5" s="65">
        <f>SysTime!BI5</f>
        <v>3</v>
      </c>
      <c r="BJ5" s="65">
        <f>SysTime!BJ5</f>
        <v>4</v>
      </c>
      <c r="BK5" s="65">
        <f>SysTime!BK5</f>
        <v>5</v>
      </c>
      <c r="BL5" s="65">
        <f>SysTime!BL5</f>
        <v>6</v>
      </c>
      <c r="BM5" s="65">
        <f>SysTime!BM5</f>
        <v>7</v>
      </c>
      <c r="BN5" s="35"/>
    </row>
    <row r="6" spans="1:66" ht="13">
      <c r="A6" s="95"/>
      <c r="B6" s="102"/>
      <c r="C6" s="103" t="str">
        <f>HYPERLINK("#'Contents'!A1","Click for Contents")</f>
        <v>Click for Contents</v>
      </c>
      <c r="D6" s="101"/>
      <c r="E6" s="101"/>
      <c r="F6" s="101"/>
      <c r="G6" s="95"/>
      <c r="H6" s="95"/>
      <c r="I6" s="95"/>
      <c r="J6" s="95"/>
      <c r="K6" s="95"/>
      <c r="L6" s="95"/>
      <c r="M6" s="95"/>
      <c r="N6" s="95"/>
      <c r="O6" s="95"/>
      <c r="P6" s="95"/>
      <c r="Q6" s="95"/>
      <c r="R6" s="95"/>
      <c r="S6" s="95"/>
      <c r="T6" s="95"/>
      <c r="U6" s="95"/>
      <c r="V6" s="95"/>
      <c r="W6" s="95"/>
      <c r="X6" s="95"/>
      <c r="Y6" s="95"/>
      <c r="Z6" s="105" t="str">
        <f>SysTime!Z6</f>
        <v>Year index</v>
      </c>
      <c r="AA6" s="63">
        <f>SysTime!AA6</f>
        <v>1</v>
      </c>
      <c r="AB6" s="63">
        <f>SysTime!AB6</f>
        <v>2</v>
      </c>
      <c r="AC6" s="63">
        <f>SysTime!AC6</f>
        <v>3</v>
      </c>
      <c r="AD6" s="63">
        <f>SysTime!AD6</f>
        <v>4</v>
      </c>
      <c r="AE6" s="63">
        <f>SysTime!AE6</f>
        <v>5</v>
      </c>
      <c r="AF6" s="63">
        <f>SysTime!AF6</f>
        <v>6</v>
      </c>
      <c r="AG6" s="63">
        <f>SysTime!AG6</f>
        <v>7</v>
      </c>
      <c r="AH6" s="63">
        <f>SysTime!AH6</f>
        <v>8</v>
      </c>
      <c r="AI6" s="63">
        <f>SysTime!AI6</f>
        <v>9</v>
      </c>
      <c r="AJ6" s="63">
        <f>SysTime!AJ6</f>
        <v>10</v>
      </c>
      <c r="AK6" s="63">
        <f>SysTime!AK6</f>
        <v>11</v>
      </c>
      <c r="AL6" s="63">
        <f>SysTime!AL6</f>
        <v>12</v>
      </c>
      <c r="AM6" s="63">
        <f>SysTime!AM6</f>
        <v>13</v>
      </c>
      <c r="AN6" s="63">
        <f>SysTime!AN6</f>
        <v>14</v>
      </c>
      <c r="AO6" s="63">
        <f>SysTime!AO6</f>
        <v>15</v>
      </c>
      <c r="AP6" s="63">
        <f>SysTime!AP6</f>
        <v>16</v>
      </c>
      <c r="AQ6" s="63">
        <f>SysTime!AQ6</f>
        <v>17</v>
      </c>
      <c r="AR6" s="63">
        <f>SysTime!AR6</f>
        <v>18</v>
      </c>
      <c r="AS6" s="63">
        <f>SysTime!AS6</f>
        <v>19</v>
      </c>
      <c r="AT6" s="63">
        <f>SysTime!AT6</f>
        <v>20</v>
      </c>
      <c r="AU6" s="63">
        <f>SysTime!AU6</f>
        <v>21</v>
      </c>
      <c r="AV6" s="63">
        <f>SysTime!AV6</f>
        <v>22</v>
      </c>
      <c r="AW6" s="63">
        <f>SysTime!AW6</f>
        <v>23</v>
      </c>
      <c r="AX6" s="63">
        <f>SysTime!AX6</f>
        <v>24</v>
      </c>
      <c r="AY6" s="63">
        <f>SysTime!AY6</f>
        <v>25</v>
      </c>
      <c r="AZ6" s="63">
        <f>SysTime!AZ6</f>
        <v>26</v>
      </c>
      <c r="BA6" s="63">
        <f>SysTime!BA6</f>
        <v>27</v>
      </c>
      <c r="BB6" s="63">
        <f>SysTime!BB6</f>
        <v>28</v>
      </c>
      <c r="BC6" s="63">
        <f>SysTime!BC6</f>
        <v>29</v>
      </c>
      <c r="BD6" s="63">
        <f>SysTime!BD6</f>
        <v>30</v>
      </c>
      <c r="BE6" s="63">
        <f>SysTime!BE6</f>
        <v>31</v>
      </c>
      <c r="BF6" s="64"/>
      <c r="BG6" s="65">
        <f>SysTime!BG6</f>
        <v>0</v>
      </c>
      <c r="BH6" s="65">
        <f>SysTime!BH6</f>
        <v>0</v>
      </c>
      <c r="BI6" s="65">
        <f>SysTime!BI6</f>
        <v>0</v>
      </c>
      <c r="BJ6" s="65">
        <f>SysTime!BJ6</f>
        <v>0</v>
      </c>
      <c r="BK6" s="65">
        <f>SysTime!BK6</f>
        <v>0</v>
      </c>
      <c r="BL6" s="65">
        <f>SysTime!BL6</f>
        <v>0</v>
      </c>
      <c r="BM6" s="65">
        <f>SysTime!BM6</f>
        <v>0</v>
      </c>
      <c r="BN6" s="35"/>
    </row>
    <row r="7" spans="1:66">
      <c r="A7" s="95"/>
      <c r="B7" s="95"/>
      <c r="C7" s="95"/>
      <c r="D7" s="95"/>
      <c r="E7" s="95"/>
      <c r="F7" s="95"/>
      <c r="G7" s="95"/>
      <c r="H7" s="95"/>
      <c r="I7" s="95"/>
      <c r="J7" s="95"/>
      <c r="K7" s="95"/>
      <c r="L7" s="95"/>
      <c r="M7" s="95"/>
      <c r="N7" s="95"/>
      <c r="O7" s="95"/>
      <c r="P7" s="95"/>
      <c r="Q7" s="95"/>
      <c r="R7" s="95"/>
      <c r="S7" s="95"/>
      <c r="T7" s="95"/>
      <c r="U7" s="95"/>
      <c r="V7" s="95"/>
      <c r="W7" s="95"/>
      <c r="X7" s="95"/>
      <c r="Y7" s="95"/>
      <c r="Z7" s="105" t="str">
        <f>SysTime!Z7</f>
        <v>Relative period</v>
      </c>
      <c r="AA7" s="63">
        <f>SysTime!AA7</f>
        <v>1</v>
      </c>
      <c r="AB7" s="63">
        <f>SysTime!AB7</f>
        <v>2</v>
      </c>
      <c r="AC7" s="63">
        <f>SysTime!AC7</f>
        <v>3</v>
      </c>
      <c r="AD7" s="63">
        <f>SysTime!AD7</f>
        <v>4</v>
      </c>
      <c r="AE7" s="63">
        <f>SysTime!AE7</f>
        <v>5</v>
      </c>
      <c r="AF7" s="63">
        <f>SysTime!AF7</f>
        <v>6</v>
      </c>
      <c r="AG7" s="63">
        <f>SysTime!AG7</f>
        <v>7</v>
      </c>
      <c r="AH7" s="63">
        <f>SysTime!AH7</f>
        <v>8</v>
      </c>
      <c r="AI7" s="63">
        <f>SysTime!AI7</f>
        <v>9</v>
      </c>
      <c r="AJ7" s="63">
        <f>SysTime!AJ7</f>
        <v>10</v>
      </c>
      <c r="AK7" s="63">
        <f>SysTime!AK7</f>
        <v>11</v>
      </c>
      <c r="AL7" s="63">
        <f>SysTime!AL7</f>
        <v>12</v>
      </c>
      <c r="AM7" s="63">
        <f>SysTime!AM7</f>
        <v>13</v>
      </c>
      <c r="AN7" s="63">
        <f>SysTime!AN7</f>
        <v>14</v>
      </c>
      <c r="AO7" s="63">
        <f>SysTime!AO7</f>
        <v>15</v>
      </c>
      <c r="AP7" s="63">
        <f>SysTime!AP7</f>
        <v>16</v>
      </c>
      <c r="AQ7" s="63">
        <f>SysTime!AQ7</f>
        <v>17</v>
      </c>
      <c r="AR7" s="63">
        <f>SysTime!AR7</f>
        <v>18</v>
      </c>
      <c r="AS7" s="63">
        <f>SysTime!AS7</f>
        <v>19</v>
      </c>
      <c r="AT7" s="63">
        <f>SysTime!AT7</f>
        <v>20</v>
      </c>
      <c r="AU7" s="63">
        <f>SysTime!AU7</f>
        <v>21</v>
      </c>
      <c r="AV7" s="63">
        <f>SysTime!AV7</f>
        <v>22</v>
      </c>
      <c r="AW7" s="63">
        <f>SysTime!AW7</f>
        <v>23</v>
      </c>
      <c r="AX7" s="63">
        <f>SysTime!AX7</f>
        <v>24</v>
      </c>
      <c r="AY7" s="63">
        <f>SysTime!AY7</f>
        <v>25</v>
      </c>
      <c r="AZ7" s="63">
        <f>SysTime!AZ7</f>
        <v>26</v>
      </c>
      <c r="BA7" s="63">
        <f>SysTime!BA7</f>
        <v>27</v>
      </c>
      <c r="BB7" s="63">
        <f>SysTime!BB7</f>
        <v>28</v>
      </c>
      <c r="BC7" s="63">
        <f>SysTime!BC7</f>
        <v>29</v>
      </c>
      <c r="BD7" s="63">
        <f>SysTime!BD7</f>
        <v>30</v>
      </c>
      <c r="BE7" s="63">
        <f>SysTime!BE7</f>
        <v>31</v>
      </c>
      <c r="BF7" s="64"/>
      <c r="BG7" s="65">
        <f>SysTime!BG7</f>
        <v>1</v>
      </c>
      <c r="BH7" s="65">
        <f>SysTime!BH7</f>
        <v>2</v>
      </c>
      <c r="BI7" s="65">
        <f>SysTime!BI7</f>
        <v>3</v>
      </c>
      <c r="BJ7" s="65">
        <f>SysTime!BJ7</f>
        <v>4</v>
      </c>
      <c r="BK7" s="65">
        <f>SysTime!BK7</f>
        <v>5</v>
      </c>
      <c r="BL7" s="65">
        <f>SysTime!BL7</f>
        <v>6</v>
      </c>
      <c r="BM7" s="65">
        <f>SysTime!BM7</f>
        <v>7</v>
      </c>
      <c r="BN7" s="35"/>
    </row>
    <row r="8" spans="1:66">
      <c r="A8" s="97">
        <f>SUM(A9:A484)</f>
        <v>0</v>
      </c>
      <c r="B8" s="99">
        <f>SUM(B9:B484)</f>
        <v>0</v>
      </c>
      <c r="C8" s="104"/>
      <c r="D8" s="104"/>
      <c r="E8" s="104"/>
      <c r="F8" s="104"/>
      <c r="G8" s="104" t="s">
        <v>5</v>
      </c>
      <c r="H8" s="104"/>
      <c r="I8" s="104"/>
      <c r="J8" s="95"/>
      <c r="K8" s="95"/>
      <c r="L8" s="95"/>
      <c r="M8" s="95"/>
      <c r="N8" s="95"/>
      <c r="O8" s="95"/>
      <c r="P8" s="95"/>
      <c r="Q8" s="95"/>
      <c r="R8" s="95"/>
      <c r="S8" s="95"/>
      <c r="T8" s="95"/>
      <c r="U8" s="95"/>
      <c r="V8" s="95"/>
      <c r="W8" s="95"/>
      <c r="X8" s="95"/>
      <c r="Y8" s="95"/>
      <c r="Z8" s="95"/>
      <c r="AA8" s="95"/>
      <c r="AB8" s="95"/>
      <c r="AC8" s="95"/>
      <c r="AD8" s="95"/>
      <c r="AE8" s="95"/>
      <c r="AF8" s="95"/>
      <c r="AG8" s="95"/>
      <c r="AH8" s="95"/>
      <c r="AI8" s="95"/>
      <c r="AJ8" s="95"/>
      <c r="AK8" s="95"/>
      <c r="AL8" s="95"/>
      <c r="AM8" s="95"/>
      <c r="AN8" s="95"/>
      <c r="AO8" s="95"/>
      <c r="AP8" s="95"/>
      <c r="AQ8" s="95"/>
      <c r="AR8" s="95"/>
      <c r="AS8" s="95"/>
      <c r="AT8" s="95"/>
      <c r="AU8" s="95"/>
      <c r="AV8" s="95"/>
      <c r="AW8" s="95"/>
      <c r="AX8" s="95"/>
      <c r="AY8" s="95"/>
      <c r="AZ8" s="95"/>
      <c r="BA8" s="95"/>
      <c r="BB8" s="95"/>
      <c r="BC8" s="95"/>
      <c r="BD8" s="95"/>
      <c r="BE8" s="95"/>
      <c r="BF8" s="95"/>
      <c r="BG8" s="95"/>
      <c r="BH8" s="95"/>
      <c r="BI8" s="95"/>
      <c r="BJ8" s="95"/>
      <c r="BK8" s="95"/>
      <c r="BL8" s="95"/>
      <c r="BM8" s="95"/>
      <c r="BN8" s="21"/>
    </row>
    <row r="10" spans="1:66" ht="16">
      <c r="A10" s="24"/>
      <c r="B10" s="24"/>
      <c r="C10" s="24"/>
      <c r="D10" s="24">
        <v>1</v>
      </c>
      <c r="E10" s="24" t="s">
        <v>212</v>
      </c>
      <c r="F10" s="24"/>
      <c r="G10" s="24"/>
      <c r="H10" s="24"/>
      <c r="I10" s="24"/>
      <c r="J10" s="24"/>
      <c r="K10" s="24"/>
      <c r="L10" s="24"/>
      <c r="M10" s="24"/>
      <c r="N10" s="24"/>
      <c r="O10" s="24"/>
      <c r="P10" s="24"/>
      <c r="Q10" s="24"/>
      <c r="R10" s="24"/>
      <c r="S10" s="24"/>
      <c r="T10" s="24"/>
      <c r="U10" s="24"/>
      <c r="V10" s="24"/>
      <c r="W10" s="24"/>
      <c r="X10" s="24"/>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c r="BM10" s="24"/>
    </row>
    <row r="11" spans="1:66">
      <c r="F11" s="18"/>
      <c r="G11" s="17"/>
    </row>
    <row r="12" spans="1:66" ht="14" thickBot="1">
      <c r="A12" s="25"/>
      <c r="B12" s="25"/>
      <c r="C12" s="25"/>
      <c r="D12" s="25"/>
      <c r="E12" s="25" t="s">
        <v>387</v>
      </c>
      <c r="F12" s="25" t="s">
        <v>211</v>
      </c>
      <c r="G12" s="25"/>
      <c r="H12" s="25"/>
      <c r="I12" s="25"/>
      <c r="J12" s="25"/>
      <c r="K12" s="25"/>
      <c r="L12" s="25"/>
      <c r="M12" s="25"/>
      <c r="N12" s="25"/>
      <c r="O12" s="25"/>
      <c r="P12" s="25"/>
      <c r="Q12" s="25"/>
      <c r="R12" s="25"/>
      <c r="S12" s="25"/>
      <c r="T12" s="25"/>
      <c r="U12" s="25"/>
      <c r="V12" s="25"/>
      <c r="W12" s="25"/>
      <c r="X12" s="25"/>
      <c r="Y12" s="25"/>
      <c r="Z12" s="25"/>
      <c r="AA12" s="25"/>
      <c r="AB12" s="25"/>
      <c r="AC12" s="25"/>
      <c r="AD12" s="25"/>
      <c r="AE12" s="25"/>
      <c r="AF12" s="25"/>
      <c r="AG12" s="25"/>
      <c r="AH12" s="25"/>
      <c r="AI12" s="25"/>
      <c r="AJ12" s="25"/>
      <c r="AK12" s="25"/>
      <c r="AL12" s="25"/>
      <c r="AM12" s="25"/>
      <c r="AN12" s="25"/>
      <c r="AO12" s="25"/>
      <c r="AP12" s="25"/>
      <c r="AQ12" s="25"/>
      <c r="AR12" s="25"/>
      <c r="AS12" s="25"/>
      <c r="AT12" s="25"/>
      <c r="AU12" s="25"/>
      <c r="AV12" s="25"/>
      <c r="AW12" s="25"/>
      <c r="AX12" s="25"/>
      <c r="AY12" s="25"/>
      <c r="AZ12" s="25"/>
      <c r="BA12" s="25"/>
      <c r="BB12" s="25"/>
      <c r="BC12" s="25"/>
      <c r="BD12" s="25"/>
      <c r="BE12" s="25"/>
      <c r="BF12" s="25"/>
      <c r="BG12" s="25"/>
      <c r="BH12" s="25"/>
      <c r="BI12" s="25"/>
      <c r="BJ12" s="25"/>
      <c r="BK12" s="25"/>
      <c r="BL12" s="25"/>
      <c r="BM12" s="25"/>
    </row>
    <row r="13" spans="1:66">
      <c r="F13" s="18"/>
      <c r="G13" s="17"/>
    </row>
    <row r="14" spans="1:66">
      <c r="F14" s="18" t="s">
        <v>176</v>
      </c>
      <c r="G14" s="17"/>
      <c r="I14"/>
    </row>
    <row r="15" spans="1:66">
      <c r="F15" s="18"/>
      <c r="G15" s="17"/>
    </row>
    <row r="16" spans="1:66">
      <c r="F16" s="18" t="s">
        <v>213</v>
      </c>
      <c r="G16" s="17"/>
      <c r="I16"/>
    </row>
    <row r="17" spans="1:65">
      <c r="F17" s="18"/>
      <c r="G17" s="17"/>
    </row>
    <row r="18" spans="1:65" ht="16">
      <c r="A18" s="24"/>
      <c r="B18" s="24"/>
      <c r="C18" s="24"/>
      <c r="D18" s="24">
        <v>2</v>
      </c>
      <c r="E18" s="24" t="s">
        <v>301</v>
      </c>
      <c r="F18" s="24"/>
      <c r="G18" s="24"/>
      <c r="H18" s="24"/>
      <c r="I18" s="24"/>
      <c r="J18" s="24"/>
      <c r="K18" s="24"/>
      <c r="L18" s="24"/>
      <c r="M18" s="24"/>
      <c r="N18" s="24"/>
      <c r="O18" s="24"/>
      <c r="P18" s="24"/>
      <c r="Q18" s="24"/>
      <c r="R18" s="24"/>
      <c r="S18" s="24"/>
      <c r="T18" s="24"/>
      <c r="U18" s="24"/>
      <c r="V18" s="24"/>
      <c r="W18" s="24"/>
      <c r="X18" s="24"/>
      <c r="Y18" s="24"/>
      <c r="Z18" s="24"/>
      <c r="AA18" s="24"/>
      <c r="AB18" s="24"/>
      <c r="AC18" s="24"/>
      <c r="AD18" s="24"/>
      <c r="AE18" s="24"/>
      <c r="AF18" s="24"/>
      <c r="AG18" s="24"/>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c r="BM18" s="24"/>
    </row>
    <row r="19" spans="1:65">
      <c r="F19" s="18"/>
      <c r="G19" s="17"/>
    </row>
    <row r="20" spans="1:65">
      <c r="F20" s="27" t="s">
        <v>332</v>
      </c>
      <c r="G20" s="17" t="s">
        <v>305</v>
      </c>
      <c r="AA20" s="9">
        <f>SysTime!AA22</f>
        <v>0</v>
      </c>
      <c r="AB20" s="9">
        <f>SysTime!AB22</f>
        <v>1</v>
      </c>
      <c r="AC20" s="9">
        <f>SysTime!AC22</f>
        <v>1</v>
      </c>
      <c r="AD20" s="9">
        <f>SysTime!AD22</f>
        <v>1</v>
      </c>
      <c r="AE20" s="9">
        <f>SysTime!AE22</f>
        <v>1</v>
      </c>
      <c r="AF20" s="9">
        <f>SysTime!AF22</f>
        <v>1</v>
      </c>
      <c r="AG20" s="9">
        <f>SysTime!AG22</f>
        <v>1</v>
      </c>
      <c r="AH20" s="9">
        <f>SysTime!AH22</f>
        <v>1</v>
      </c>
      <c r="AI20" s="9">
        <f>SysTime!AI22</f>
        <v>1</v>
      </c>
      <c r="AJ20" s="9">
        <f>SysTime!AJ22</f>
        <v>1</v>
      </c>
      <c r="AK20" s="9">
        <f>SysTime!AK22</f>
        <v>1</v>
      </c>
      <c r="AL20" s="9">
        <f>SysTime!AL22</f>
        <v>1</v>
      </c>
      <c r="AM20" s="9">
        <f>SysTime!AM22</f>
        <v>1</v>
      </c>
      <c r="AN20" s="9">
        <f>SysTime!AN22</f>
        <v>1</v>
      </c>
      <c r="AO20" s="9">
        <f>SysTime!AO22</f>
        <v>1</v>
      </c>
      <c r="AP20" s="9">
        <f>SysTime!AP22</f>
        <v>1</v>
      </c>
      <c r="AQ20" s="9">
        <f>SysTime!AQ22</f>
        <v>1</v>
      </c>
      <c r="AR20" s="9">
        <f>SysTime!AR22</f>
        <v>1</v>
      </c>
      <c r="AS20" s="9">
        <f>SysTime!AS22</f>
        <v>1</v>
      </c>
      <c r="AT20" s="9">
        <f>SysTime!AT22</f>
        <v>1</v>
      </c>
      <c r="AU20" s="9">
        <f>SysTime!AU22</f>
        <v>1</v>
      </c>
      <c r="AV20" s="9">
        <f>SysTime!AV22</f>
        <v>1</v>
      </c>
      <c r="AW20" s="9">
        <f>SysTime!AW22</f>
        <v>1</v>
      </c>
      <c r="AX20" s="9">
        <f>SysTime!AX22</f>
        <v>1</v>
      </c>
      <c r="AY20" s="9">
        <f>SysTime!AY22</f>
        <v>1</v>
      </c>
      <c r="AZ20" s="9">
        <f>SysTime!AZ22</f>
        <v>1</v>
      </c>
      <c r="BA20" s="9">
        <f>SysTime!BA22</f>
        <v>1</v>
      </c>
      <c r="BB20" s="9">
        <f>SysTime!BB22</f>
        <v>1</v>
      </c>
      <c r="BC20" s="9">
        <f>SysTime!BC22</f>
        <v>1</v>
      </c>
      <c r="BD20" s="9">
        <f>SysTime!BD22</f>
        <v>1</v>
      </c>
      <c r="BE20" s="9">
        <f>SysTime!BE22</f>
        <v>1</v>
      </c>
      <c r="BG20" s="39"/>
      <c r="BH20" s="39"/>
      <c r="BI20" s="39"/>
      <c r="BJ20" s="39"/>
      <c r="BK20" s="39"/>
      <c r="BL20" s="39"/>
      <c r="BM20" s="39"/>
    </row>
    <row r="21" spans="1:65" customFormat="1">
      <c r="AB21" s="40"/>
      <c r="AC21" s="40"/>
      <c r="AD21" s="40"/>
      <c r="AE21" s="40"/>
      <c r="AF21" s="40"/>
      <c r="AG21" s="40"/>
      <c r="AH21" s="40"/>
      <c r="AI21" s="40"/>
      <c r="AJ21" s="40"/>
      <c r="AK21" s="40"/>
      <c r="AL21" s="40"/>
      <c r="AM21" s="40"/>
      <c r="AN21" s="40"/>
      <c r="AO21" s="40"/>
      <c r="AP21" s="40"/>
      <c r="AQ21" s="40"/>
      <c r="AR21" s="40"/>
      <c r="AS21" s="40"/>
      <c r="AT21" s="40"/>
      <c r="AU21" s="40"/>
      <c r="AV21" s="40"/>
      <c r="AW21" s="40"/>
      <c r="AX21" s="40"/>
      <c r="AY21" s="40"/>
      <c r="AZ21" s="40"/>
      <c r="BA21" s="40"/>
      <c r="BB21" s="40"/>
      <c r="BC21" s="40"/>
      <c r="BD21" s="40"/>
      <c r="BE21" s="40"/>
    </row>
    <row r="22" spans="1:65">
      <c r="F22" s="40" t="s">
        <v>369</v>
      </c>
      <c r="G22" s="17" t="s">
        <v>305</v>
      </c>
      <c r="AA22" s="9">
        <f>SysTime!AA24</f>
        <v>0</v>
      </c>
      <c r="AB22" s="9">
        <f>SysTime!AB24</f>
        <v>1</v>
      </c>
      <c r="AC22" s="9">
        <f>SysTime!AC24</f>
        <v>0</v>
      </c>
      <c r="AD22" s="9">
        <f>SysTime!AD24</f>
        <v>0</v>
      </c>
      <c r="AE22" s="9">
        <f>SysTime!AE24</f>
        <v>0</v>
      </c>
      <c r="AF22" s="9">
        <f>SysTime!AF24</f>
        <v>0</v>
      </c>
      <c r="AG22" s="9">
        <f>SysTime!AG24</f>
        <v>0</v>
      </c>
      <c r="AH22" s="9">
        <f>SysTime!AH24</f>
        <v>0</v>
      </c>
      <c r="AI22" s="9">
        <f>SysTime!AI24</f>
        <v>0</v>
      </c>
      <c r="AJ22" s="9">
        <f>SysTime!AJ24</f>
        <v>0</v>
      </c>
      <c r="AK22" s="9">
        <f>SysTime!AK24</f>
        <v>0</v>
      </c>
      <c r="AL22" s="9">
        <f>SysTime!AL24</f>
        <v>0</v>
      </c>
      <c r="AM22" s="9">
        <f>SysTime!AM24</f>
        <v>0</v>
      </c>
      <c r="AN22" s="9">
        <f>SysTime!AN24</f>
        <v>0</v>
      </c>
      <c r="AO22" s="9">
        <f>SysTime!AO24</f>
        <v>0</v>
      </c>
      <c r="AP22" s="9">
        <f>SysTime!AP24</f>
        <v>0</v>
      </c>
      <c r="AQ22" s="9">
        <f>SysTime!AQ24</f>
        <v>0</v>
      </c>
      <c r="AR22" s="9">
        <f>SysTime!AR24</f>
        <v>0</v>
      </c>
      <c r="AS22" s="9">
        <f>SysTime!AS24</f>
        <v>0</v>
      </c>
      <c r="AT22" s="9">
        <f>SysTime!AT24</f>
        <v>0</v>
      </c>
      <c r="AU22" s="9">
        <f>SysTime!AU24</f>
        <v>0</v>
      </c>
      <c r="AV22" s="9">
        <f>SysTime!AV24</f>
        <v>0</v>
      </c>
      <c r="AW22" s="9">
        <f>SysTime!AW24</f>
        <v>0</v>
      </c>
      <c r="AX22" s="9">
        <f>SysTime!AX24</f>
        <v>0</v>
      </c>
      <c r="AY22" s="9">
        <f>SysTime!AY24</f>
        <v>0</v>
      </c>
      <c r="AZ22" s="9">
        <f>SysTime!AZ24</f>
        <v>0</v>
      </c>
      <c r="BA22" s="9">
        <f>SysTime!BA24</f>
        <v>0</v>
      </c>
      <c r="BB22" s="9">
        <f>SysTime!BB24</f>
        <v>0</v>
      </c>
      <c r="BC22" s="9">
        <f>SysTime!BC24</f>
        <v>0</v>
      </c>
      <c r="BD22" s="9">
        <f>SysTime!BD24</f>
        <v>0</v>
      </c>
      <c r="BE22" s="9">
        <f>SysTime!BE24</f>
        <v>0</v>
      </c>
      <c r="BG22" s="39"/>
      <c r="BH22" s="39"/>
      <c r="BI22" s="39"/>
      <c r="BJ22" s="39"/>
      <c r="BK22" s="39"/>
      <c r="BL22" s="39"/>
      <c r="BM22" s="39"/>
    </row>
    <row r="23" spans="1:65">
      <c r="G23" s="17"/>
    </row>
    <row r="24" spans="1:65">
      <c r="F24" s="40" t="s">
        <v>373</v>
      </c>
      <c r="G24" s="17" t="s">
        <v>6</v>
      </c>
      <c r="K24" s="9">
        <f>SysTime!K26</f>
        <v>2</v>
      </c>
      <c r="AA24" s="39"/>
      <c r="AB24" s="39"/>
      <c r="AC24" s="39"/>
      <c r="AD24" s="39"/>
      <c r="AE24" s="39"/>
      <c r="AF24" s="39"/>
      <c r="AG24" s="39"/>
      <c r="AH24" s="39"/>
      <c r="AI24" s="39"/>
      <c r="AJ24" s="39"/>
      <c r="AK24" s="39"/>
      <c r="AL24" s="39"/>
      <c r="AM24" s="39"/>
      <c r="AN24" s="39"/>
      <c r="AO24" s="39"/>
      <c r="AP24" s="39"/>
      <c r="AQ24" s="39"/>
      <c r="AR24" s="39"/>
      <c r="AS24" s="39"/>
      <c r="AT24" s="39"/>
      <c r="AU24" s="39"/>
      <c r="AV24" s="39"/>
      <c r="AW24" s="39"/>
      <c r="AX24" s="39"/>
      <c r="AY24" s="39"/>
      <c r="AZ24" s="39"/>
      <c r="BA24" s="39"/>
      <c r="BB24" s="39"/>
      <c r="BC24" s="39"/>
      <c r="BD24" s="39"/>
      <c r="BE24" s="39"/>
      <c r="BG24" s="39"/>
      <c r="BH24" s="39"/>
      <c r="BI24" s="39"/>
      <c r="BJ24" s="39"/>
      <c r="BK24" s="39"/>
      <c r="BL24" s="39"/>
      <c r="BM24" s="39"/>
    </row>
    <row r="26" spans="1:65">
      <c r="D26" s="18"/>
      <c r="E26" s="18"/>
      <c r="F26" s="18" t="s">
        <v>302</v>
      </c>
      <c r="G26" s="17" t="str">
        <f>cstFlag</f>
        <v>Flag</v>
      </c>
      <c r="AA26" s="9">
        <f>SysTime!AA28</f>
        <v>1</v>
      </c>
      <c r="AB26" s="9">
        <f>SysTime!AB28</f>
        <v>0</v>
      </c>
      <c r="AC26" s="9">
        <f>SysTime!AC28</f>
        <v>0</v>
      </c>
      <c r="AD26" s="9">
        <f>SysTime!AD28</f>
        <v>0</v>
      </c>
      <c r="AE26" s="9">
        <f>SysTime!AE28</f>
        <v>0</v>
      </c>
      <c r="AF26" s="9">
        <f>SysTime!AF28</f>
        <v>0</v>
      </c>
      <c r="AG26" s="9">
        <f>SysTime!AG28</f>
        <v>0</v>
      </c>
      <c r="AH26" s="9">
        <f>SysTime!AH28</f>
        <v>0</v>
      </c>
      <c r="AI26" s="9">
        <f>SysTime!AI28</f>
        <v>0</v>
      </c>
      <c r="AJ26" s="9">
        <f>SysTime!AJ28</f>
        <v>0</v>
      </c>
      <c r="AK26" s="9">
        <f>SysTime!AK28</f>
        <v>0</v>
      </c>
      <c r="AL26" s="9">
        <f>SysTime!AL28</f>
        <v>0</v>
      </c>
      <c r="AM26" s="9">
        <f>SysTime!AM28</f>
        <v>0</v>
      </c>
      <c r="AN26" s="9">
        <f>SysTime!AN28</f>
        <v>0</v>
      </c>
      <c r="AO26" s="9">
        <f>SysTime!AO28</f>
        <v>0</v>
      </c>
      <c r="AP26" s="9">
        <f>SysTime!AP28</f>
        <v>0</v>
      </c>
      <c r="AQ26" s="9">
        <f>SysTime!AQ28</f>
        <v>0</v>
      </c>
      <c r="AR26" s="9">
        <f>SysTime!AR28</f>
        <v>0</v>
      </c>
      <c r="AS26" s="9">
        <f>SysTime!AS28</f>
        <v>0</v>
      </c>
      <c r="AT26" s="9">
        <f>SysTime!AT28</f>
        <v>0</v>
      </c>
      <c r="AU26" s="9">
        <f>SysTime!AU28</f>
        <v>0</v>
      </c>
      <c r="AV26" s="9">
        <f>SysTime!AV28</f>
        <v>0</v>
      </c>
      <c r="AW26" s="9">
        <f>SysTime!AW28</f>
        <v>0</v>
      </c>
      <c r="AX26" s="9">
        <f>SysTime!AX28</f>
        <v>0</v>
      </c>
      <c r="AY26" s="9">
        <f>SysTime!AY28</f>
        <v>0</v>
      </c>
      <c r="AZ26" s="9">
        <f>SysTime!AZ28</f>
        <v>0</v>
      </c>
      <c r="BA26" s="9">
        <f>SysTime!BA28</f>
        <v>0</v>
      </c>
      <c r="BB26" s="9">
        <f>SysTime!BB28</f>
        <v>0</v>
      </c>
      <c r="BC26" s="9">
        <f>SysTime!BC28</f>
        <v>0</v>
      </c>
      <c r="BD26" s="9">
        <f>SysTime!BD28</f>
        <v>0</v>
      </c>
      <c r="BE26" s="9">
        <f>SysTime!BE28</f>
        <v>0</v>
      </c>
      <c r="BG26" s="39"/>
      <c r="BH26" s="39"/>
      <c r="BI26" s="39"/>
      <c r="BJ26" s="39"/>
      <c r="BK26" s="39"/>
      <c r="BL26" s="39"/>
      <c r="BM26" s="39"/>
    </row>
    <row r="27" spans="1:65">
      <c r="D27" s="18"/>
      <c r="E27" s="18"/>
      <c r="F27" s="18"/>
      <c r="G27" s="17"/>
    </row>
    <row r="28" spans="1:65" ht="16">
      <c r="A28" s="24"/>
      <c r="B28" s="24"/>
      <c r="C28" s="24"/>
      <c r="D28" s="24">
        <v>3</v>
      </c>
      <c r="E28" s="24" t="s">
        <v>219</v>
      </c>
      <c r="F28" s="24"/>
      <c r="G28" s="24"/>
      <c r="H28" s="24"/>
      <c r="I28" s="24"/>
      <c r="J28" s="24"/>
      <c r="K28" s="24"/>
      <c r="L28" s="24"/>
      <c r="M28" s="24"/>
      <c r="N28" s="24"/>
      <c r="O28" s="24"/>
      <c r="P28" s="24"/>
      <c r="Q28" s="24"/>
      <c r="R28" s="24"/>
      <c r="S28" s="24"/>
      <c r="T28" s="24"/>
      <c r="U28" s="24"/>
      <c r="V28" s="24"/>
      <c r="W28" s="24"/>
      <c r="X28" s="24"/>
      <c r="Y28" s="24"/>
      <c r="Z28" s="24"/>
      <c r="AA28" s="24"/>
      <c r="AB28" s="24"/>
      <c r="AC28" s="24"/>
      <c r="AD28" s="24"/>
      <c r="AE28" s="24"/>
      <c r="AF28" s="24"/>
      <c r="AG28" s="24"/>
      <c r="AH28" s="24"/>
      <c r="AI28" s="24"/>
      <c r="AJ28" s="24"/>
      <c r="AK28" s="24"/>
      <c r="AL28" s="24"/>
      <c r="AM28" s="24"/>
      <c r="AN28" s="24"/>
      <c r="AO28" s="24"/>
      <c r="AP28" s="24"/>
      <c r="AQ28" s="24"/>
      <c r="AR28" s="24"/>
      <c r="AS28" s="24"/>
      <c r="AT28" s="24"/>
      <c r="AU28" s="24"/>
      <c r="AV28" s="24"/>
      <c r="AW28" s="24"/>
      <c r="AX28" s="24"/>
      <c r="AY28" s="24"/>
      <c r="AZ28" s="24"/>
      <c r="BA28" s="24"/>
      <c r="BB28" s="24"/>
      <c r="BC28" s="24"/>
      <c r="BD28" s="24"/>
      <c r="BE28" s="24"/>
      <c r="BF28" s="24"/>
      <c r="BG28" s="24"/>
      <c r="BH28" s="24"/>
      <c r="BI28" s="24"/>
      <c r="BJ28" s="24"/>
      <c r="BK28" s="24"/>
      <c r="BL28" s="24"/>
      <c r="BM28" s="24"/>
    </row>
    <row r="29" spans="1:65">
      <c r="F29" s="18"/>
      <c r="G29" s="17"/>
    </row>
    <row r="30" spans="1:65" s="25" customFormat="1" ht="14" thickBot="1">
      <c r="E30" s="25" t="s">
        <v>390</v>
      </c>
      <c r="F30" s="25" t="s">
        <v>363</v>
      </c>
    </row>
    <row r="31" spans="1:65">
      <c r="D31" s="18"/>
      <c r="E31" s="18"/>
      <c r="F31" s="18"/>
      <c r="G31" s="17"/>
    </row>
    <row r="32" spans="1:65" ht="13">
      <c r="D32" s="18"/>
      <c r="E32" s="18"/>
      <c r="F32" s="26" t="s">
        <v>365</v>
      </c>
      <c r="G32" s="17"/>
    </row>
    <row r="33" spans="1:66">
      <c r="D33" s="18"/>
      <c r="E33" s="18"/>
      <c r="F33" s="18"/>
      <c r="G33" s="17"/>
    </row>
    <row r="34" spans="1:66">
      <c r="D34" s="18"/>
      <c r="E34" s="18"/>
      <c r="F34" s="18" t="str">
        <f>iIndices!F16</f>
        <v>Wage Inflation</v>
      </c>
      <c r="G34" s="17" t="s">
        <v>7</v>
      </c>
      <c r="I34"/>
      <c r="AA34" s="12">
        <f>cFactors!AA35</f>
        <v>1</v>
      </c>
      <c r="AB34" s="12">
        <f>cFactors!AB35</f>
        <v>1.0249999999999999</v>
      </c>
      <c r="AC34" s="12">
        <f>cFactors!AC35</f>
        <v>1.0506249999999999</v>
      </c>
      <c r="AD34" s="12">
        <f>cFactors!AD35</f>
        <v>1.0768906249999999</v>
      </c>
      <c r="AE34" s="12">
        <f>cFactors!AE35</f>
        <v>1.1038128906249998</v>
      </c>
      <c r="AF34" s="12">
        <f>cFactors!AF35</f>
        <v>1.1314082128906247</v>
      </c>
      <c r="AG34" s="12">
        <f>cFactors!AG35</f>
        <v>1.1596934182128902</v>
      </c>
      <c r="AH34" s="12">
        <f>cFactors!AH35</f>
        <v>1.1886857536682123</v>
      </c>
      <c r="AI34" s="12">
        <f>cFactors!AI35</f>
        <v>1.2184028975099175</v>
      </c>
      <c r="AJ34" s="12">
        <f>cFactors!AJ35</f>
        <v>1.2488629699476652</v>
      </c>
      <c r="AK34" s="12">
        <f>cFactors!AK35</f>
        <v>1.2800845441963566</v>
      </c>
      <c r="AL34" s="12">
        <f>cFactors!AL35</f>
        <v>1.3120866578012655</v>
      </c>
      <c r="AM34" s="12">
        <f>cFactors!AM35</f>
        <v>1.3448888242462971</v>
      </c>
      <c r="AN34" s="12">
        <f>cFactors!AN35</f>
        <v>1.3785110448524545</v>
      </c>
      <c r="AO34" s="12">
        <f>cFactors!AO35</f>
        <v>1.4129738209737657</v>
      </c>
      <c r="AP34" s="12">
        <f>cFactors!AP35</f>
        <v>1.4482981664981096</v>
      </c>
      <c r="AQ34" s="12">
        <f>cFactors!AQ35</f>
        <v>1.4845056206605622</v>
      </c>
      <c r="AR34" s="12">
        <f>cFactors!AR35</f>
        <v>1.5216182611770761</v>
      </c>
      <c r="AS34" s="12">
        <f>cFactors!AS35</f>
        <v>1.5596587177065029</v>
      </c>
      <c r="AT34" s="12">
        <f>cFactors!AT35</f>
        <v>1.5986501856491653</v>
      </c>
      <c r="AU34" s="12">
        <f>cFactors!AU35</f>
        <v>1.6386164402903942</v>
      </c>
      <c r="AV34" s="12">
        <f>cFactors!AV35</f>
        <v>1.6795818512976539</v>
      </c>
      <c r="AW34" s="12">
        <f>cFactors!AW35</f>
        <v>1.721571397580095</v>
      </c>
      <c r="AX34" s="12">
        <f>cFactors!AX35</f>
        <v>1.7646106825195973</v>
      </c>
      <c r="AY34" s="12">
        <f>cFactors!AY35</f>
        <v>1.8087259495825871</v>
      </c>
      <c r="AZ34" s="12">
        <f>cFactors!AZ35</f>
        <v>1.8539440983221516</v>
      </c>
      <c r="BA34" s="12">
        <f>cFactors!BA35</f>
        <v>1.9002927007802053</v>
      </c>
      <c r="BB34" s="12">
        <f>cFactors!BB35</f>
        <v>1.9478000182997102</v>
      </c>
      <c r="BC34" s="12">
        <f>cFactors!BC35</f>
        <v>1.9964950187572028</v>
      </c>
      <c r="BD34" s="12">
        <f>cFactors!BD35</f>
        <v>2.0464073942261325</v>
      </c>
      <c r="BE34" s="12">
        <f>cFactors!BE35</f>
        <v>2.0975675790817858</v>
      </c>
      <c r="BG34" s="39"/>
      <c r="BH34" s="39"/>
      <c r="BI34" s="39"/>
      <c r="BJ34" s="39"/>
      <c r="BK34" s="39"/>
      <c r="BL34" s="39"/>
      <c r="BM34" s="39"/>
    </row>
    <row r="35" spans="1:66">
      <c r="D35" s="18"/>
      <c r="E35" s="18"/>
      <c r="F35" s="18" t="str">
        <f>iIndices!F17</f>
        <v>Other Inflation</v>
      </c>
      <c r="G35" s="17" t="s">
        <v>7</v>
      </c>
      <c r="I35"/>
      <c r="AA35" s="12">
        <f>cFactors!AA36</f>
        <v>1</v>
      </c>
      <c r="AB35" s="12">
        <f>cFactors!AB36</f>
        <v>1.03</v>
      </c>
      <c r="AC35" s="12">
        <f>cFactors!AC36</f>
        <v>1.0609</v>
      </c>
      <c r="AD35" s="12">
        <f>cFactors!AD36</f>
        <v>1.092727</v>
      </c>
      <c r="AE35" s="12">
        <f>cFactors!AE36</f>
        <v>1.1255088100000001</v>
      </c>
      <c r="AF35" s="12">
        <f>cFactors!AF36</f>
        <v>1.1592740743000001</v>
      </c>
      <c r="AG35" s="12">
        <f>cFactors!AG36</f>
        <v>1.1940522965290001</v>
      </c>
      <c r="AH35" s="12">
        <f>cFactors!AH36</f>
        <v>1.2298738654248702</v>
      </c>
      <c r="AI35" s="12">
        <f>cFactors!AI36</f>
        <v>1.2667700813876164</v>
      </c>
      <c r="AJ35" s="12">
        <f>cFactors!AJ36</f>
        <v>1.3047731838292449</v>
      </c>
      <c r="AK35" s="12">
        <f>cFactors!AK36</f>
        <v>1.3439163793441222</v>
      </c>
      <c r="AL35" s="12">
        <f>cFactors!AL36</f>
        <v>1.3842338707244459</v>
      </c>
      <c r="AM35" s="12">
        <f>cFactors!AM36</f>
        <v>1.4257608868461793</v>
      </c>
      <c r="AN35" s="12">
        <f>cFactors!AN36</f>
        <v>1.4685337134515648</v>
      </c>
      <c r="AO35" s="12">
        <f>cFactors!AO36</f>
        <v>1.5125897248551119</v>
      </c>
      <c r="AP35" s="12">
        <f>cFactors!AP36</f>
        <v>1.5579674166007653</v>
      </c>
      <c r="AQ35" s="12">
        <f>cFactors!AQ36</f>
        <v>1.6047064390987884</v>
      </c>
      <c r="AR35" s="12">
        <f>cFactors!AR36</f>
        <v>1.652847632271752</v>
      </c>
      <c r="AS35" s="12">
        <f>cFactors!AS36</f>
        <v>1.7024330612399046</v>
      </c>
      <c r="AT35" s="12">
        <f>cFactors!AT36</f>
        <v>1.7535060530771018</v>
      </c>
      <c r="AU35" s="12">
        <f>cFactors!AU36</f>
        <v>1.806111234669415</v>
      </c>
      <c r="AV35" s="12">
        <f>cFactors!AV36</f>
        <v>1.8602945717094976</v>
      </c>
      <c r="AW35" s="12">
        <f>cFactors!AW36</f>
        <v>1.9161034088607827</v>
      </c>
      <c r="AX35" s="12">
        <f>cFactors!AX36</f>
        <v>1.9735865111266062</v>
      </c>
      <c r="AY35" s="12">
        <f>cFactors!AY36</f>
        <v>2.0327941064604045</v>
      </c>
      <c r="AZ35" s="12">
        <f>cFactors!AZ36</f>
        <v>2.0937779296542165</v>
      </c>
      <c r="BA35" s="12">
        <f>cFactors!BA36</f>
        <v>2.1565912675438432</v>
      </c>
      <c r="BB35" s="12">
        <f>cFactors!BB36</f>
        <v>2.2212890055701586</v>
      </c>
      <c r="BC35" s="12">
        <f>cFactors!BC36</f>
        <v>2.2879276757372633</v>
      </c>
      <c r="BD35" s="12">
        <f>cFactors!BD36</f>
        <v>2.3565655060093813</v>
      </c>
      <c r="BE35" s="12">
        <f>cFactors!BE36</f>
        <v>2.4272624711896627</v>
      </c>
      <c r="BG35" s="39"/>
      <c r="BH35" s="39"/>
      <c r="BI35" s="39"/>
      <c r="BJ35" s="39"/>
      <c r="BK35" s="39"/>
      <c r="BL35" s="39"/>
      <c r="BM35" s="39"/>
    </row>
    <row r="36" spans="1:66">
      <c r="D36" s="18"/>
      <c r="E36" s="18"/>
      <c r="F36" s="18" t="str">
        <f>iIndices!F18</f>
        <v>Inflation Type C</v>
      </c>
      <c r="G36" s="17" t="s">
        <v>7</v>
      </c>
      <c r="I36"/>
      <c r="AA36" s="12">
        <f>cFactors!AA37</f>
        <v>1</v>
      </c>
      <c r="AB36" s="12">
        <f>cFactors!AB37</f>
        <v>1.02</v>
      </c>
      <c r="AC36" s="12">
        <f>cFactors!AC37</f>
        <v>1.0404</v>
      </c>
      <c r="AD36" s="12">
        <f>cFactors!AD37</f>
        <v>1.0612079999999999</v>
      </c>
      <c r="AE36" s="12">
        <f>cFactors!AE37</f>
        <v>1.08243216</v>
      </c>
      <c r="AF36" s="12">
        <f>cFactors!AF37</f>
        <v>1.1040808032</v>
      </c>
      <c r="AG36" s="12">
        <f>cFactors!AG37</f>
        <v>1.1261624192640001</v>
      </c>
      <c r="AH36" s="12">
        <f>cFactors!AH37</f>
        <v>1.14868566764928</v>
      </c>
      <c r="AI36" s="12">
        <f>cFactors!AI37</f>
        <v>1.1716593810022657</v>
      </c>
      <c r="AJ36" s="12">
        <f>cFactors!AJ37</f>
        <v>1.1950925686223111</v>
      </c>
      <c r="AK36" s="12">
        <f>cFactors!AK37</f>
        <v>1.2189944199947573</v>
      </c>
      <c r="AL36" s="12">
        <f>cFactors!AL37</f>
        <v>1.2433743083946525</v>
      </c>
      <c r="AM36" s="12">
        <f>cFactors!AM37</f>
        <v>1.2682417945625455</v>
      </c>
      <c r="AN36" s="12">
        <f>cFactors!AN37</f>
        <v>1.2936066304537963</v>
      </c>
      <c r="AO36" s="12">
        <f>cFactors!AO37</f>
        <v>1.3194787630628724</v>
      </c>
      <c r="AP36" s="12">
        <f>cFactors!AP37</f>
        <v>1.3458683383241299</v>
      </c>
      <c r="AQ36" s="12">
        <f>cFactors!AQ37</f>
        <v>1.3727857050906125</v>
      </c>
      <c r="AR36" s="12">
        <f>cFactors!AR37</f>
        <v>1.4002414191924248</v>
      </c>
      <c r="AS36" s="12">
        <f>cFactors!AS37</f>
        <v>1.4282462475762734</v>
      </c>
      <c r="AT36" s="12">
        <f>cFactors!AT37</f>
        <v>1.4568111725277988</v>
      </c>
      <c r="AU36" s="12">
        <f>cFactors!AU37</f>
        <v>1.4859473959783549</v>
      </c>
      <c r="AV36" s="12">
        <f>cFactors!AV37</f>
        <v>1.5156663438979221</v>
      </c>
      <c r="AW36" s="12">
        <f>cFactors!AW37</f>
        <v>1.5459796707758806</v>
      </c>
      <c r="AX36" s="12">
        <f>cFactors!AX37</f>
        <v>1.5768992641913981</v>
      </c>
      <c r="AY36" s="12">
        <f>cFactors!AY37</f>
        <v>1.6084372494752261</v>
      </c>
      <c r="AZ36" s="12">
        <f>cFactors!AZ37</f>
        <v>1.6406059944647307</v>
      </c>
      <c r="BA36" s="12">
        <f>cFactors!BA37</f>
        <v>1.6734181143540252</v>
      </c>
      <c r="BB36" s="12">
        <f>cFactors!BB37</f>
        <v>1.7068864766411058</v>
      </c>
      <c r="BC36" s="12">
        <f>cFactors!BC37</f>
        <v>1.7410242061739281</v>
      </c>
      <c r="BD36" s="12">
        <f>cFactors!BD37</f>
        <v>1.7758446902974065</v>
      </c>
      <c r="BE36" s="12">
        <f>cFactors!BE37</f>
        <v>1.8113615841033548</v>
      </c>
      <c r="BG36" s="39"/>
      <c r="BH36" s="39"/>
      <c r="BI36" s="39"/>
      <c r="BJ36" s="39"/>
      <c r="BK36" s="39"/>
      <c r="BL36" s="39"/>
      <c r="BM36" s="39"/>
    </row>
    <row r="37" spans="1:66">
      <c r="D37" s="18"/>
      <c r="E37" s="18"/>
      <c r="F37" s="18" t="str">
        <f>iIndices!F19</f>
        <v>Inflation Type D</v>
      </c>
      <c r="G37" s="17" t="s">
        <v>7</v>
      </c>
      <c r="I37"/>
      <c r="AA37" s="12">
        <f>cFactors!AA38</f>
        <v>1</v>
      </c>
      <c r="AB37" s="12">
        <f>cFactors!AB38</f>
        <v>1.02</v>
      </c>
      <c r="AC37" s="12">
        <f>cFactors!AC38</f>
        <v>1.0404</v>
      </c>
      <c r="AD37" s="12">
        <f>cFactors!AD38</f>
        <v>1.0612079999999999</v>
      </c>
      <c r="AE37" s="12">
        <f>cFactors!AE38</f>
        <v>1.08243216</v>
      </c>
      <c r="AF37" s="12">
        <f>cFactors!AF38</f>
        <v>1.1040808032</v>
      </c>
      <c r="AG37" s="12">
        <f>cFactors!AG38</f>
        <v>1.1261624192640001</v>
      </c>
      <c r="AH37" s="12">
        <f>cFactors!AH38</f>
        <v>1.14868566764928</v>
      </c>
      <c r="AI37" s="12">
        <f>cFactors!AI38</f>
        <v>1.1716593810022657</v>
      </c>
      <c r="AJ37" s="12">
        <f>cFactors!AJ38</f>
        <v>1.1950925686223111</v>
      </c>
      <c r="AK37" s="12">
        <f>cFactors!AK38</f>
        <v>1.2189944199947573</v>
      </c>
      <c r="AL37" s="12">
        <f>cFactors!AL38</f>
        <v>1.2433743083946525</v>
      </c>
      <c r="AM37" s="12">
        <f>cFactors!AM38</f>
        <v>1.2682417945625455</v>
      </c>
      <c r="AN37" s="12">
        <f>cFactors!AN38</f>
        <v>1.2936066304537963</v>
      </c>
      <c r="AO37" s="12">
        <f>cFactors!AO38</f>
        <v>1.3194787630628724</v>
      </c>
      <c r="AP37" s="12">
        <f>cFactors!AP38</f>
        <v>1.3458683383241299</v>
      </c>
      <c r="AQ37" s="12">
        <f>cFactors!AQ38</f>
        <v>1.3727857050906125</v>
      </c>
      <c r="AR37" s="12">
        <f>cFactors!AR38</f>
        <v>1.4002414191924248</v>
      </c>
      <c r="AS37" s="12">
        <f>cFactors!AS38</f>
        <v>1.4282462475762734</v>
      </c>
      <c r="AT37" s="12">
        <f>cFactors!AT38</f>
        <v>1.4568111725277988</v>
      </c>
      <c r="AU37" s="12">
        <f>cFactors!AU38</f>
        <v>1.4859473959783549</v>
      </c>
      <c r="AV37" s="12">
        <f>cFactors!AV38</f>
        <v>1.5156663438979221</v>
      </c>
      <c r="AW37" s="12">
        <f>cFactors!AW38</f>
        <v>1.5459796707758806</v>
      </c>
      <c r="AX37" s="12">
        <f>cFactors!AX38</f>
        <v>1.5768992641913981</v>
      </c>
      <c r="AY37" s="12">
        <f>cFactors!AY38</f>
        <v>1.6084372494752261</v>
      </c>
      <c r="AZ37" s="12">
        <f>cFactors!AZ38</f>
        <v>1.6406059944647307</v>
      </c>
      <c r="BA37" s="12">
        <f>cFactors!BA38</f>
        <v>1.6734181143540252</v>
      </c>
      <c r="BB37" s="12">
        <f>cFactors!BB38</f>
        <v>1.7068864766411058</v>
      </c>
      <c r="BC37" s="12">
        <f>cFactors!BC38</f>
        <v>1.7410242061739281</v>
      </c>
      <c r="BD37" s="12">
        <f>cFactors!BD38</f>
        <v>1.7758446902974065</v>
      </c>
      <c r="BE37" s="12">
        <f>cFactors!BE38</f>
        <v>1.8113615841033548</v>
      </c>
      <c r="BG37" s="39"/>
      <c r="BH37" s="39"/>
      <c r="BI37" s="39"/>
      <c r="BJ37" s="39"/>
      <c r="BK37" s="39"/>
      <c r="BL37" s="39"/>
      <c r="BM37" s="39"/>
    </row>
    <row r="38" spans="1:66">
      <c r="D38" s="18"/>
      <c r="E38" s="18"/>
      <c r="F38" s="18" t="str">
        <f>iIndices!F20</f>
        <v>Inflation Type E</v>
      </c>
      <c r="G38" s="17" t="s">
        <v>7</v>
      </c>
      <c r="I38"/>
      <c r="AA38" s="12">
        <f>cFactors!AA39</f>
        <v>1</v>
      </c>
      <c r="AB38" s="12">
        <f>cFactors!AB39</f>
        <v>1.02</v>
      </c>
      <c r="AC38" s="12">
        <f>cFactors!AC39</f>
        <v>1.0404</v>
      </c>
      <c r="AD38" s="12">
        <f>cFactors!AD39</f>
        <v>1.0612079999999999</v>
      </c>
      <c r="AE38" s="12">
        <f>cFactors!AE39</f>
        <v>1.08243216</v>
      </c>
      <c r="AF38" s="12">
        <f>cFactors!AF39</f>
        <v>1.1040808032</v>
      </c>
      <c r="AG38" s="12">
        <f>cFactors!AG39</f>
        <v>1.1261624192640001</v>
      </c>
      <c r="AH38" s="12">
        <f>cFactors!AH39</f>
        <v>1.14868566764928</v>
      </c>
      <c r="AI38" s="12">
        <f>cFactors!AI39</f>
        <v>1.1716593810022657</v>
      </c>
      <c r="AJ38" s="12">
        <f>cFactors!AJ39</f>
        <v>1.1950925686223111</v>
      </c>
      <c r="AK38" s="12">
        <f>cFactors!AK39</f>
        <v>1.2189944199947573</v>
      </c>
      <c r="AL38" s="12">
        <f>cFactors!AL39</f>
        <v>1.2433743083946525</v>
      </c>
      <c r="AM38" s="12">
        <f>cFactors!AM39</f>
        <v>1.2682417945625455</v>
      </c>
      <c r="AN38" s="12">
        <f>cFactors!AN39</f>
        <v>1.2936066304537963</v>
      </c>
      <c r="AO38" s="12">
        <f>cFactors!AO39</f>
        <v>1.3194787630628724</v>
      </c>
      <c r="AP38" s="12">
        <f>cFactors!AP39</f>
        <v>1.3458683383241299</v>
      </c>
      <c r="AQ38" s="12">
        <f>cFactors!AQ39</f>
        <v>1.3727857050906125</v>
      </c>
      <c r="AR38" s="12">
        <f>cFactors!AR39</f>
        <v>1.4002414191924248</v>
      </c>
      <c r="AS38" s="12">
        <f>cFactors!AS39</f>
        <v>1.4282462475762734</v>
      </c>
      <c r="AT38" s="12">
        <f>cFactors!AT39</f>
        <v>1.4568111725277988</v>
      </c>
      <c r="AU38" s="12">
        <f>cFactors!AU39</f>
        <v>1.4859473959783549</v>
      </c>
      <c r="AV38" s="12">
        <f>cFactors!AV39</f>
        <v>1.5156663438979221</v>
      </c>
      <c r="AW38" s="12">
        <f>cFactors!AW39</f>
        <v>1.5459796707758806</v>
      </c>
      <c r="AX38" s="12">
        <f>cFactors!AX39</f>
        <v>1.5768992641913981</v>
      </c>
      <c r="AY38" s="12">
        <f>cFactors!AY39</f>
        <v>1.6084372494752261</v>
      </c>
      <c r="AZ38" s="12">
        <f>cFactors!AZ39</f>
        <v>1.6406059944647307</v>
      </c>
      <c r="BA38" s="12">
        <f>cFactors!BA39</f>
        <v>1.6734181143540252</v>
      </c>
      <c r="BB38" s="12">
        <f>cFactors!BB39</f>
        <v>1.7068864766411058</v>
      </c>
      <c r="BC38" s="12">
        <f>cFactors!BC39</f>
        <v>1.7410242061739281</v>
      </c>
      <c r="BD38" s="12">
        <f>cFactors!BD39</f>
        <v>1.7758446902974065</v>
      </c>
      <c r="BE38" s="12">
        <f>cFactors!BE39</f>
        <v>1.8113615841033548</v>
      </c>
      <c r="BG38" s="39"/>
      <c r="BH38" s="39"/>
      <c r="BI38" s="39"/>
      <c r="BJ38" s="39"/>
      <c r="BK38" s="39"/>
      <c r="BL38" s="39"/>
      <c r="BM38" s="39"/>
    </row>
    <row r="39" spans="1:66">
      <c r="D39" s="18"/>
      <c r="E39" s="18"/>
      <c r="F39" s="18"/>
      <c r="G39" s="17"/>
    </row>
    <row r="40" spans="1:66" ht="16">
      <c r="A40" s="24"/>
      <c r="B40" s="24"/>
      <c r="C40" s="24"/>
      <c r="D40" s="24">
        <v>4</v>
      </c>
      <c r="E40" s="24" t="s">
        <v>214</v>
      </c>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c r="BK40" s="24"/>
      <c r="BL40" s="24"/>
      <c r="BM40" s="24"/>
      <c r="BN40" s="24"/>
    </row>
    <row r="41" spans="1:66">
      <c r="F41" s="18"/>
      <c r="G41" s="17"/>
    </row>
    <row r="42" spans="1:66" ht="14" thickBot="1">
      <c r="A42" s="25"/>
      <c r="B42" s="25"/>
      <c r="C42" s="25"/>
      <c r="D42" s="25"/>
      <c r="E42" s="25" t="s">
        <v>391</v>
      </c>
      <c r="F42" s="25" t="s">
        <v>214</v>
      </c>
      <c r="G42" s="25"/>
      <c r="H42" s="25"/>
      <c r="I42" s="25"/>
      <c r="J42" s="25"/>
      <c r="K42" s="25"/>
      <c r="L42" s="25"/>
      <c r="M42" s="25"/>
      <c r="N42" s="25"/>
      <c r="O42" s="25"/>
      <c r="P42" s="25"/>
      <c r="Q42" s="25"/>
      <c r="R42" s="25"/>
      <c r="S42" s="25"/>
      <c r="T42" s="25"/>
      <c r="U42" s="25"/>
      <c r="V42" s="25"/>
      <c r="W42" s="25"/>
      <c r="X42" s="25"/>
      <c r="Y42" s="25"/>
      <c r="Z42" s="25"/>
      <c r="AA42" s="25"/>
      <c r="AB42" s="25"/>
      <c r="AC42" s="25"/>
      <c r="AD42" s="25"/>
      <c r="AE42" s="25"/>
      <c r="AF42" s="25"/>
      <c r="AG42" s="25"/>
      <c r="AH42" s="25"/>
      <c r="AI42" s="25"/>
      <c r="AJ42" s="25"/>
      <c r="AK42" s="25"/>
      <c r="AL42" s="25"/>
      <c r="AM42" s="25"/>
      <c r="AN42" s="25"/>
      <c r="AO42" s="25"/>
      <c r="AP42" s="25"/>
      <c r="AQ42" s="25"/>
      <c r="AR42" s="25"/>
      <c r="AS42" s="25"/>
      <c r="AT42" s="25"/>
      <c r="AU42" s="25"/>
      <c r="AV42" s="25"/>
      <c r="AW42" s="25"/>
      <c r="AX42" s="25"/>
      <c r="AY42" s="25"/>
      <c r="AZ42" s="25"/>
      <c r="BA42" s="25"/>
      <c r="BB42" s="25"/>
      <c r="BC42" s="25"/>
      <c r="BD42" s="25"/>
      <c r="BE42" s="25"/>
      <c r="BF42" s="25"/>
      <c r="BG42" s="25"/>
      <c r="BH42" s="25"/>
      <c r="BI42" s="25"/>
      <c r="BJ42" s="25"/>
      <c r="BK42" s="25"/>
      <c r="BL42" s="25"/>
      <c r="BM42" s="25"/>
    </row>
    <row r="43" spans="1:66">
      <c r="F43" s="18"/>
      <c r="G43" s="17"/>
    </row>
    <row r="44" spans="1:66" ht="13">
      <c r="F44" s="26" t="s">
        <v>174</v>
      </c>
      <c r="G44" s="17"/>
    </row>
    <row r="45" spans="1:66">
      <c r="F45" s="18"/>
      <c r="G45" s="17"/>
    </row>
    <row r="46" spans="1:66">
      <c r="F46" s="40" t="s">
        <v>215</v>
      </c>
      <c r="G46" s="17" t="str">
        <f>cstConstantUnit</f>
        <v>£ 2022/23</v>
      </c>
      <c r="K46" s="9" cm="1">
        <f t="array" ref="K46">INDEX(iOptions!$M$115:$O$115,1,ActiveCostScenarioIndex)</f>
        <v>30</v>
      </c>
      <c r="AA46" s="39"/>
      <c r="AB46" s="39"/>
      <c r="AC46" s="39"/>
      <c r="AD46" s="39"/>
      <c r="AE46" s="39"/>
      <c r="AF46" s="39"/>
      <c r="AG46" s="39"/>
      <c r="AH46" s="39"/>
      <c r="AI46" s="39"/>
      <c r="AJ46" s="39"/>
      <c r="AK46" s="39"/>
      <c r="AL46" s="39"/>
      <c r="AM46" s="39"/>
      <c r="AN46" s="39"/>
      <c r="AO46" s="39"/>
      <c r="AP46" s="39"/>
      <c r="AQ46" s="39"/>
      <c r="AR46" s="39"/>
      <c r="AS46" s="39"/>
      <c r="AT46" s="39"/>
      <c r="AU46" s="39"/>
      <c r="AV46" s="39"/>
      <c r="AW46" s="39"/>
      <c r="AX46" s="39"/>
      <c r="AY46" s="39"/>
      <c r="AZ46" s="39"/>
      <c r="BA46" s="39"/>
      <c r="BB46" s="39"/>
      <c r="BC46" s="39"/>
      <c r="BD46" s="39"/>
      <c r="BE46" s="39"/>
      <c r="BG46" s="39"/>
      <c r="BH46" s="39"/>
      <c r="BI46" s="39"/>
      <c r="BJ46" s="39"/>
      <c r="BK46" s="39"/>
      <c r="BL46" s="39"/>
      <c r="BM46" s="39"/>
    </row>
    <row r="47" spans="1:66">
      <c r="F47" s="40" t="s">
        <v>364</v>
      </c>
      <c r="G47" s="17" t="str">
        <f>cstHours</f>
        <v>Hrs</v>
      </c>
      <c r="K47"/>
      <c r="AA47" s="9">
        <f>cVolumetrics!AA39</f>
        <v>0</v>
      </c>
      <c r="AB47" s="9">
        <f>cVolumetrics!AB39</f>
        <v>90000</v>
      </c>
      <c r="AC47" s="9">
        <f>cVolumetrics!AC39</f>
        <v>90000</v>
      </c>
      <c r="AD47" s="9">
        <f>cVolumetrics!AD39</f>
        <v>90000</v>
      </c>
      <c r="AE47" s="9">
        <f>cVolumetrics!AE39</f>
        <v>90000</v>
      </c>
      <c r="AF47" s="9">
        <f>cVolumetrics!AF39</f>
        <v>90000</v>
      </c>
      <c r="AG47" s="9">
        <f>cVolumetrics!AG39</f>
        <v>90000</v>
      </c>
      <c r="AH47" s="9">
        <f>cVolumetrics!AH39</f>
        <v>90000</v>
      </c>
      <c r="AI47" s="9">
        <f>cVolumetrics!AI39</f>
        <v>90000</v>
      </c>
      <c r="AJ47" s="9">
        <f>cVolumetrics!AJ39</f>
        <v>90000</v>
      </c>
      <c r="AK47" s="9">
        <f>cVolumetrics!AK39</f>
        <v>90000</v>
      </c>
      <c r="AL47" s="9">
        <f>cVolumetrics!AL39</f>
        <v>90000</v>
      </c>
      <c r="AM47" s="9">
        <f>cVolumetrics!AM39</f>
        <v>90000</v>
      </c>
      <c r="AN47" s="9">
        <f>cVolumetrics!AN39</f>
        <v>90000</v>
      </c>
      <c r="AO47" s="9">
        <f>cVolumetrics!AO39</f>
        <v>90000</v>
      </c>
      <c r="AP47" s="9">
        <f>cVolumetrics!AP39</f>
        <v>90000</v>
      </c>
      <c r="AQ47" s="9">
        <f>cVolumetrics!AQ39</f>
        <v>90000</v>
      </c>
      <c r="AR47" s="9">
        <f>cVolumetrics!AR39</f>
        <v>90000</v>
      </c>
      <c r="AS47" s="9">
        <f>cVolumetrics!AS39</f>
        <v>90000</v>
      </c>
      <c r="AT47" s="9">
        <f>cVolumetrics!AT39</f>
        <v>90000</v>
      </c>
      <c r="AU47" s="9">
        <f>cVolumetrics!AU39</f>
        <v>90000</v>
      </c>
      <c r="AV47" s="9">
        <f>cVolumetrics!AV39</f>
        <v>90000</v>
      </c>
      <c r="AW47" s="9">
        <f>cVolumetrics!AW39</f>
        <v>90000</v>
      </c>
      <c r="AX47" s="9">
        <f>cVolumetrics!AX39</f>
        <v>90000</v>
      </c>
      <c r="AY47" s="9">
        <f>cVolumetrics!AY39</f>
        <v>90000</v>
      </c>
      <c r="AZ47" s="9">
        <f>cVolumetrics!AZ39</f>
        <v>90000</v>
      </c>
      <c r="BA47" s="9">
        <f>cVolumetrics!BA39</f>
        <v>90000</v>
      </c>
      <c r="BB47" s="9">
        <f>cVolumetrics!BB39</f>
        <v>90000</v>
      </c>
      <c r="BC47" s="9">
        <f>cVolumetrics!BC39</f>
        <v>90000</v>
      </c>
      <c r="BD47" s="9">
        <f>cVolumetrics!BD39</f>
        <v>90000</v>
      </c>
      <c r="BE47" s="9">
        <f>cVolumetrics!BE39</f>
        <v>90000</v>
      </c>
      <c r="BG47" s="39"/>
      <c r="BH47" s="39"/>
      <c r="BI47" s="39"/>
      <c r="BJ47" s="39"/>
      <c r="BK47" s="39"/>
      <c r="BL47" s="39"/>
      <c r="BM47" s="39"/>
    </row>
    <row r="49" spans="1:66" ht="13">
      <c r="F49" s="26" t="s">
        <v>327</v>
      </c>
    </row>
    <row r="50" spans="1:66">
      <c r="F50" s="18"/>
      <c r="G50" s="17"/>
    </row>
    <row r="51" spans="1:66">
      <c r="F51" s="40" t="s">
        <v>433</v>
      </c>
      <c r="G51" s="17" t="str">
        <f>cstConstantUnit</f>
        <v>£ 2022/23</v>
      </c>
      <c r="K51"/>
      <c r="AA51" s="14">
        <f t="shared" ref="AA51:BE51" si="0">AA47*$K46*AA20</f>
        <v>0</v>
      </c>
      <c r="AB51" s="14">
        <f t="shared" si="0"/>
        <v>2700000</v>
      </c>
      <c r="AC51" s="14">
        <f t="shared" si="0"/>
        <v>2700000</v>
      </c>
      <c r="AD51" s="14">
        <f t="shared" si="0"/>
        <v>2700000</v>
      </c>
      <c r="AE51" s="14">
        <f t="shared" si="0"/>
        <v>2700000</v>
      </c>
      <c r="AF51" s="14">
        <f t="shared" si="0"/>
        <v>2700000</v>
      </c>
      <c r="AG51" s="14">
        <f t="shared" si="0"/>
        <v>2700000</v>
      </c>
      <c r="AH51" s="14">
        <f t="shared" si="0"/>
        <v>2700000</v>
      </c>
      <c r="AI51" s="14">
        <f t="shared" si="0"/>
        <v>2700000</v>
      </c>
      <c r="AJ51" s="14">
        <f t="shared" si="0"/>
        <v>2700000</v>
      </c>
      <c r="AK51" s="14">
        <f t="shared" si="0"/>
        <v>2700000</v>
      </c>
      <c r="AL51" s="14">
        <f t="shared" si="0"/>
        <v>2700000</v>
      </c>
      <c r="AM51" s="14">
        <f t="shared" si="0"/>
        <v>2700000</v>
      </c>
      <c r="AN51" s="14">
        <f t="shared" si="0"/>
        <v>2700000</v>
      </c>
      <c r="AO51" s="14">
        <f t="shared" si="0"/>
        <v>2700000</v>
      </c>
      <c r="AP51" s="14">
        <f t="shared" si="0"/>
        <v>2700000</v>
      </c>
      <c r="AQ51" s="14">
        <f t="shared" si="0"/>
        <v>2700000</v>
      </c>
      <c r="AR51" s="14">
        <f t="shared" si="0"/>
        <v>2700000</v>
      </c>
      <c r="AS51" s="14">
        <f t="shared" si="0"/>
        <v>2700000</v>
      </c>
      <c r="AT51" s="14">
        <f t="shared" si="0"/>
        <v>2700000</v>
      </c>
      <c r="AU51" s="14">
        <f t="shared" si="0"/>
        <v>2700000</v>
      </c>
      <c r="AV51" s="14">
        <f t="shared" si="0"/>
        <v>2700000</v>
      </c>
      <c r="AW51" s="14">
        <f t="shared" si="0"/>
        <v>2700000</v>
      </c>
      <c r="AX51" s="14">
        <f t="shared" si="0"/>
        <v>2700000</v>
      </c>
      <c r="AY51" s="14">
        <f t="shared" si="0"/>
        <v>2700000</v>
      </c>
      <c r="AZ51" s="14">
        <f t="shared" si="0"/>
        <v>2700000</v>
      </c>
      <c r="BA51" s="14">
        <f t="shared" si="0"/>
        <v>2700000</v>
      </c>
      <c r="BB51" s="14">
        <f t="shared" si="0"/>
        <v>2700000</v>
      </c>
      <c r="BC51" s="14">
        <f t="shared" si="0"/>
        <v>2700000</v>
      </c>
      <c r="BD51" s="14">
        <f t="shared" si="0"/>
        <v>2700000</v>
      </c>
      <c r="BE51" s="14">
        <f t="shared" si="0"/>
        <v>2700000</v>
      </c>
      <c r="BG51" s="14">
        <f>SUMIFS($AA51:$BE51,$AA$2:$BE$2,"&gt;="&amp;BG$2,$AA$3:$BE$3,"&lt;="&amp;BG$3)</f>
        <v>0</v>
      </c>
      <c r="BH51" s="14">
        <f t="shared" ref="BH51:BM51" si="1">SUMIFS($AA51:$BE51,$AA$2:$BE$2,"&gt;="&amp;BH$2,$AA$3:$BE$3,"&lt;="&amp;BH$3)</f>
        <v>13500000</v>
      </c>
      <c r="BI51" s="14">
        <f t="shared" si="1"/>
        <v>13500000</v>
      </c>
      <c r="BJ51" s="14">
        <f t="shared" si="1"/>
        <v>13500000</v>
      </c>
      <c r="BK51" s="14">
        <f t="shared" si="1"/>
        <v>13500000</v>
      </c>
      <c r="BL51" s="14">
        <f t="shared" si="1"/>
        <v>13500000</v>
      </c>
      <c r="BM51" s="14">
        <f t="shared" si="1"/>
        <v>13500000</v>
      </c>
    </row>
    <row r="52" spans="1:66">
      <c r="F52" s="18"/>
      <c r="G52" s="17"/>
    </row>
    <row r="53" spans="1:66" ht="13">
      <c r="F53" s="26" t="s">
        <v>218</v>
      </c>
    </row>
    <row r="54" spans="1:66">
      <c r="F54" s="18"/>
      <c r="G54" s="17"/>
    </row>
    <row r="55" spans="1:66">
      <c r="F55" s="40" t="s">
        <v>433</v>
      </c>
      <c r="G55" s="17" t="str">
        <f>cstNominalUnit</f>
        <v>£ Nominal</v>
      </c>
      <c r="I55" s="22" t="str">
        <f>iOptions!Q115</f>
        <v>Other Inflation</v>
      </c>
      <c r="AA55" s="14">
        <f t="shared" ref="AA55:BE55" si="2">AA51*_xlfn.IFNA(INDEX(AA$34:AA$38,MATCH($I55,$F$34:$F$38,0)),0)</f>
        <v>0</v>
      </c>
      <c r="AB55" s="14">
        <f t="shared" si="2"/>
        <v>2781000</v>
      </c>
      <c r="AC55" s="14">
        <f t="shared" si="2"/>
        <v>2864430</v>
      </c>
      <c r="AD55" s="14">
        <f t="shared" si="2"/>
        <v>2950362.9</v>
      </c>
      <c r="AE55" s="14">
        <f t="shared" si="2"/>
        <v>3038873.7870000005</v>
      </c>
      <c r="AF55" s="14">
        <f t="shared" si="2"/>
        <v>3130040.00061</v>
      </c>
      <c r="AG55" s="14">
        <f t="shared" si="2"/>
        <v>3223941.2006283002</v>
      </c>
      <c r="AH55" s="14">
        <f t="shared" si="2"/>
        <v>3320659.4366471497</v>
      </c>
      <c r="AI55" s="14">
        <f t="shared" si="2"/>
        <v>3420279.219746564</v>
      </c>
      <c r="AJ55" s="14">
        <f t="shared" si="2"/>
        <v>3522887.5963389613</v>
      </c>
      <c r="AK55" s="14">
        <f t="shared" si="2"/>
        <v>3628574.22422913</v>
      </c>
      <c r="AL55" s="14">
        <f t="shared" si="2"/>
        <v>3737431.4509560042</v>
      </c>
      <c r="AM55" s="14">
        <f t="shared" si="2"/>
        <v>3849554.3944846843</v>
      </c>
      <c r="AN55" s="14">
        <f t="shared" si="2"/>
        <v>3965041.0263192249</v>
      </c>
      <c r="AO55" s="14">
        <f t="shared" si="2"/>
        <v>4083992.257108802</v>
      </c>
      <c r="AP55" s="14">
        <f t="shared" si="2"/>
        <v>4206512.0248220665</v>
      </c>
      <c r="AQ55" s="14">
        <f t="shared" si="2"/>
        <v>4332707.3855667291</v>
      </c>
      <c r="AR55" s="14">
        <f t="shared" si="2"/>
        <v>4462688.6071337303</v>
      </c>
      <c r="AS55" s="14">
        <f t="shared" si="2"/>
        <v>4596569.2653477425</v>
      </c>
      <c r="AT55" s="14">
        <f t="shared" si="2"/>
        <v>4734466.343308175</v>
      </c>
      <c r="AU55" s="14">
        <f t="shared" si="2"/>
        <v>4876500.3336074203</v>
      </c>
      <c r="AV55" s="14">
        <f t="shared" si="2"/>
        <v>5022795.3436156437</v>
      </c>
      <c r="AW55" s="14">
        <f t="shared" si="2"/>
        <v>5173479.203924113</v>
      </c>
      <c r="AX55" s="14">
        <f t="shared" si="2"/>
        <v>5328683.5800418369</v>
      </c>
      <c r="AY55" s="14">
        <f t="shared" si="2"/>
        <v>5488544.0874430919</v>
      </c>
      <c r="AZ55" s="14">
        <f t="shared" si="2"/>
        <v>5653200.4100663848</v>
      </c>
      <c r="BA55" s="14">
        <f t="shared" si="2"/>
        <v>5822796.4223683765</v>
      </c>
      <c r="BB55" s="14">
        <f t="shared" si="2"/>
        <v>5997480.315039428</v>
      </c>
      <c r="BC55" s="14">
        <f t="shared" si="2"/>
        <v>6177404.7244906109</v>
      </c>
      <c r="BD55" s="14">
        <f t="shared" si="2"/>
        <v>6362726.8662253292</v>
      </c>
      <c r="BE55" s="14">
        <f t="shared" si="2"/>
        <v>6553608.6722120894</v>
      </c>
      <c r="BG55" s="14">
        <f>SUMIFS($AA55:$BE55,$AA$2:$BE$2,"&gt;="&amp;BG$2,$AA$3:$BE$3,"&lt;="&amp;BG$3)</f>
        <v>0</v>
      </c>
      <c r="BH55" s="14">
        <f t="shared" ref="BH55:BM55" si="3">SUMIFS($AA55:$BE55,$AA$2:$BE$2,"&gt;="&amp;BH$2,$AA$3:$BE$3,"&lt;="&amp;BH$3)</f>
        <v>14764706.68761</v>
      </c>
      <c r="BI55" s="14">
        <f t="shared" si="3"/>
        <v>17116341.677590106</v>
      </c>
      <c r="BJ55" s="14">
        <f t="shared" si="3"/>
        <v>19842531.153690781</v>
      </c>
      <c r="BK55" s="14">
        <f t="shared" si="3"/>
        <v>23002931.9349638</v>
      </c>
      <c r="BL55" s="14">
        <f t="shared" si="3"/>
        <v>26666702.625091068</v>
      </c>
      <c r="BM55" s="14">
        <f t="shared" si="3"/>
        <v>30914017.000335835</v>
      </c>
    </row>
    <row r="56" spans="1:66">
      <c r="F56" s="18"/>
      <c r="G56" s="17"/>
    </row>
    <row r="57" spans="1:66" ht="16">
      <c r="A57" s="24"/>
      <c r="B57" s="24"/>
      <c r="C57" s="24"/>
      <c r="D57" s="24">
        <v>5</v>
      </c>
      <c r="E57" s="24" t="s">
        <v>42</v>
      </c>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c r="AX57" s="24"/>
      <c r="AY57" s="24"/>
      <c r="AZ57" s="24"/>
      <c r="BA57" s="24"/>
      <c r="BB57" s="24"/>
      <c r="BC57" s="24"/>
      <c r="BD57" s="24"/>
      <c r="BE57" s="24"/>
      <c r="BF57" s="24"/>
      <c r="BG57" s="24"/>
      <c r="BH57" s="24"/>
      <c r="BI57" s="24"/>
      <c r="BJ57" s="24"/>
      <c r="BK57" s="24"/>
      <c r="BL57" s="24"/>
      <c r="BM57" s="24"/>
      <c r="BN57" s="24"/>
    </row>
    <row r="58" spans="1:66">
      <c r="F58" s="18"/>
      <c r="G58" s="17"/>
    </row>
    <row r="59" spans="1:66" ht="14" thickBot="1">
      <c r="A59" s="25"/>
      <c r="B59" s="25"/>
      <c r="C59" s="25"/>
      <c r="D59" s="25"/>
      <c r="E59" s="25" t="s">
        <v>392</v>
      </c>
      <c r="F59" s="25" t="s">
        <v>86</v>
      </c>
      <c r="G59" s="25"/>
      <c r="H59" s="25"/>
      <c r="I59" s="25"/>
      <c r="J59" s="25"/>
      <c r="K59" s="25"/>
      <c r="L59" s="25"/>
      <c r="M59" s="25"/>
      <c r="N59" s="25"/>
      <c r="O59" s="25"/>
      <c r="P59" s="25"/>
      <c r="Q59" s="25"/>
      <c r="R59" s="25"/>
      <c r="S59" s="25"/>
      <c r="T59" s="25"/>
      <c r="U59" s="25"/>
      <c r="V59" s="25"/>
      <c r="W59" s="25"/>
      <c r="X59" s="25"/>
      <c r="Y59" s="25"/>
      <c r="Z59" s="25"/>
      <c r="AA59" s="25"/>
      <c r="AB59" s="25"/>
      <c r="AC59" s="25"/>
      <c r="AD59" s="25"/>
      <c r="AE59" s="25"/>
      <c r="AF59" s="25"/>
      <c r="AG59" s="25"/>
      <c r="AH59" s="25"/>
      <c r="AI59" s="25"/>
      <c r="AJ59" s="25"/>
      <c r="AK59" s="25"/>
      <c r="AL59" s="25"/>
      <c r="AM59" s="25"/>
      <c r="AN59" s="25"/>
      <c r="AO59" s="25"/>
      <c r="AP59" s="25"/>
      <c r="AQ59" s="25"/>
      <c r="AR59" s="25"/>
      <c r="AS59" s="25"/>
      <c r="AT59" s="25"/>
      <c r="AU59" s="25"/>
      <c r="AV59" s="25"/>
      <c r="AW59" s="25"/>
      <c r="AX59" s="25"/>
      <c r="AY59" s="25"/>
      <c r="AZ59" s="25"/>
      <c r="BA59" s="25"/>
      <c r="BB59" s="25"/>
      <c r="BC59" s="25"/>
      <c r="BD59" s="25"/>
      <c r="BE59" s="25"/>
      <c r="BF59" s="25"/>
      <c r="BG59" s="25"/>
      <c r="BH59" s="25"/>
      <c r="BI59" s="25"/>
      <c r="BJ59" s="25"/>
      <c r="BK59" s="25"/>
      <c r="BL59" s="25"/>
      <c r="BM59" s="25"/>
    </row>
    <row r="60" spans="1:66">
      <c r="F60" s="18"/>
      <c r="G60" s="17"/>
    </row>
    <row r="61" spans="1:66" ht="13">
      <c r="F61" s="26" t="s">
        <v>174</v>
      </c>
      <c r="G61" s="17"/>
    </row>
    <row r="62" spans="1:66">
      <c r="F62" s="18"/>
      <c r="G62" s="17"/>
    </row>
    <row r="63" spans="1:66">
      <c r="F63" s="18" t="s">
        <v>86</v>
      </c>
      <c r="G63" s="17" t="str">
        <f>cstNum</f>
        <v>#</v>
      </c>
      <c r="AA63" s="10">
        <f>cVolumetrics!AA56</f>
        <v>0</v>
      </c>
      <c r="AB63" s="10">
        <f>cVolumetrics!AB56</f>
        <v>58.838912133891213</v>
      </c>
      <c r="AC63" s="10">
        <f>cVolumetrics!AC56</f>
        <v>58.838912133891213</v>
      </c>
      <c r="AD63" s="10">
        <f>cVolumetrics!AD56</f>
        <v>58.838912133891213</v>
      </c>
      <c r="AE63" s="10">
        <f>cVolumetrics!AE56</f>
        <v>58.838912133891213</v>
      </c>
      <c r="AF63" s="10">
        <f>cVolumetrics!AF56</f>
        <v>58.838912133891213</v>
      </c>
      <c r="AG63" s="10">
        <f>cVolumetrics!AG56</f>
        <v>58.838912133891213</v>
      </c>
      <c r="AH63" s="10">
        <f>cVolumetrics!AH56</f>
        <v>58.838912133891213</v>
      </c>
      <c r="AI63" s="10">
        <f>cVolumetrics!AI56</f>
        <v>58.838912133891213</v>
      </c>
      <c r="AJ63" s="10">
        <f>cVolumetrics!AJ56</f>
        <v>58.838912133891213</v>
      </c>
      <c r="AK63" s="10">
        <f>cVolumetrics!AK56</f>
        <v>58.838912133891213</v>
      </c>
      <c r="AL63" s="10">
        <f>cVolumetrics!AL56</f>
        <v>58.838912133891213</v>
      </c>
      <c r="AM63" s="10">
        <f>cVolumetrics!AM56</f>
        <v>58.838912133891213</v>
      </c>
      <c r="AN63" s="10">
        <f>cVolumetrics!AN56</f>
        <v>58.838912133891213</v>
      </c>
      <c r="AO63" s="10">
        <f>cVolumetrics!AO56</f>
        <v>58.838912133891213</v>
      </c>
      <c r="AP63" s="10">
        <f>cVolumetrics!AP56</f>
        <v>58.838912133891213</v>
      </c>
      <c r="AQ63" s="10">
        <f>cVolumetrics!AQ56</f>
        <v>58.838912133891213</v>
      </c>
      <c r="AR63" s="10">
        <f>cVolumetrics!AR56</f>
        <v>58.838912133891213</v>
      </c>
      <c r="AS63" s="10">
        <f>cVolumetrics!AS56</f>
        <v>58.838912133891213</v>
      </c>
      <c r="AT63" s="10">
        <f>cVolumetrics!AT56</f>
        <v>58.838912133891213</v>
      </c>
      <c r="AU63" s="10">
        <f>cVolumetrics!AU56</f>
        <v>58.838912133891213</v>
      </c>
      <c r="AV63" s="10">
        <f>cVolumetrics!AV56</f>
        <v>58.838912133891213</v>
      </c>
      <c r="AW63" s="10">
        <f>cVolumetrics!AW56</f>
        <v>58.838912133891213</v>
      </c>
      <c r="AX63" s="10">
        <f>cVolumetrics!AX56</f>
        <v>58.838912133891213</v>
      </c>
      <c r="AY63" s="10">
        <f>cVolumetrics!AY56</f>
        <v>58.838912133891213</v>
      </c>
      <c r="AZ63" s="10">
        <f>cVolumetrics!AZ56</f>
        <v>58.838912133891213</v>
      </c>
      <c r="BA63" s="10">
        <f>cVolumetrics!BA56</f>
        <v>58.838912133891213</v>
      </c>
      <c r="BB63" s="10">
        <f>cVolumetrics!BB56</f>
        <v>58.838912133891213</v>
      </c>
      <c r="BC63" s="10">
        <f>cVolumetrics!BC56</f>
        <v>58.838912133891213</v>
      </c>
      <c r="BD63" s="10">
        <f>cVolumetrics!BD56</f>
        <v>58.838912133891213</v>
      </c>
      <c r="BE63" s="10">
        <f>cVolumetrics!BE56</f>
        <v>58.838912133891213</v>
      </c>
      <c r="BG63" s="39"/>
      <c r="BH63" s="39"/>
      <c r="BI63" s="39"/>
      <c r="BJ63" s="39"/>
      <c r="BK63" s="39"/>
      <c r="BL63" s="39"/>
      <c r="BM63" s="39"/>
    </row>
    <row r="64" spans="1:66">
      <c r="F64" s="18"/>
      <c r="G64" s="17"/>
    </row>
    <row r="65" spans="1:65">
      <c r="F65" s="40" t="s">
        <v>225</v>
      </c>
      <c r="G65" s="17" t="str">
        <f>cstConstantUnit</f>
        <v>£ 2022/23</v>
      </c>
      <c r="K65" s="9" cm="1">
        <f t="array" ref="K65">INDEX(iOptions!$M$49:$O$49,1,ActiveCostScenarioIndex)</f>
        <v>29000</v>
      </c>
      <c r="AA65" s="39"/>
      <c r="AB65" s="39"/>
      <c r="AC65" s="39"/>
      <c r="AD65" s="39"/>
      <c r="AE65" s="39"/>
      <c r="AF65" s="39"/>
      <c r="AG65" s="39"/>
      <c r="AH65" s="39"/>
      <c r="AI65" s="39"/>
      <c r="AJ65" s="39"/>
      <c r="AK65" s="39"/>
      <c r="AL65" s="39"/>
      <c r="AM65" s="39"/>
      <c r="AN65" s="39"/>
      <c r="AO65" s="39"/>
      <c r="AP65" s="39"/>
      <c r="AQ65" s="39"/>
      <c r="AR65" s="39"/>
      <c r="AS65" s="39"/>
      <c r="AT65" s="39"/>
      <c r="AU65" s="39"/>
      <c r="AV65" s="39"/>
      <c r="AW65" s="39"/>
      <c r="AX65" s="39"/>
      <c r="AY65" s="39"/>
      <c r="AZ65" s="39"/>
      <c r="BA65" s="39"/>
      <c r="BB65" s="39"/>
      <c r="BC65" s="39"/>
      <c r="BD65" s="39"/>
      <c r="BE65" s="39"/>
      <c r="BG65" s="39"/>
      <c r="BH65" s="39"/>
      <c r="BI65" s="39"/>
      <c r="BJ65" s="39"/>
      <c r="BK65" s="39"/>
      <c r="BL65" s="39"/>
      <c r="BM65" s="39"/>
    </row>
    <row r="67" spans="1:65" ht="13">
      <c r="F67" s="26" t="s">
        <v>327</v>
      </c>
    </row>
    <row r="68" spans="1:65">
      <c r="F68" s="18"/>
      <c r="G68" s="17"/>
    </row>
    <row r="69" spans="1:65">
      <c r="F69" s="40" t="s">
        <v>284</v>
      </c>
      <c r="G69" s="17" t="str">
        <f>cstConstantUnit</f>
        <v>£ 2022/23</v>
      </c>
      <c r="AA69" s="14">
        <f t="shared" ref="AA69:BE69" si="4">AA63*$K65*AA20</f>
        <v>0</v>
      </c>
      <c r="AB69" s="14">
        <f t="shared" si="4"/>
        <v>1706328.4518828453</v>
      </c>
      <c r="AC69" s="14">
        <f t="shared" si="4"/>
        <v>1706328.4518828453</v>
      </c>
      <c r="AD69" s="14">
        <f t="shared" si="4"/>
        <v>1706328.4518828453</v>
      </c>
      <c r="AE69" s="14">
        <f t="shared" si="4"/>
        <v>1706328.4518828453</v>
      </c>
      <c r="AF69" s="14">
        <f t="shared" si="4"/>
        <v>1706328.4518828453</v>
      </c>
      <c r="AG69" s="14">
        <f t="shared" si="4"/>
        <v>1706328.4518828453</v>
      </c>
      <c r="AH69" s="14">
        <f t="shared" si="4"/>
        <v>1706328.4518828453</v>
      </c>
      <c r="AI69" s="14">
        <f t="shared" si="4"/>
        <v>1706328.4518828453</v>
      </c>
      <c r="AJ69" s="14">
        <f t="shared" si="4"/>
        <v>1706328.4518828453</v>
      </c>
      <c r="AK69" s="14">
        <f t="shared" si="4"/>
        <v>1706328.4518828453</v>
      </c>
      <c r="AL69" s="14">
        <f t="shared" si="4"/>
        <v>1706328.4518828453</v>
      </c>
      <c r="AM69" s="14">
        <f t="shared" si="4"/>
        <v>1706328.4518828453</v>
      </c>
      <c r="AN69" s="14">
        <f t="shared" si="4"/>
        <v>1706328.4518828453</v>
      </c>
      <c r="AO69" s="14">
        <f t="shared" si="4"/>
        <v>1706328.4518828453</v>
      </c>
      <c r="AP69" s="14">
        <f t="shared" si="4"/>
        <v>1706328.4518828453</v>
      </c>
      <c r="AQ69" s="14">
        <f t="shared" si="4"/>
        <v>1706328.4518828453</v>
      </c>
      <c r="AR69" s="14">
        <f t="shared" si="4"/>
        <v>1706328.4518828453</v>
      </c>
      <c r="AS69" s="14">
        <f t="shared" si="4"/>
        <v>1706328.4518828453</v>
      </c>
      <c r="AT69" s="14">
        <f t="shared" si="4"/>
        <v>1706328.4518828453</v>
      </c>
      <c r="AU69" s="14">
        <f t="shared" si="4"/>
        <v>1706328.4518828453</v>
      </c>
      <c r="AV69" s="14">
        <f t="shared" si="4"/>
        <v>1706328.4518828453</v>
      </c>
      <c r="AW69" s="14">
        <f t="shared" si="4"/>
        <v>1706328.4518828453</v>
      </c>
      <c r="AX69" s="14">
        <f t="shared" si="4"/>
        <v>1706328.4518828453</v>
      </c>
      <c r="AY69" s="14">
        <f t="shared" si="4"/>
        <v>1706328.4518828453</v>
      </c>
      <c r="AZ69" s="14">
        <f t="shared" si="4"/>
        <v>1706328.4518828453</v>
      </c>
      <c r="BA69" s="14">
        <f t="shared" si="4"/>
        <v>1706328.4518828453</v>
      </c>
      <c r="BB69" s="14">
        <f t="shared" si="4"/>
        <v>1706328.4518828453</v>
      </c>
      <c r="BC69" s="14">
        <f t="shared" si="4"/>
        <v>1706328.4518828453</v>
      </c>
      <c r="BD69" s="14">
        <f t="shared" si="4"/>
        <v>1706328.4518828453</v>
      </c>
      <c r="BE69" s="14">
        <f t="shared" si="4"/>
        <v>1706328.4518828453</v>
      </c>
      <c r="BG69" s="14">
        <f>SUMIFS($AA69:$BE69,$AA$2:$BE$2,"&gt;="&amp;BG$2,$AA$3:$BE$3,"&lt;="&amp;BG$3)</f>
        <v>0</v>
      </c>
      <c r="BH69" s="14">
        <f t="shared" ref="BH69:BM69" si="5">SUMIFS($AA69:$BE69,$AA$2:$BE$2,"&gt;="&amp;BH$2,$AA$3:$BE$3,"&lt;="&amp;BH$3)</f>
        <v>8531642.2594142258</v>
      </c>
      <c r="BI69" s="14">
        <f t="shared" si="5"/>
        <v>8531642.2594142258</v>
      </c>
      <c r="BJ69" s="14">
        <f t="shared" si="5"/>
        <v>8531642.2594142258</v>
      </c>
      <c r="BK69" s="14">
        <f t="shared" si="5"/>
        <v>8531642.2594142258</v>
      </c>
      <c r="BL69" s="14">
        <f t="shared" si="5"/>
        <v>8531642.2594142258</v>
      </c>
      <c r="BM69" s="14">
        <f t="shared" si="5"/>
        <v>8531642.2594142258</v>
      </c>
    </row>
    <row r="70" spans="1:65">
      <c r="F70" s="18"/>
      <c r="G70" s="17"/>
    </row>
    <row r="71" spans="1:65" ht="13">
      <c r="F71" s="26" t="s">
        <v>218</v>
      </c>
    </row>
    <row r="72" spans="1:65">
      <c r="F72" s="18"/>
      <c r="G72" s="17"/>
    </row>
    <row r="73" spans="1:65">
      <c r="F73" s="40" t="s">
        <v>284</v>
      </c>
      <c r="G73" s="17" t="str">
        <f>cstNominalUnit</f>
        <v>£ Nominal</v>
      </c>
      <c r="I73" s="22" t="str">
        <f>iOptions!Q49</f>
        <v>Wage Inflation</v>
      </c>
      <c r="AA73" s="14">
        <f t="shared" ref="AA73:BE73" si="6">AA69*_xlfn.IFNA(INDEX(AA$34:AA$38,MATCH($I73,$F$34:$F$38,0)),0)</f>
        <v>0</v>
      </c>
      <c r="AB73" s="14">
        <f t="shared" si="6"/>
        <v>1748986.6631799163</v>
      </c>
      <c r="AC73" s="14">
        <f t="shared" si="6"/>
        <v>1792711.3297594141</v>
      </c>
      <c r="AD73" s="14">
        <f t="shared" si="6"/>
        <v>1837529.1130033995</v>
      </c>
      <c r="AE73" s="14">
        <f t="shared" si="6"/>
        <v>1883467.3408284842</v>
      </c>
      <c r="AF73" s="14">
        <f t="shared" si="6"/>
        <v>1930554.0243491961</v>
      </c>
      <c r="AG73" s="14">
        <f t="shared" si="6"/>
        <v>1978817.8749579259</v>
      </c>
      <c r="AH73" s="14">
        <f t="shared" si="6"/>
        <v>2028288.3218318739</v>
      </c>
      <c r="AI73" s="14">
        <f t="shared" si="6"/>
        <v>2078995.5298776706</v>
      </c>
      <c r="AJ73" s="14">
        <f t="shared" si="6"/>
        <v>2130970.418124612</v>
      </c>
      <c r="AK73" s="14">
        <f t="shared" si="6"/>
        <v>2184244.6785777267</v>
      </c>
      <c r="AL73" s="14">
        <f t="shared" si="6"/>
        <v>2238850.7955421698</v>
      </c>
      <c r="AM73" s="14">
        <f t="shared" si="6"/>
        <v>2294822.0654307241</v>
      </c>
      <c r="AN73" s="14">
        <f t="shared" si="6"/>
        <v>2352192.6170664919</v>
      </c>
      <c r="AO73" s="14">
        <f t="shared" si="6"/>
        <v>2410997.432493154</v>
      </c>
      <c r="AP73" s="14">
        <f t="shared" si="6"/>
        <v>2471272.3683054824</v>
      </c>
      <c r="AQ73" s="14">
        <f t="shared" si="6"/>
        <v>2533054.1775131193</v>
      </c>
      <c r="AR73" s="14">
        <f t="shared" si="6"/>
        <v>2596380.5319509474</v>
      </c>
      <c r="AS73" s="14">
        <f t="shared" si="6"/>
        <v>2661290.0452497206</v>
      </c>
      <c r="AT73" s="14">
        <f t="shared" si="6"/>
        <v>2727822.2963809632</v>
      </c>
      <c r="AU73" s="14">
        <f t="shared" si="6"/>
        <v>2796017.8537904872</v>
      </c>
      <c r="AV73" s="14">
        <f t="shared" si="6"/>
        <v>2865918.3001352488</v>
      </c>
      <c r="AW73" s="14">
        <f t="shared" si="6"/>
        <v>2937566.25763863</v>
      </c>
      <c r="AX73" s="14">
        <f t="shared" si="6"/>
        <v>3011005.4140795954</v>
      </c>
      <c r="AY73" s="14">
        <f t="shared" si="6"/>
        <v>3086280.5494315852</v>
      </c>
      <c r="AZ73" s="14">
        <f t="shared" si="6"/>
        <v>3163437.5631673741</v>
      </c>
      <c r="BA73" s="14">
        <f t="shared" si="6"/>
        <v>3242523.5022465587</v>
      </c>
      <c r="BB73" s="14">
        <f t="shared" si="6"/>
        <v>3323586.589802722</v>
      </c>
      <c r="BC73" s="14">
        <f t="shared" si="6"/>
        <v>3406676.2545477902</v>
      </c>
      <c r="BD73" s="14">
        <f t="shared" si="6"/>
        <v>3491843.1609114842</v>
      </c>
      <c r="BE73" s="14">
        <f t="shared" si="6"/>
        <v>3579139.2399342712</v>
      </c>
      <c r="BG73" s="14">
        <f>SUMIFS($AA73:$BE73,$AA$2:$BE$2,"&gt;="&amp;BG$2,$AA$3:$BE$3,"&lt;="&amp;BG$3)</f>
        <v>0</v>
      </c>
      <c r="BH73" s="14">
        <f t="shared" ref="BH73:BM73" si="7">SUMIFS($AA73:$BE73,$AA$2:$BE$2,"&gt;="&amp;BH$2,$AA$3:$BE$3,"&lt;="&amp;BH$3)</f>
        <v>9193248.4711204097</v>
      </c>
      <c r="BI73" s="14">
        <f t="shared" si="7"/>
        <v>10401316.823369808</v>
      </c>
      <c r="BJ73" s="14">
        <f t="shared" si="7"/>
        <v>11768135.278838022</v>
      </c>
      <c r="BK73" s="14">
        <f t="shared" si="7"/>
        <v>13314564.904885236</v>
      </c>
      <c r="BL73" s="14">
        <f t="shared" si="7"/>
        <v>15064208.084452434</v>
      </c>
      <c r="BM73" s="14">
        <f t="shared" si="7"/>
        <v>17043768.747442827</v>
      </c>
    </row>
    <row r="74" spans="1:65">
      <c r="F74" s="18"/>
      <c r="G74" s="17"/>
    </row>
    <row r="75" spans="1:65" ht="14" thickBot="1">
      <c r="A75" s="25"/>
      <c r="B75" s="25"/>
      <c r="C75" s="25"/>
      <c r="D75" s="25"/>
      <c r="E75" s="25" t="s">
        <v>398</v>
      </c>
      <c r="F75" s="25" t="s">
        <v>97</v>
      </c>
      <c r="G75" s="25"/>
      <c r="H75" s="25"/>
      <c r="I75" s="25"/>
      <c r="J75" s="25"/>
      <c r="K75" s="25"/>
      <c r="L75" s="25"/>
      <c r="M75" s="25"/>
      <c r="N75" s="25"/>
      <c r="O75" s="25"/>
      <c r="P75" s="25"/>
      <c r="Q75" s="25"/>
      <c r="R75" s="25"/>
      <c r="S75" s="25"/>
      <c r="T75" s="25"/>
      <c r="U75" s="25"/>
      <c r="V75" s="25"/>
      <c r="W75" s="25"/>
      <c r="X75" s="25"/>
      <c r="Y75" s="25"/>
      <c r="Z75" s="25"/>
      <c r="AA75" s="25"/>
      <c r="AB75" s="25"/>
      <c r="AC75" s="25"/>
      <c r="AD75" s="25"/>
      <c r="AE75" s="25"/>
      <c r="AF75" s="25"/>
      <c r="AG75" s="25"/>
      <c r="AH75" s="25"/>
      <c r="AI75" s="25"/>
      <c r="AJ75" s="25"/>
      <c r="AK75" s="25"/>
      <c r="AL75" s="25"/>
      <c r="AM75" s="25"/>
      <c r="AN75" s="25"/>
      <c r="AO75" s="25"/>
      <c r="AP75" s="25"/>
      <c r="AQ75" s="25"/>
      <c r="AR75" s="25"/>
      <c r="AS75" s="25"/>
      <c r="AT75" s="25"/>
      <c r="AU75" s="25"/>
      <c r="AV75" s="25"/>
      <c r="AW75" s="25"/>
      <c r="AX75" s="25"/>
      <c r="AY75" s="25"/>
      <c r="AZ75" s="25"/>
      <c r="BA75" s="25"/>
      <c r="BB75" s="25"/>
      <c r="BC75" s="25"/>
      <c r="BD75" s="25"/>
      <c r="BE75" s="25"/>
      <c r="BF75" s="25"/>
      <c r="BG75" s="25"/>
      <c r="BH75" s="25"/>
      <c r="BI75" s="25"/>
      <c r="BJ75" s="25"/>
      <c r="BK75" s="25"/>
      <c r="BL75" s="25"/>
      <c r="BM75" s="25"/>
    </row>
    <row r="76" spans="1:65">
      <c r="F76" s="18"/>
      <c r="G76" s="17"/>
    </row>
    <row r="77" spans="1:65" ht="13">
      <c r="F77" s="26" t="s">
        <v>174</v>
      </c>
      <c r="G77" s="17"/>
    </row>
    <row r="78" spans="1:65">
      <c r="F78" s="18"/>
      <c r="G78" s="17"/>
    </row>
    <row r="79" spans="1:65">
      <c r="F79" s="18" t="s">
        <v>97</v>
      </c>
      <c r="G79" s="17" t="str">
        <f>cstNum</f>
        <v>#</v>
      </c>
      <c r="AA79" s="10">
        <f>cVolumetrics!AA68</f>
        <v>0</v>
      </c>
      <c r="AB79" s="10">
        <f>cVolumetrics!AB68</f>
        <v>3.9225941422594142</v>
      </c>
      <c r="AC79" s="10">
        <f>cVolumetrics!AC68</f>
        <v>3.9225941422594142</v>
      </c>
      <c r="AD79" s="10">
        <f>cVolumetrics!AD68</f>
        <v>3.9225941422594142</v>
      </c>
      <c r="AE79" s="10">
        <f>cVolumetrics!AE68</f>
        <v>3.9225941422594142</v>
      </c>
      <c r="AF79" s="10">
        <f>cVolumetrics!AF68</f>
        <v>3.9225941422594142</v>
      </c>
      <c r="AG79" s="10">
        <f>cVolumetrics!AG68</f>
        <v>3.9225941422594142</v>
      </c>
      <c r="AH79" s="10">
        <f>cVolumetrics!AH68</f>
        <v>3.9225941422594142</v>
      </c>
      <c r="AI79" s="10">
        <f>cVolumetrics!AI68</f>
        <v>3.9225941422594142</v>
      </c>
      <c r="AJ79" s="10">
        <f>cVolumetrics!AJ68</f>
        <v>3.9225941422594142</v>
      </c>
      <c r="AK79" s="10">
        <f>cVolumetrics!AK68</f>
        <v>3.9225941422594142</v>
      </c>
      <c r="AL79" s="10">
        <f>cVolumetrics!AL68</f>
        <v>3.9225941422594142</v>
      </c>
      <c r="AM79" s="10">
        <f>cVolumetrics!AM68</f>
        <v>3.9225941422594142</v>
      </c>
      <c r="AN79" s="10">
        <f>cVolumetrics!AN68</f>
        <v>3.9225941422594142</v>
      </c>
      <c r="AO79" s="10">
        <f>cVolumetrics!AO68</f>
        <v>3.9225941422594142</v>
      </c>
      <c r="AP79" s="10">
        <f>cVolumetrics!AP68</f>
        <v>3.9225941422594142</v>
      </c>
      <c r="AQ79" s="10">
        <f>cVolumetrics!AQ68</f>
        <v>3.9225941422594142</v>
      </c>
      <c r="AR79" s="10">
        <f>cVolumetrics!AR68</f>
        <v>3.9225941422594142</v>
      </c>
      <c r="AS79" s="10">
        <f>cVolumetrics!AS68</f>
        <v>3.9225941422594142</v>
      </c>
      <c r="AT79" s="10">
        <f>cVolumetrics!AT68</f>
        <v>3.9225941422594142</v>
      </c>
      <c r="AU79" s="10">
        <f>cVolumetrics!AU68</f>
        <v>3.9225941422594142</v>
      </c>
      <c r="AV79" s="10">
        <f>cVolumetrics!AV68</f>
        <v>3.9225941422594142</v>
      </c>
      <c r="AW79" s="10">
        <f>cVolumetrics!AW68</f>
        <v>3.9225941422594142</v>
      </c>
      <c r="AX79" s="10">
        <f>cVolumetrics!AX68</f>
        <v>3.9225941422594142</v>
      </c>
      <c r="AY79" s="10">
        <f>cVolumetrics!AY68</f>
        <v>3.9225941422594142</v>
      </c>
      <c r="AZ79" s="10">
        <f>cVolumetrics!AZ68</f>
        <v>3.9225941422594142</v>
      </c>
      <c r="BA79" s="10">
        <f>cVolumetrics!BA68</f>
        <v>3.9225941422594142</v>
      </c>
      <c r="BB79" s="10">
        <f>cVolumetrics!BB68</f>
        <v>3.9225941422594142</v>
      </c>
      <c r="BC79" s="10">
        <f>cVolumetrics!BC68</f>
        <v>3.9225941422594142</v>
      </c>
      <c r="BD79" s="10">
        <f>cVolumetrics!BD68</f>
        <v>3.9225941422594142</v>
      </c>
      <c r="BE79" s="10">
        <f>cVolumetrics!BE68</f>
        <v>3.9225941422594142</v>
      </c>
      <c r="BG79" s="39"/>
      <c r="BH79" s="39"/>
      <c r="BI79" s="39"/>
      <c r="BJ79" s="39"/>
      <c r="BK79" s="39"/>
      <c r="BL79" s="39"/>
      <c r="BM79" s="39"/>
    </row>
    <row r="80" spans="1:65">
      <c r="F80" s="18"/>
      <c r="G80" s="17"/>
    </row>
    <row r="81" spans="1:65">
      <c r="F81" s="40" t="s">
        <v>226</v>
      </c>
      <c r="G81" s="17" t="str">
        <f>cstConstantUnit</f>
        <v>£ 2022/23</v>
      </c>
      <c r="K81" s="9" cm="1">
        <f t="array" ref="K81">INDEX(iOptions!$M$50:$O$50,1,ActiveCostScenarioIndex)</f>
        <v>38000</v>
      </c>
      <c r="AA81" s="39"/>
      <c r="AB81" s="39"/>
      <c r="AC81" s="39"/>
      <c r="AD81" s="39"/>
      <c r="AE81" s="39"/>
      <c r="AF81" s="39"/>
      <c r="AG81" s="39"/>
      <c r="AH81" s="39"/>
      <c r="AI81" s="39"/>
      <c r="AJ81" s="39"/>
      <c r="AK81" s="39"/>
      <c r="AL81" s="39"/>
      <c r="AM81" s="39"/>
      <c r="AN81" s="39"/>
      <c r="AO81" s="39"/>
      <c r="AP81" s="39"/>
      <c r="AQ81" s="39"/>
      <c r="AR81" s="39"/>
      <c r="AS81" s="39"/>
      <c r="AT81" s="39"/>
      <c r="AU81" s="39"/>
      <c r="AV81" s="39"/>
      <c r="AW81" s="39"/>
      <c r="AX81" s="39"/>
      <c r="AY81" s="39"/>
      <c r="AZ81" s="39"/>
      <c r="BA81" s="39"/>
      <c r="BB81" s="39"/>
      <c r="BC81" s="39"/>
      <c r="BD81" s="39"/>
      <c r="BE81" s="39"/>
      <c r="BG81" s="39"/>
      <c r="BH81" s="39"/>
      <c r="BI81" s="39"/>
      <c r="BJ81" s="39"/>
      <c r="BK81" s="39"/>
      <c r="BL81" s="39"/>
      <c r="BM81" s="39"/>
    </row>
    <row r="83" spans="1:65" ht="13">
      <c r="F83" s="26" t="s">
        <v>327</v>
      </c>
    </row>
    <row r="84" spans="1:65">
      <c r="F84" s="18"/>
      <c r="G84" s="17"/>
    </row>
    <row r="85" spans="1:65">
      <c r="F85" s="40" t="s">
        <v>285</v>
      </c>
      <c r="G85" s="17" t="str">
        <f>cstConstantUnit</f>
        <v>£ 2022/23</v>
      </c>
      <c r="AA85" s="14">
        <f t="shared" ref="AA85:BE85" si="8">AA79*$K81*AA20</f>
        <v>0</v>
      </c>
      <c r="AB85" s="14">
        <f t="shared" si="8"/>
        <v>149058.57740585774</v>
      </c>
      <c r="AC85" s="14">
        <f t="shared" si="8"/>
        <v>149058.57740585774</v>
      </c>
      <c r="AD85" s="14">
        <f t="shared" si="8"/>
        <v>149058.57740585774</v>
      </c>
      <c r="AE85" s="14">
        <f t="shared" si="8"/>
        <v>149058.57740585774</v>
      </c>
      <c r="AF85" s="14">
        <f t="shared" si="8"/>
        <v>149058.57740585774</v>
      </c>
      <c r="AG85" s="14">
        <f t="shared" si="8"/>
        <v>149058.57740585774</v>
      </c>
      <c r="AH85" s="14">
        <f t="shared" si="8"/>
        <v>149058.57740585774</v>
      </c>
      <c r="AI85" s="14">
        <f t="shared" si="8"/>
        <v>149058.57740585774</v>
      </c>
      <c r="AJ85" s="14">
        <f t="shared" si="8"/>
        <v>149058.57740585774</v>
      </c>
      <c r="AK85" s="14">
        <f t="shared" si="8"/>
        <v>149058.57740585774</v>
      </c>
      <c r="AL85" s="14">
        <f t="shared" si="8"/>
        <v>149058.57740585774</v>
      </c>
      <c r="AM85" s="14">
        <f t="shared" si="8"/>
        <v>149058.57740585774</v>
      </c>
      <c r="AN85" s="14">
        <f t="shared" si="8"/>
        <v>149058.57740585774</v>
      </c>
      <c r="AO85" s="14">
        <f t="shared" si="8"/>
        <v>149058.57740585774</v>
      </c>
      <c r="AP85" s="14">
        <f t="shared" si="8"/>
        <v>149058.57740585774</v>
      </c>
      <c r="AQ85" s="14">
        <f t="shared" si="8"/>
        <v>149058.57740585774</v>
      </c>
      <c r="AR85" s="14">
        <f t="shared" si="8"/>
        <v>149058.57740585774</v>
      </c>
      <c r="AS85" s="14">
        <f t="shared" si="8"/>
        <v>149058.57740585774</v>
      </c>
      <c r="AT85" s="14">
        <f t="shared" si="8"/>
        <v>149058.57740585774</v>
      </c>
      <c r="AU85" s="14">
        <f t="shared" si="8"/>
        <v>149058.57740585774</v>
      </c>
      <c r="AV85" s="14">
        <f t="shared" si="8"/>
        <v>149058.57740585774</v>
      </c>
      <c r="AW85" s="14">
        <f t="shared" si="8"/>
        <v>149058.57740585774</v>
      </c>
      <c r="AX85" s="14">
        <f t="shared" si="8"/>
        <v>149058.57740585774</v>
      </c>
      <c r="AY85" s="14">
        <f t="shared" si="8"/>
        <v>149058.57740585774</v>
      </c>
      <c r="AZ85" s="14">
        <f t="shared" si="8"/>
        <v>149058.57740585774</v>
      </c>
      <c r="BA85" s="14">
        <f t="shared" si="8"/>
        <v>149058.57740585774</v>
      </c>
      <c r="BB85" s="14">
        <f t="shared" si="8"/>
        <v>149058.57740585774</v>
      </c>
      <c r="BC85" s="14">
        <f t="shared" si="8"/>
        <v>149058.57740585774</v>
      </c>
      <c r="BD85" s="14">
        <f t="shared" si="8"/>
        <v>149058.57740585774</v>
      </c>
      <c r="BE85" s="14">
        <f t="shared" si="8"/>
        <v>149058.57740585774</v>
      </c>
      <c r="BG85" s="14">
        <f>SUMIFS($AA85:$BE85,$AA$2:$BE$2,"&gt;="&amp;BG$2,$AA$3:$BE$3,"&lt;="&amp;BG$3)</f>
        <v>0</v>
      </c>
      <c r="BH85" s="14">
        <f t="shared" ref="BH85:BM85" si="9">SUMIFS($AA85:$BE85,$AA$2:$BE$2,"&gt;="&amp;BH$2,$AA$3:$BE$3,"&lt;="&amp;BH$3)</f>
        <v>745292.88702928869</v>
      </c>
      <c r="BI85" s="14">
        <f t="shared" si="9"/>
        <v>745292.88702928869</v>
      </c>
      <c r="BJ85" s="14">
        <f t="shared" si="9"/>
        <v>745292.88702928869</v>
      </c>
      <c r="BK85" s="14">
        <f t="shared" si="9"/>
        <v>745292.88702928869</v>
      </c>
      <c r="BL85" s="14">
        <f t="shared" si="9"/>
        <v>745292.88702928869</v>
      </c>
      <c r="BM85" s="14">
        <f t="shared" si="9"/>
        <v>745292.88702928869</v>
      </c>
    </row>
    <row r="86" spans="1:65">
      <c r="F86" s="18"/>
      <c r="G86" s="17"/>
    </row>
    <row r="87" spans="1:65" ht="13">
      <c r="F87" s="26" t="s">
        <v>218</v>
      </c>
    </row>
    <row r="88" spans="1:65">
      <c r="F88" s="18"/>
      <c r="G88" s="17"/>
    </row>
    <row r="89" spans="1:65">
      <c r="F89" s="40" t="s">
        <v>285</v>
      </c>
      <c r="G89" s="17" t="str">
        <f>cstNominalUnit</f>
        <v>£ Nominal</v>
      </c>
      <c r="I89" s="22" t="str">
        <f>iOptions!Q50</f>
        <v>Wage Inflation</v>
      </c>
      <c r="AA89" s="14">
        <f t="shared" ref="AA89:BE89" si="10">AA85*_xlfn.IFNA(INDEX(AA$34:AA$38,MATCH($I89,$F$34:$F$38,0)),0)</f>
        <v>0</v>
      </c>
      <c r="AB89" s="14">
        <f t="shared" si="10"/>
        <v>152785.04184100416</v>
      </c>
      <c r="AC89" s="14">
        <f t="shared" si="10"/>
        <v>156604.66788702927</v>
      </c>
      <c r="AD89" s="14">
        <f t="shared" si="10"/>
        <v>160519.78458420499</v>
      </c>
      <c r="AE89" s="14">
        <f t="shared" si="10"/>
        <v>164532.77919881011</v>
      </c>
      <c r="AF89" s="14">
        <f t="shared" si="10"/>
        <v>168646.09867878034</v>
      </c>
      <c r="AG89" s="14">
        <f t="shared" si="10"/>
        <v>172862.25114574985</v>
      </c>
      <c r="AH89" s="14">
        <f t="shared" si="10"/>
        <v>177183.80742439357</v>
      </c>
      <c r="AI89" s="14">
        <f t="shared" si="10"/>
        <v>181613.4026100034</v>
      </c>
      <c r="AJ89" s="14">
        <f t="shared" si="10"/>
        <v>186153.73767525345</v>
      </c>
      <c r="AK89" s="14">
        <f t="shared" si="10"/>
        <v>190807.58111713474</v>
      </c>
      <c r="AL89" s="14">
        <f t="shared" si="10"/>
        <v>195577.77064506311</v>
      </c>
      <c r="AM89" s="14">
        <f t="shared" si="10"/>
        <v>200467.21491118969</v>
      </c>
      <c r="AN89" s="14">
        <f t="shared" si="10"/>
        <v>205478.89528396941</v>
      </c>
      <c r="AO89" s="14">
        <f t="shared" si="10"/>
        <v>210615.86766606863</v>
      </c>
      <c r="AP89" s="14">
        <f t="shared" si="10"/>
        <v>215881.2643577203</v>
      </c>
      <c r="AQ89" s="14">
        <f t="shared" si="10"/>
        <v>221278.29596666331</v>
      </c>
      <c r="AR89" s="14">
        <f t="shared" si="10"/>
        <v>226810.25336582985</v>
      </c>
      <c r="AS89" s="14">
        <f t="shared" si="10"/>
        <v>232480.50969997558</v>
      </c>
      <c r="AT89" s="14">
        <f t="shared" si="10"/>
        <v>238292.52244247493</v>
      </c>
      <c r="AU89" s="14">
        <f t="shared" si="10"/>
        <v>244249.8355035368</v>
      </c>
      <c r="AV89" s="14">
        <f t="shared" si="10"/>
        <v>250356.08139112519</v>
      </c>
      <c r="AW89" s="14">
        <f t="shared" si="10"/>
        <v>256614.98342590328</v>
      </c>
      <c r="AX89" s="14">
        <f t="shared" si="10"/>
        <v>263030.35801155085</v>
      </c>
      <c r="AY89" s="14">
        <f t="shared" si="10"/>
        <v>269606.11696183961</v>
      </c>
      <c r="AZ89" s="14">
        <f t="shared" si="10"/>
        <v>276346.26988588553</v>
      </c>
      <c r="BA89" s="14">
        <f t="shared" si="10"/>
        <v>283254.92663303268</v>
      </c>
      <c r="BB89" s="14">
        <f t="shared" si="10"/>
        <v>290336.29979885847</v>
      </c>
      <c r="BC89" s="14">
        <f t="shared" si="10"/>
        <v>297594.70729382994</v>
      </c>
      <c r="BD89" s="14">
        <f t="shared" si="10"/>
        <v>305034.57497617562</v>
      </c>
      <c r="BE89" s="14">
        <f t="shared" si="10"/>
        <v>312660.43935057998</v>
      </c>
      <c r="BG89" s="14">
        <f>SUMIFS($AA89:$BE89,$AA$2:$BE$2,"&gt;="&amp;BG$2,$AA$3:$BE$3,"&lt;="&amp;BG$3)</f>
        <v>0</v>
      </c>
      <c r="BH89" s="14">
        <f t="shared" ref="BH89:BM89" si="11">SUMIFS($AA89:$BE89,$AA$2:$BE$2,"&gt;="&amp;BH$2,$AA$3:$BE$3,"&lt;="&amp;BH$3)</f>
        <v>803088.37218982889</v>
      </c>
      <c r="BI89" s="14">
        <f t="shared" si="11"/>
        <v>908620.77997253498</v>
      </c>
      <c r="BJ89" s="14">
        <f t="shared" si="11"/>
        <v>1028021.012864011</v>
      </c>
      <c r="BK89" s="14">
        <f t="shared" si="11"/>
        <v>1163111.4169784805</v>
      </c>
      <c r="BL89" s="14">
        <f t="shared" si="11"/>
        <v>1315953.8096763045</v>
      </c>
      <c r="BM89" s="14">
        <f t="shared" si="11"/>
        <v>1488880.9480524766</v>
      </c>
    </row>
    <row r="90" spans="1:65">
      <c r="F90" s="18"/>
      <c r="G90" s="17"/>
    </row>
    <row r="91" spans="1:65" ht="14" thickBot="1">
      <c r="A91" s="25"/>
      <c r="B91" s="25"/>
      <c r="C91" s="25"/>
      <c r="D91" s="25"/>
      <c r="E91" s="25" t="s">
        <v>399</v>
      </c>
      <c r="F91" s="25" t="s">
        <v>220</v>
      </c>
      <c r="G91" s="25"/>
      <c r="H91" s="25"/>
      <c r="I91" s="25"/>
      <c r="J91" s="25"/>
      <c r="K91" s="25"/>
      <c r="L91" s="25"/>
      <c r="M91" s="25"/>
      <c r="N91" s="25"/>
      <c r="O91" s="25"/>
      <c r="P91" s="25"/>
      <c r="Q91" s="25"/>
      <c r="R91" s="25"/>
      <c r="S91" s="25"/>
      <c r="T91" s="25"/>
      <c r="U91" s="25"/>
      <c r="V91" s="25"/>
      <c r="W91" s="25"/>
      <c r="X91" s="25"/>
      <c r="Y91" s="25"/>
      <c r="Z91" s="25"/>
      <c r="AA91" s="25"/>
      <c r="AB91" s="25"/>
      <c r="AC91" s="25"/>
      <c r="AD91" s="25"/>
      <c r="AE91" s="25"/>
      <c r="AF91" s="25"/>
      <c r="AG91" s="25"/>
      <c r="AH91" s="25"/>
      <c r="AI91" s="25"/>
      <c r="AJ91" s="25"/>
      <c r="AK91" s="25"/>
      <c r="AL91" s="25"/>
      <c r="AM91" s="25"/>
      <c r="AN91" s="25"/>
      <c r="AO91" s="25"/>
      <c r="AP91" s="25"/>
      <c r="AQ91" s="25"/>
      <c r="AR91" s="25"/>
      <c r="AS91" s="25"/>
      <c r="AT91" s="25"/>
      <c r="AU91" s="25"/>
      <c r="AV91" s="25"/>
      <c r="AW91" s="25"/>
      <c r="AX91" s="25"/>
      <c r="AY91" s="25"/>
      <c r="AZ91" s="25"/>
      <c r="BA91" s="25"/>
      <c r="BB91" s="25"/>
      <c r="BC91" s="25"/>
      <c r="BD91" s="25"/>
      <c r="BE91" s="25"/>
      <c r="BF91" s="25"/>
      <c r="BG91" s="25"/>
      <c r="BH91" s="25"/>
      <c r="BI91" s="25"/>
      <c r="BJ91" s="25"/>
      <c r="BK91" s="25"/>
      <c r="BL91" s="25"/>
      <c r="BM91" s="25"/>
    </row>
    <row r="92" spans="1:65">
      <c r="F92" s="18"/>
      <c r="G92" s="17"/>
    </row>
    <row r="93" spans="1:65" ht="13">
      <c r="F93" s="26" t="s">
        <v>174</v>
      </c>
      <c r="G93" s="17"/>
    </row>
    <row r="94" spans="1:65">
      <c r="F94" s="18"/>
      <c r="G94" s="17"/>
    </row>
    <row r="95" spans="1:65">
      <c r="F95" s="18" t="s">
        <v>91</v>
      </c>
      <c r="G95" s="17" t="str">
        <f>cstNum</f>
        <v>#</v>
      </c>
      <c r="K95" s="10">
        <f>cVolumetrics!K74</f>
        <v>3</v>
      </c>
      <c r="AA95" s="39"/>
      <c r="AB95" s="39"/>
      <c r="AC95" s="39"/>
      <c r="AD95" s="39"/>
      <c r="AE95" s="39"/>
      <c r="AF95" s="39"/>
      <c r="AG95" s="39"/>
      <c r="AH95" s="39"/>
      <c r="AI95" s="39"/>
      <c r="AJ95" s="39"/>
      <c r="AK95" s="39"/>
      <c r="AL95" s="39"/>
      <c r="AM95" s="39"/>
      <c r="AN95" s="39"/>
      <c r="AO95" s="39"/>
      <c r="AP95" s="39"/>
      <c r="AQ95" s="39"/>
      <c r="AR95" s="39"/>
      <c r="AS95" s="39"/>
      <c r="AT95" s="39"/>
      <c r="AU95" s="39"/>
      <c r="AV95" s="39"/>
      <c r="AW95" s="39"/>
      <c r="AX95" s="39"/>
      <c r="AY95" s="39"/>
      <c r="AZ95" s="39"/>
      <c r="BA95" s="39"/>
      <c r="BB95" s="39"/>
      <c r="BC95" s="39"/>
      <c r="BD95" s="39"/>
      <c r="BE95" s="39"/>
      <c r="BG95" s="39"/>
      <c r="BH95" s="39"/>
      <c r="BI95" s="39"/>
      <c r="BJ95" s="39"/>
      <c r="BK95" s="39"/>
      <c r="BL95" s="39"/>
      <c r="BM95" s="39"/>
    </row>
    <row r="96" spans="1:65">
      <c r="F96" s="18" t="s">
        <v>92</v>
      </c>
      <c r="G96" s="17" t="str">
        <f>cstNum</f>
        <v>#</v>
      </c>
      <c r="K96" s="10">
        <f>cVolumetrics!K75</f>
        <v>2</v>
      </c>
      <c r="AA96" s="39"/>
      <c r="AB96" s="39"/>
      <c r="AC96" s="39"/>
      <c r="AD96" s="39"/>
      <c r="AE96" s="39"/>
      <c r="AF96" s="39"/>
      <c r="AG96" s="39"/>
      <c r="AH96" s="39"/>
      <c r="AI96" s="39"/>
      <c r="AJ96" s="39"/>
      <c r="AK96" s="39"/>
      <c r="AL96" s="39"/>
      <c r="AM96" s="39"/>
      <c r="AN96" s="39"/>
      <c r="AO96" s="39"/>
      <c r="AP96" s="39"/>
      <c r="AQ96" s="39"/>
      <c r="AR96" s="39"/>
      <c r="AS96" s="39"/>
      <c r="AT96" s="39"/>
      <c r="AU96" s="39"/>
      <c r="AV96" s="39"/>
      <c r="AW96" s="39"/>
      <c r="AX96" s="39"/>
      <c r="AY96" s="39"/>
      <c r="AZ96" s="39"/>
      <c r="BA96" s="39"/>
      <c r="BB96" s="39"/>
      <c r="BC96" s="39"/>
      <c r="BD96" s="39"/>
      <c r="BE96" s="39"/>
      <c r="BG96" s="39"/>
      <c r="BH96" s="39"/>
      <c r="BI96" s="39"/>
      <c r="BJ96" s="39"/>
      <c r="BK96" s="39"/>
      <c r="BL96" s="39"/>
      <c r="BM96" s="39"/>
    </row>
    <row r="97" spans="6:65">
      <c r="F97" s="18" t="s">
        <v>93</v>
      </c>
      <c r="G97" s="17" t="str">
        <f>cstNum</f>
        <v>#</v>
      </c>
      <c r="K97" s="10">
        <f>cVolumetrics!K76</f>
        <v>1</v>
      </c>
      <c r="AA97" s="39"/>
      <c r="AB97" s="39"/>
      <c r="AC97" s="39"/>
      <c r="AD97" s="39"/>
      <c r="AE97" s="39"/>
      <c r="AF97" s="39"/>
      <c r="AG97" s="39"/>
      <c r="AH97" s="39"/>
      <c r="AI97" s="39"/>
      <c r="AJ97" s="39"/>
      <c r="AK97" s="39"/>
      <c r="AL97" s="39"/>
      <c r="AM97" s="39"/>
      <c r="AN97" s="39"/>
      <c r="AO97" s="39"/>
      <c r="AP97" s="39"/>
      <c r="AQ97" s="39"/>
      <c r="AR97" s="39"/>
      <c r="AS97" s="39"/>
      <c r="AT97" s="39"/>
      <c r="AU97" s="39"/>
      <c r="AV97" s="39"/>
      <c r="AW97" s="39"/>
      <c r="AX97" s="39"/>
      <c r="AY97" s="39"/>
      <c r="AZ97" s="39"/>
      <c r="BA97" s="39"/>
      <c r="BB97" s="39"/>
      <c r="BC97" s="39"/>
      <c r="BD97" s="39"/>
      <c r="BE97" s="39"/>
      <c r="BG97" s="39"/>
      <c r="BH97" s="39"/>
      <c r="BI97" s="39"/>
      <c r="BJ97" s="39"/>
      <c r="BK97" s="39"/>
      <c r="BL97" s="39"/>
      <c r="BM97" s="39"/>
    </row>
    <row r="98" spans="6:65">
      <c r="F98" s="18" t="s">
        <v>94</v>
      </c>
      <c r="G98" s="17" t="str">
        <f>cstNum</f>
        <v>#</v>
      </c>
      <c r="K98" s="10">
        <f>cVolumetrics!K77</f>
        <v>1</v>
      </c>
      <c r="AA98" s="39"/>
      <c r="AB98" s="39"/>
      <c r="AC98" s="39"/>
      <c r="AD98" s="39"/>
      <c r="AE98" s="39"/>
      <c r="AF98" s="39"/>
      <c r="AG98" s="39"/>
      <c r="AH98" s="39"/>
      <c r="AI98" s="39"/>
      <c r="AJ98" s="39"/>
      <c r="AK98" s="39"/>
      <c r="AL98" s="39"/>
      <c r="AM98" s="39"/>
      <c r="AN98" s="39"/>
      <c r="AO98" s="39"/>
      <c r="AP98" s="39"/>
      <c r="AQ98" s="39"/>
      <c r="AR98" s="39"/>
      <c r="AS98" s="39"/>
      <c r="AT98" s="39"/>
      <c r="AU98" s="39"/>
      <c r="AV98" s="39"/>
      <c r="AW98" s="39"/>
      <c r="AX98" s="39"/>
      <c r="AY98" s="39"/>
      <c r="AZ98" s="39"/>
      <c r="BA98" s="39"/>
      <c r="BB98" s="39"/>
      <c r="BC98" s="39"/>
      <c r="BD98" s="39"/>
      <c r="BE98" s="39"/>
      <c r="BG98" s="39"/>
      <c r="BH98" s="39"/>
      <c r="BI98" s="39"/>
      <c r="BJ98" s="39"/>
      <c r="BK98" s="39"/>
      <c r="BL98" s="39"/>
      <c r="BM98" s="39"/>
    </row>
    <row r="99" spans="6:65">
      <c r="F99" s="18"/>
      <c r="G99" s="17"/>
    </row>
    <row r="100" spans="6:65">
      <c r="F100" s="40" t="s">
        <v>221</v>
      </c>
      <c r="G100" s="17" t="str">
        <f>cstConstantUnit</f>
        <v>£ 2022/23</v>
      </c>
      <c r="K100" s="9" cm="1">
        <f t="array" ref="K100">INDEX(iOptions!$M51:$O51,1,ActiveCostScenarioIndex)</f>
        <v>27000</v>
      </c>
      <c r="AA100" s="39"/>
      <c r="AB100" s="39"/>
      <c r="AC100" s="39"/>
      <c r="AD100" s="39"/>
      <c r="AE100" s="39"/>
      <c r="AF100" s="39"/>
      <c r="AG100" s="39"/>
      <c r="AH100" s="39"/>
      <c r="AI100" s="39"/>
      <c r="AJ100" s="39"/>
      <c r="AK100" s="39"/>
      <c r="AL100" s="39"/>
      <c r="AM100" s="39"/>
      <c r="AN100" s="39"/>
      <c r="AO100" s="39"/>
      <c r="AP100" s="39"/>
      <c r="AQ100" s="39"/>
      <c r="AR100" s="39"/>
      <c r="AS100" s="39"/>
      <c r="AT100" s="39"/>
      <c r="AU100" s="39"/>
      <c r="AV100" s="39"/>
      <c r="AW100" s="39"/>
      <c r="AX100" s="39"/>
      <c r="AY100" s="39"/>
      <c r="AZ100" s="39"/>
      <c r="BA100" s="39"/>
      <c r="BB100" s="39"/>
      <c r="BC100" s="39"/>
      <c r="BD100" s="39"/>
      <c r="BE100" s="39"/>
      <c r="BG100" s="39"/>
      <c r="BH100" s="39"/>
      <c r="BI100" s="39"/>
      <c r="BJ100" s="39"/>
      <c r="BK100" s="39"/>
      <c r="BL100" s="39"/>
      <c r="BM100" s="39"/>
    </row>
    <row r="101" spans="6:65">
      <c r="F101" s="40" t="s">
        <v>222</v>
      </c>
      <c r="G101" s="17" t="str">
        <f>cstConstantUnit</f>
        <v>£ 2022/23</v>
      </c>
      <c r="K101" s="9" cm="1">
        <f t="array" ref="K101">INDEX(iOptions!$M52:$O52,1,ActiveCostScenarioIndex)</f>
        <v>36000</v>
      </c>
      <c r="AA101" s="39"/>
      <c r="AB101" s="39"/>
      <c r="AC101" s="39"/>
      <c r="AD101" s="39"/>
      <c r="AE101" s="39"/>
      <c r="AF101" s="39"/>
      <c r="AG101" s="39"/>
      <c r="AH101" s="39"/>
      <c r="AI101" s="39"/>
      <c r="AJ101" s="39"/>
      <c r="AK101" s="39"/>
      <c r="AL101" s="39"/>
      <c r="AM101" s="39"/>
      <c r="AN101" s="39"/>
      <c r="AO101" s="39"/>
      <c r="AP101" s="39"/>
      <c r="AQ101" s="39"/>
      <c r="AR101" s="39"/>
      <c r="AS101" s="39"/>
      <c r="AT101" s="39"/>
      <c r="AU101" s="39"/>
      <c r="AV101" s="39"/>
      <c r="AW101" s="39"/>
      <c r="AX101" s="39"/>
      <c r="AY101" s="39"/>
      <c r="AZ101" s="39"/>
      <c r="BA101" s="39"/>
      <c r="BB101" s="39"/>
      <c r="BC101" s="39"/>
      <c r="BD101" s="39"/>
      <c r="BE101" s="39"/>
      <c r="BG101" s="39"/>
      <c r="BH101" s="39"/>
      <c r="BI101" s="39"/>
      <c r="BJ101" s="39"/>
      <c r="BK101" s="39"/>
      <c r="BL101" s="39"/>
      <c r="BM101" s="39"/>
    </row>
    <row r="102" spans="6:65">
      <c r="F102" s="40" t="s">
        <v>223</v>
      </c>
      <c r="G102" s="17" t="str">
        <f>cstConstantUnit</f>
        <v>£ 2022/23</v>
      </c>
      <c r="K102" s="9" cm="1">
        <f t="array" ref="K102">INDEX(iOptions!$M53:$O53,1,ActiveCostScenarioIndex)</f>
        <v>51000</v>
      </c>
      <c r="AA102" s="39"/>
      <c r="AB102" s="39"/>
      <c r="AC102" s="39"/>
      <c r="AD102" s="39"/>
      <c r="AE102" s="39"/>
      <c r="AF102" s="39"/>
      <c r="AG102" s="39"/>
      <c r="AH102" s="39"/>
      <c r="AI102" s="39"/>
      <c r="AJ102" s="39"/>
      <c r="AK102" s="39"/>
      <c r="AL102" s="39"/>
      <c r="AM102" s="39"/>
      <c r="AN102" s="39"/>
      <c r="AO102" s="39"/>
      <c r="AP102" s="39"/>
      <c r="AQ102" s="39"/>
      <c r="AR102" s="39"/>
      <c r="AS102" s="39"/>
      <c r="AT102" s="39"/>
      <c r="AU102" s="39"/>
      <c r="AV102" s="39"/>
      <c r="AW102" s="39"/>
      <c r="AX102" s="39"/>
      <c r="AY102" s="39"/>
      <c r="AZ102" s="39"/>
      <c r="BA102" s="39"/>
      <c r="BB102" s="39"/>
      <c r="BC102" s="39"/>
      <c r="BD102" s="39"/>
      <c r="BE102" s="39"/>
      <c r="BG102" s="39"/>
      <c r="BH102" s="39"/>
      <c r="BI102" s="39"/>
      <c r="BJ102" s="39"/>
      <c r="BK102" s="39"/>
      <c r="BL102" s="39"/>
      <c r="BM102" s="39"/>
    </row>
    <row r="103" spans="6:65">
      <c r="F103" s="40" t="s">
        <v>224</v>
      </c>
      <c r="G103" s="17" t="str">
        <f>cstConstantUnit</f>
        <v>£ 2022/23</v>
      </c>
      <c r="K103" s="9" cm="1">
        <f t="array" ref="K103">INDEX(iOptions!$M54:$O54,1,ActiveCostScenarioIndex)</f>
        <v>40000</v>
      </c>
      <c r="AA103" s="39"/>
      <c r="AB103" s="39"/>
      <c r="AC103" s="39"/>
      <c r="AD103" s="39"/>
      <c r="AE103" s="39"/>
      <c r="AF103" s="39"/>
      <c r="AG103" s="39"/>
      <c r="AH103" s="39"/>
      <c r="AI103" s="39"/>
      <c r="AJ103" s="39"/>
      <c r="AK103" s="39"/>
      <c r="AL103" s="39"/>
      <c r="AM103" s="39"/>
      <c r="AN103" s="39"/>
      <c r="AO103" s="39"/>
      <c r="AP103" s="39"/>
      <c r="AQ103" s="39"/>
      <c r="AR103" s="39"/>
      <c r="AS103" s="39"/>
      <c r="AT103" s="39"/>
      <c r="AU103" s="39"/>
      <c r="AV103" s="39"/>
      <c r="AW103" s="39"/>
      <c r="AX103" s="39"/>
      <c r="AY103" s="39"/>
      <c r="AZ103" s="39"/>
      <c r="BA103" s="39"/>
      <c r="BB103" s="39"/>
      <c r="BC103" s="39"/>
      <c r="BD103" s="39"/>
      <c r="BE103" s="39"/>
      <c r="BG103" s="39"/>
      <c r="BH103" s="39"/>
      <c r="BI103" s="39"/>
      <c r="BJ103" s="39"/>
      <c r="BK103" s="39"/>
      <c r="BL103" s="39"/>
      <c r="BM103" s="39"/>
    </row>
    <row r="105" spans="6:65" ht="13">
      <c r="F105" s="26" t="s">
        <v>327</v>
      </c>
    </row>
    <row r="106" spans="6:65">
      <c r="F106" s="18"/>
      <c r="G106" s="17"/>
    </row>
    <row r="107" spans="6:65">
      <c r="F107" s="40" t="s">
        <v>238</v>
      </c>
      <c r="G107" s="17" t="str">
        <f>cstConstantUnit</f>
        <v>£ 2022/23</v>
      </c>
      <c r="K107" s="14">
        <f>K95*K100</f>
        <v>81000</v>
      </c>
      <c r="AA107" s="14">
        <f>$K107*AA$20</f>
        <v>0</v>
      </c>
      <c r="AB107" s="14">
        <f t="shared" ref="AB107:AQ110" si="12">$K107*AB$20</f>
        <v>81000</v>
      </c>
      <c r="AC107" s="14">
        <f t="shared" si="12"/>
        <v>81000</v>
      </c>
      <c r="AD107" s="14">
        <f t="shared" si="12"/>
        <v>81000</v>
      </c>
      <c r="AE107" s="14">
        <f t="shared" si="12"/>
        <v>81000</v>
      </c>
      <c r="AF107" s="14">
        <f t="shared" si="12"/>
        <v>81000</v>
      </c>
      <c r="AG107" s="14">
        <f t="shared" si="12"/>
        <v>81000</v>
      </c>
      <c r="AH107" s="14">
        <f t="shared" si="12"/>
        <v>81000</v>
      </c>
      <c r="AI107" s="14">
        <f t="shared" si="12"/>
        <v>81000</v>
      </c>
      <c r="AJ107" s="14">
        <f t="shared" si="12"/>
        <v>81000</v>
      </c>
      <c r="AK107" s="14">
        <f t="shared" si="12"/>
        <v>81000</v>
      </c>
      <c r="AL107" s="14">
        <f t="shared" si="12"/>
        <v>81000</v>
      </c>
      <c r="AM107" s="14">
        <f t="shared" si="12"/>
        <v>81000</v>
      </c>
      <c r="AN107" s="14">
        <f t="shared" si="12"/>
        <v>81000</v>
      </c>
      <c r="AO107" s="14">
        <f t="shared" si="12"/>
        <v>81000</v>
      </c>
      <c r="AP107" s="14">
        <f t="shared" si="12"/>
        <v>81000</v>
      </c>
      <c r="AQ107" s="14">
        <f t="shared" si="12"/>
        <v>81000</v>
      </c>
      <c r="AR107" s="14">
        <f t="shared" ref="AR107:BE110" si="13">$K107*AR$20</f>
        <v>81000</v>
      </c>
      <c r="AS107" s="14">
        <f t="shared" si="13"/>
        <v>81000</v>
      </c>
      <c r="AT107" s="14">
        <f t="shared" si="13"/>
        <v>81000</v>
      </c>
      <c r="AU107" s="14">
        <f t="shared" si="13"/>
        <v>81000</v>
      </c>
      <c r="AV107" s="14">
        <f t="shared" si="13"/>
        <v>81000</v>
      </c>
      <c r="AW107" s="14">
        <f t="shared" si="13"/>
        <v>81000</v>
      </c>
      <c r="AX107" s="14">
        <f t="shared" si="13"/>
        <v>81000</v>
      </c>
      <c r="AY107" s="14">
        <f t="shared" si="13"/>
        <v>81000</v>
      </c>
      <c r="AZ107" s="14">
        <f t="shared" si="13"/>
        <v>81000</v>
      </c>
      <c r="BA107" s="14">
        <f t="shared" si="13"/>
        <v>81000</v>
      </c>
      <c r="BB107" s="14">
        <f t="shared" si="13"/>
        <v>81000</v>
      </c>
      <c r="BC107" s="14">
        <f t="shared" si="13"/>
        <v>81000</v>
      </c>
      <c r="BD107" s="14">
        <f t="shared" si="13"/>
        <v>81000</v>
      </c>
      <c r="BE107" s="14">
        <f t="shared" si="13"/>
        <v>81000</v>
      </c>
      <c r="BG107" s="14">
        <f t="shared" ref="BG107:BM107" si="14">SUMIFS($AA107:$BE107,$AA$2:$BE$2,"&gt;="&amp;BG$2,$AA$3:$BE$3,"&lt;="&amp;BG$3)</f>
        <v>0</v>
      </c>
      <c r="BH107" s="14">
        <f t="shared" si="14"/>
        <v>405000</v>
      </c>
      <c r="BI107" s="14">
        <f t="shared" si="14"/>
        <v>405000</v>
      </c>
      <c r="BJ107" s="14">
        <f t="shared" si="14"/>
        <v>405000</v>
      </c>
      <c r="BK107" s="14">
        <f t="shared" si="14"/>
        <v>405000</v>
      </c>
      <c r="BL107" s="14">
        <f t="shared" si="14"/>
        <v>405000</v>
      </c>
      <c r="BM107" s="14">
        <f t="shared" si="14"/>
        <v>405000</v>
      </c>
    </row>
    <row r="108" spans="6:65">
      <c r="F108" s="40" t="s">
        <v>235</v>
      </c>
      <c r="G108" s="17" t="str">
        <f>cstConstantUnit</f>
        <v>£ 2022/23</v>
      </c>
      <c r="K108" s="14">
        <f>K96*K101</f>
        <v>72000</v>
      </c>
      <c r="AA108" s="14">
        <f>$K108*AA$20</f>
        <v>0</v>
      </c>
      <c r="AB108" s="14">
        <f t="shared" si="12"/>
        <v>72000</v>
      </c>
      <c r="AC108" s="14">
        <f t="shared" si="12"/>
        <v>72000</v>
      </c>
      <c r="AD108" s="14">
        <f t="shared" si="12"/>
        <v>72000</v>
      </c>
      <c r="AE108" s="14">
        <f t="shared" si="12"/>
        <v>72000</v>
      </c>
      <c r="AF108" s="14">
        <f t="shared" si="12"/>
        <v>72000</v>
      </c>
      <c r="AG108" s="14">
        <f t="shared" si="12"/>
        <v>72000</v>
      </c>
      <c r="AH108" s="14">
        <f t="shared" si="12"/>
        <v>72000</v>
      </c>
      <c r="AI108" s="14">
        <f t="shared" si="12"/>
        <v>72000</v>
      </c>
      <c r="AJ108" s="14">
        <f t="shared" si="12"/>
        <v>72000</v>
      </c>
      <c r="AK108" s="14">
        <f t="shared" si="12"/>
        <v>72000</v>
      </c>
      <c r="AL108" s="14">
        <f t="shared" si="12"/>
        <v>72000</v>
      </c>
      <c r="AM108" s="14">
        <f t="shared" si="12"/>
        <v>72000</v>
      </c>
      <c r="AN108" s="14">
        <f t="shared" si="12"/>
        <v>72000</v>
      </c>
      <c r="AO108" s="14">
        <f t="shared" si="12"/>
        <v>72000</v>
      </c>
      <c r="AP108" s="14">
        <f t="shared" si="12"/>
        <v>72000</v>
      </c>
      <c r="AQ108" s="14">
        <f t="shared" si="12"/>
        <v>72000</v>
      </c>
      <c r="AR108" s="14">
        <f t="shared" si="13"/>
        <v>72000</v>
      </c>
      <c r="AS108" s="14">
        <f t="shared" si="13"/>
        <v>72000</v>
      </c>
      <c r="AT108" s="14">
        <f t="shared" si="13"/>
        <v>72000</v>
      </c>
      <c r="AU108" s="14">
        <f t="shared" si="13"/>
        <v>72000</v>
      </c>
      <c r="AV108" s="14">
        <f t="shared" si="13"/>
        <v>72000</v>
      </c>
      <c r="AW108" s="14">
        <f t="shared" si="13"/>
        <v>72000</v>
      </c>
      <c r="AX108" s="14">
        <f t="shared" si="13"/>
        <v>72000</v>
      </c>
      <c r="AY108" s="14">
        <f t="shared" si="13"/>
        <v>72000</v>
      </c>
      <c r="AZ108" s="14">
        <f t="shared" si="13"/>
        <v>72000</v>
      </c>
      <c r="BA108" s="14">
        <f t="shared" si="13"/>
        <v>72000</v>
      </c>
      <c r="BB108" s="14">
        <f t="shared" si="13"/>
        <v>72000</v>
      </c>
      <c r="BC108" s="14">
        <f t="shared" si="13"/>
        <v>72000</v>
      </c>
      <c r="BD108" s="14">
        <f t="shared" si="13"/>
        <v>72000</v>
      </c>
      <c r="BE108" s="14">
        <f t="shared" si="13"/>
        <v>72000</v>
      </c>
      <c r="BG108" s="14">
        <f t="shared" ref="BG108:BM110" si="15">SUMIFS($AA108:$BE108,$AA$2:$BE$2,"&gt;="&amp;BG$2,$AA$3:$BE$3,"&lt;="&amp;BG$3)</f>
        <v>0</v>
      </c>
      <c r="BH108" s="14">
        <f t="shared" si="15"/>
        <v>360000</v>
      </c>
      <c r="BI108" s="14">
        <f t="shared" si="15"/>
        <v>360000</v>
      </c>
      <c r="BJ108" s="14">
        <f t="shared" si="15"/>
        <v>360000</v>
      </c>
      <c r="BK108" s="14">
        <f t="shared" si="15"/>
        <v>360000</v>
      </c>
      <c r="BL108" s="14">
        <f t="shared" si="15"/>
        <v>360000</v>
      </c>
      <c r="BM108" s="14">
        <f t="shared" si="15"/>
        <v>360000</v>
      </c>
    </row>
    <row r="109" spans="6:65">
      <c r="F109" s="40" t="s">
        <v>236</v>
      </c>
      <c r="G109" s="17" t="str">
        <f>cstConstantUnit</f>
        <v>£ 2022/23</v>
      </c>
      <c r="K109" s="14">
        <f>K97*K102</f>
        <v>51000</v>
      </c>
      <c r="AA109" s="14">
        <f>$K109*AA$20</f>
        <v>0</v>
      </c>
      <c r="AB109" s="14">
        <f t="shared" si="12"/>
        <v>51000</v>
      </c>
      <c r="AC109" s="14">
        <f t="shared" si="12"/>
        <v>51000</v>
      </c>
      <c r="AD109" s="14">
        <f t="shared" si="12"/>
        <v>51000</v>
      </c>
      <c r="AE109" s="14">
        <f t="shared" si="12"/>
        <v>51000</v>
      </c>
      <c r="AF109" s="14">
        <f t="shared" si="12"/>
        <v>51000</v>
      </c>
      <c r="AG109" s="14">
        <f t="shared" si="12"/>
        <v>51000</v>
      </c>
      <c r="AH109" s="14">
        <f t="shared" si="12"/>
        <v>51000</v>
      </c>
      <c r="AI109" s="14">
        <f t="shared" si="12"/>
        <v>51000</v>
      </c>
      <c r="AJ109" s="14">
        <f t="shared" si="12"/>
        <v>51000</v>
      </c>
      <c r="AK109" s="14">
        <f t="shared" si="12"/>
        <v>51000</v>
      </c>
      <c r="AL109" s="14">
        <f t="shared" si="12"/>
        <v>51000</v>
      </c>
      <c r="AM109" s="14">
        <f t="shared" si="12"/>
        <v>51000</v>
      </c>
      <c r="AN109" s="14">
        <f t="shared" si="12"/>
        <v>51000</v>
      </c>
      <c r="AO109" s="14">
        <f t="shared" si="12"/>
        <v>51000</v>
      </c>
      <c r="AP109" s="14">
        <f t="shared" si="12"/>
        <v>51000</v>
      </c>
      <c r="AQ109" s="14">
        <f t="shared" si="12"/>
        <v>51000</v>
      </c>
      <c r="AR109" s="14">
        <f t="shared" si="13"/>
        <v>51000</v>
      </c>
      <c r="AS109" s="14">
        <f t="shared" si="13"/>
        <v>51000</v>
      </c>
      <c r="AT109" s="14">
        <f t="shared" si="13"/>
        <v>51000</v>
      </c>
      <c r="AU109" s="14">
        <f t="shared" si="13"/>
        <v>51000</v>
      </c>
      <c r="AV109" s="14">
        <f t="shared" si="13"/>
        <v>51000</v>
      </c>
      <c r="AW109" s="14">
        <f t="shared" si="13"/>
        <v>51000</v>
      </c>
      <c r="AX109" s="14">
        <f t="shared" si="13"/>
        <v>51000</v>
      </c>
      <c r="AY109" s="14">
        <f t="shared" si="13"/>
        <v>51000</v>
      </c>
      <c r="AZ109" s="14">
        <f t="shared" si="13"/>
        <v>51000</v>
      </c>
      <c r="BA109" s="14">
        <f t="shared" si="13"/>
        <v>51000</v>
      </c>
      <c r="BB109" s="14">
        <f t="shared" si="13"/>
        <v>51000</v>
      </c>
      <c r="BC109" s="14">
        <f t="shared" si="13"/>
        <v>51000</v>
      </c>
      <c r="BD109" s="14">
        <f t="shared" si="13"/>
        <v>51000</v>
      </c>
      <c r="BE109" s="14">
        <f t="shared" si="13"/>
        <v>51000</v>
      </c>
      <c r="BG109" s="14">
        <f t="shared" si="15"/>
        <v>0</v>
      </c>
      <c r="BH109" s="14">
        <f t="shared" si="15"/>
        <v>255000</v>
      </c>
      <c r="BI109" s="14">
        <f t="shared" si="15"/>
        <v>255000</v>
      </c>
      <c r="BJ109" s="14">
        <f t="shared" si="15"/>
        <v>255000</v>
      </c>
      <c r="BK109" s="14">
        <f t="shared" si="15"/>
        <v>255000</v>
      </c>
      <c r="BL109" s="14">
        <f t="shared" si="15"/>
        <v>255000</v>
      </c>
      <c r="BM109" s="14">
        <f t="shared" si="15"/>
        <v>255000</v>
      </c>
    </row>
    <row r="110" spans="6:65">
      <c r="F110" s="40" t="s">
        <v>237</v>
      </c>
      <c r="G110" s="17" t="str">
        <f>cstConstantUnit</f>
        <v>£ 2022/23</v>
      </c>
      <c r="K110" s="14">
        <f>K98*K103</f>
        <v>40000</v>
      </c>
      <c r="AA110" s="14">
        <f>$K110*AA$20</f>
        <v>0</v>
      </c>
      <c r="AB110" s="14">
        <f t="shared" si="12"/>
        <v>40000</v>
      </c>
      <c r="AC110" s="14">
        <f t="shared" si="12"/>
        <v>40000</v>
      </c>
      <c r="AD110" s="14">
        <f t="shared" si="12"/>
        <v>40000</v>
      </c>
      <c r="AE110" s="14">
        <f t="shared" si="12"/>
        <v>40000</v>
      </c>
      <c r="AF110" s="14">
        <f t="shared" si="12"/>
        <v>40000</v>
      </c>
      <c r="AG110" s="14">
        <f t="shared" si="12"/>
        <v>40000</v>
      </c>
      <c r="AH110" s="14">
        <f t="shared" si="12"/>
        <v>40000</v>
      </c>
      <c r="AI110" s="14">
        <f t="shared" si="12"/>
        <v>40000</v>
      </c>
      <c r="AJ110" s="14">
        <f t="shared" si="12"/>
        <v>40000</v>
      </c>
      <c r="AK110" s="14">
        <f t="shared" si="12"/>
        <v>40000</v>
      </c>
      <c r="AL110" s="14">
        <f t="shared" si="12"/>
        <v>40000</v>
      </c>
      <c r="AM110" s="14">
        <f t="shared" si="12"/>
        <v>40000</v>
      </c>
      <c r="AN110" s="14">
        <f t="shared" si="12"/>
        <v>40000</v>
      </c>
      <c r="AO110" s="14">
        <f t="shared" si="12"/>
        <v>40000</v>
      </c>
      <c r="AP110" s="14">
        <f t="shared" si="12"/>
        <v>40000</v>
      </c>
      <c r="AQ110" s="14">
        <f t="shared" si="12"/>
        <v>40000</v>
      </c>
      <c r="AR110" s="14">
        <f t="shared" si="13"/>
        <v>40000</v>
      </c>
      <c r="AS110" s="14">
        <f t="shared" si="13"/>
        <v>40000</v>
      </c>
      <c r="AT110" s="14">
        <f t="shared" si="13"/>
        <v>40000</v>
      </c>
      <c r="AU110" s="14">
        <f t="shared" si="13"/>
        <v>40000</v>
      </c>
      <c r="AV110" s="14">
        <f t="shared" si="13"/>
        <v>40000</v>
      </c>
      <c r="AW110" s="14">
        <f t="shared" si="13"/>
        <v>40000</v>
      </c>
      <c r="AX110" s="14">
        <f t="shared" si="13"/>
        <v>40000</v>
      </c>
      <c r="AY110" s="14">
        <f t="shared" si="13"/>
        <v>40000</v>
      </c>
      <c r="AZ110" s="14">
        <f t="shared" si="13"/>
        <v>40000</v>
      </c>
      <c r="BA110" s="14">
        <f t="shared" si="13"/>
        <v>40000</v>
      </c>
      <c r="BB110" s="14">
        <f t="shared" si="13"/>
        <v>40000</v>
      </c>
      <c r="BC110" s="14">
        <f t="shared" si="13"/>
        <v>40000</v>
      </c>
      <c r="BD110" s="14">
        <f t="shared" si="13"/>
        <v>40000</v>
      </c>
      <c r="BE110" s="14">
        <f t="shared" si="13"/>
        <v>40000</v>
      </c>
      <c r="BG110" s="14">
        <f t="shared" si="15"/>
        <v>0</v>
      </c>
      <c r="BH110" s="14">
        <f t="shared" si="15"/>
        <v>200000</v>
      </c>
      <c r="BI110" s="14">
        <f t="shared" si="15"/>
        <v>200000</v>
      </c>
      <c r="BJ110" s="14">
        <f t="shared" si="15"/>
        <v>200000</v>
      </c>
      <c r="BK110" s="14">
        <f t="shared" si="15"/>
        <v>200000</v>
      </c>
      <c r="BL110" s="14">
        <f t="shared" si="15"/>
        <v>200000</v>
      </c>
      <c r="BM110" s="14">
        <f t="shared" si="15"/>
        <v>200000</v>
      </c>
    </row>
    <row r="111" spans="6:65">
      <c r="F111" s="18"/>
      <c r="G111" s="17"/>
      <c r="K111"/>
    </row>
    <row r="112" spans="6:65">
      <c r="F112" s="85" t="s">
        <v>220</v>
      </c>
      <c r="G112" s="86" t="str">
        <f>cstConstantUnit</f>
        <v>£ 2022/23</v>
      </c>
      <c r="K112"/>
      <c r="AA112" s="87">
        <f>SUM(AA107:AA111)</f>
        <v>0</v>
      </c>
      <c r="AB112" s="87">
        <f t="shared" ref="AB112:BE112" si="16">SUM(AB107:AB111)</f>
        <v>244000</v>
      </c>
      <c r="AC112" s="87">
        <f t="shared" si="16"/>
        <v>244000</v>
      </c>
      <c r="AD112" s="87">
        <f t="shared" si="16"/>
        <v>244000</v>
      </c>
      <c r="AE112" s="87">
        <f t="shared" si="16"/>
        <v>244000</v>
      </c>
      <c r="AF112" s="87">
        <f t="shared" si="16"/>
        <v>244000</v>
      </c>
      <c r="AG112" s="87">
        <f t="shared" si="16"/>
        <v>244000</v>
      </c>
      <c r="AH112" s="87">
        <f t="shared" si="16"/>
        <v>244000</v>
      </c>
      <c r="AI112" s="87">
        <f t="shared" si="16"/>
        <v>244000</v>
      </c>
      <c r="AJ112" s="87">
        <f t="shared" si="16"/>
        <v>244000</v>
      </c>
      <c r="AK112" s="87">
        <f t="shared" si="16"/>
        <v>244000</v>
      </c>
      <c r="AL112" s="87">
        <f t="shared" si="16"/>
        <v>244000</v>
      </c>
      <c r="AM112" s="87">
        <f t="shared" si="16"/>
        <v>244000</v>
      </c>
      <c r="AN112" s="87">
        <f t="shared" si="16"/>
        <v>244000</v>
      </c>
      <c r="AO112" s="87">
        <f t="shared" si="16"/>
        <v>244000</v>
      </c>
      <c r="AP112" s="87">
        <f t="shared" si="16"/>
        <v>244000</v>
      </c>
      <c r="AQ112" s="87">
        <f t="shared" si="16"/>
        <v>244000</v>
      </c>
      <c r="AR112" s="87">
        <f t="shared" si="16"/>
        <v>244000</v>
      </c>
      <c r="AS112" s="87">
        <f t="shared" si="16"/>
        <v>244000</v>
      </c>
      <c r="AT112" s="87">
        <f t="shared" si="16"/>
        <v>244000</v>
      </c>
      <c r="AU112" s="87">
        <f t="shared" si="16"/>
        <v>244000</v>
      </c>
      <c r="AV112" s="87">
        <f t="shared" si="16"/>
        <v>244000</v>
      </c>
      <c r="AW112" s="87">
        <f t="shared" si="16"/>
        <v>244000</v>
      </c>
      <c r="AX112" s="87">
        <f t="shared" si="16"/>
        <v>244000</v>
      </c>
      <c r="AY112" s="87">
        <f t="shared" si="16"/>
        <v>244000</v>
      </c>
      <c r="AZ112" s="87">
        <f t="shared" si="16"/>
        <v>244000</v>
      </c>
      <c r="BA112" s="87">
        <f t="shared" si="16"/>
        <v>244000</v>
      </c>
      <c r="BB112" s="87">
        <f t="shared" si="16"/>
        <v>244000</v>
      </c>
      <c r="BC112" s="87">
        <f t="shared" si="16"/>
        <v>244000</v>
      </c>
      <c r="BD112" s="87">
        <f t="shared" si="16"/>
        <v>244000</v>
      </c>
      <c r="BE112" s="87">
        <f t="shared" si="16"/>
        <v>244000</v>
      </c>
      <c r="BG112" s="87">
        <f>SUMIFS($AA112:$BE112,$AA$2:$BE$2,"&gt;="&amp;BG$2,$AA$3:$BE$3,"&lt;="&amp;BG$3)</f>
        <v>0</v>
      </c>
      <c r="BH112" s="87">
        <f t="shared" ref="BH112:BM112" si="17">SUMIFS($AA112:$BE112,$AA$2:$BE$2,"&gt;="&amp;BH$2,$AA$3:$BE$3,"&lt;="&amp;BH$3)</f>
        <v>1220000</v>
      </c>
      <c r="BI112" s="87">
        <f t="shared" si="17"/>
        <v>1220000</v>
      </c>
      <c r="BJ112" s="87">
        <f t="shared" si="17"/>
        <v>1220000</v>
      </c>
      <c r="BK112" s="87">
        <f t="shared" si="17"/>
        <v>1220000</v>
      </c>
      <c r="BL112" s="87">
        <f t="shared" si="17"/>
        <v>1220000</v>
      </c>
      <c r="BM112" s="87">
        <f t="shared" si="17"/>
        <v>1220000</v>
      </c>
    </row>
    <row r="113" spans="1:65">
      <c r="G113" s="17"/>
      <c r="AA113" s="93"/>
      <c r="AB113" s="93"/>
      <c r="AC113" s="93"/>
      <c r="AD113" s="93"/>
      <c r="AE113" s="93"/>
      <c r="AF113" s="93"/>
      <c r="AG113" s="93"/>
      <c r="AH113" s="93"/>
      <c r="AI113" s="93"/>
      <c r="AJ113" s="93"/>
      <c r="AK113" s="93"/>
      <c r="AL113" s="93"/>
      <c r="AM113" s="93"/>
      <c r="AN113" s="93"/>
      <c r="AO113" s="93"/>
      <c r="AP113" s="93"/>
      <c r="AQ113" s="93"/>
      <c r="AR113" s="93"/>
      <c r="AS113" s="93"/>
      <c r="AT113" s="93"/>
      <c r="AU113" s="93"/>
      <c r="AV113" s="93"/>
      <c r="AW113" s="93"/>
      <c r="AX113" s="93"/>
      <c r="AY113" s="93"/>
      <c r="AZ113" s="93"/>
      <c r="BA113" s="93"/>
      <c r="BB113" s="93"/>
      <c r="BC113" s="93"/>
      <c r="BD113" s="93"/>
      <c r="BE113" s="93"/>
      <c r="BG113" s="93"/>
      <c r="BH113" s="93"/>
      <c r="BI113" s="93"/>
      <c r="BJ113" s="93"/>
      <c r="BK113" s="93"/>
      <c r="BL113" s="93"/>
      <c r="BM113" s="93"/>
    </row>
    <row r="114" spans="1:65">
      <c r="A114" s="19">
        <f>SUM(C114:BM114)</f>
        <v>0</v>
      </c>
      <c r="F114" s="18" t="s">
        <v>329</v>
      </c>
      <c r="G114" s="17"/>
      <c r="BG114" s="19">
        <f t="shared" ref="BG114:BM114" si="18">IF(ABS(SUM(BG107:BG111)-BG112)&lt;eTol,0,1)</f>
        <v>0</v>
      </c>
      <c r="BH114" s="19">
        <f t="shared" si="18"/>
        <v>0</v>
      </c>
      <c r="BI114" s="19">
        <f t="shared" si="18"/>
        <v>0</v>
      </c>
      <c r="BJ114" s="19">
        <f t="shared" si="18"/>
        <v>0</v>
      </c>
      <c r="BK114" s="19">
        <f t="shared" si="18"/>
        <v>0</v>
      </c>
      <c r="BL114" s="19">
        <f t="shared" si="18"/>
        <v>0</v>
      </c>
      <c r="BM114" s="19">
        <f t="shared" si="18"/>
        <v>0</v>
      </c>
    </row>
    <row r="115" spans="1:65">
      <c r="F115" s="18"/>
      <c r="G115" s="17"/>
      <c r="BG115"/>
      <c r="BH115"/>
      <c r="BI115"/>
      <c r="BJ115"/>
      <c r="BK115"/>
      <c r="BL115"/>
      <c r="BM115"/>
    </row>
    <row r="116" spans="1:65" ht="13">
      <c r="F116" s="26" t="s">
        <v>218</v>
      </c>
    </row>
    <row r="117" spans="1:65">
      <c r="F117" s="18"/>
      <c r="G117" s="17"/>
    </row>
    <row r="118" spans="1:65">
      <c r="F118" s="40" t="s">
        <v>238</v>
      </c>
      <c r="G118" s="17" t="str">
        <f>cstNominalUnit</f>
        <v>£ Nominal</v>
      </c>
      <c r="I118" s="22" t="str">
        <f>iOptions!Q51</f>
        <v>Wage Inflation</v>
      </c>
      <c r="AA118" s="14">
        <f t="shared" ref="AA118:BE118" si="19">AA107*_xlfn.IFNA(INDEX(AA$34:AA$38,MATCH($I118,$F$34:$F$38,0)),0)</f>
        <v>0</v>
      </c>
      <c r="AB118" s="14">
        <f t="shared" si="19"/>
        <v>83025</v>
      </c>
      <c r="AC118" s="14">
        <f t="shared" si="19"/>
        <v>85100.625</v>
      </c>
      <c r="AD118" s="14">
        <f t="shared" si="19"/>
        <v>87228.140624999985</v>
      </c>
      <c r="AE118" s="14">
        <f t="shared" si="19"/>
        <v>89408.844140624977</v>
      </c>
      <c r="AF118" s="14">
        <f t="shared" si="19"/>
        <v>91644.065244140598</v>
      </c>
      <c r="AG118" s="14">
        <f t="shared" si="19"/>
        <v>93935.166875244104</v>
      </c>
      <c r="AH118" s="14">
        <f t="shared" si="19"/>
        <v>96283.546047125201</v>
      </c>
      <c r="AI118" s="14">
        <f t="shared" si="19"/>
        <v>98690.634698303315</v>
      </c>
      <c r="AJ118" s="14">
        <f t="shared" si="19"/>
        <v>101157.90056576088</v>
      </c>
      <c r="AK118" s="14">
        <f t="shared" si="19"/>
        <v>103686.84807990488</v>
      </c>
      <c r="AL118" s="14">
        <f t="shared" si="19"/>
        <v>106279.01928190251</v>
      </c>
      <c r="AM118" s="14">
        <f t="shared" si="19"/>
        <v>108935.99476395006</v>
      </c>
      <c r="AN118" s="14">
        <f t="shared" si="19"/>
        <v>111659.39463304881</v>
      </c>
      <c r="AO118" s="14">
        <f t="shared" si="19"/>
        <v>114450.87949887502</v>
      </c>
      <c r="AP118" s="14">
        <f t="shared" si="19"/>
        <v>117312.15148634688</v>
      </c>
      <c r="AQ118" s="14">
        <f t="shared" si="19"/>
        <v>120244.95527350555</v>
      </c>
      <c r="AR118" s="14">
        <f t="shared" si="19"/>
        <v>123251.07915534316</v>
      </c>
      <c r="AS118" s="14">
        <f t="shared" si="19"/>
        <v>126332.35613422673</v>
      </c>
      <c r="AT118" s="14">
        <f t="shared" si="19"/>
        <v>129490.66503758238</v>
      </c>
      <c r="AU118" s="14">
        <f t="shared" si="19"/>
        <v>132727.93166352194</v>
      </c>
      <c r="AV118" s="14">
        <f t="shared" si="19"/>
        <v>136046.12995510997</v>
      </c>
      <c r="AW118" s="14">
        <f t="shared" si="19"/>
        <v>139447.2832039877</v>
      </c>
      <c r="AX118" s="14">
        <f t="shared" si="19"/>
        <v>142933.46528408738</v>
      </c>
      <c r="AY118" s="14">
        <f t="shared" si="19"/>
        <v>146506.80191618955</v>
      </c>
      <c r="AZ118" s="14">
        <f t="shared" si="19"/>
        <v>150169.47196409426</v>
      </c>
      <c r="BA118" s="14">
        <f t="shared" si="19"/>
        <v>153923.70876319663</v>
      </c>
      <c r="BB118" s="14">
        <f t="shared" si="19"/>
        <v>157771.80148227653</v>
      </c>
      <c r="BC118" s="14">
        <f t="shared" si="19"/>
        <v>161716.09651933343</v>
      </c>
      <c r="BD118" s="14">
        <f t="shared" si="19"/>
        <v>165758.99893231672</v>
      </c>
      <c r="BE118" s="14">
        <f t="shared" si="19"/>
        <v>169902.97390562465</v>
      </c>
      <c r="BG118" s="14">
        <f t="shared" ref="BG118:BM121" si="20">SUMIFS($AA118:$BE118,$AA$2:$BE$2,"&gt;="&amp;BG$2,$AA$3:$BE$3,"&lt;="&amp;BG$3)</f>
        <v>0</v>
      </c>
      <c r="BH118" s="14">
        <f t="shared" si="20"/>
        <v>436406.67500976555</v>
      </c>
      <c r="BI118" s="14">
        <f t="shared" si="20"/>
        <v>493754.09626633837</v>
      </c>
      <c r="BJ118" s="14">
        <f t="shared" si="20"/>
        <v>558637.43966412323</v>
      </c>
      <c r="BK118" s="14">
        <f t="shared" si="20"/>
        <v>632046.98726417974</v>
      </c>
      <c r="BL118" s="14">
        <f t="shared" si="20"/>
        <v>715103.15232346882</v>
      </c>
      <c r="BM118" s="14">
        <f t="shared" si="20"/>
        <v>809073.57960274792</v>
      </c>
    </row>
    <row r="119" spans="1:65">
      <c r="F119" s="40" t="s">
        <v>235</v>
      </c>
      <c r="G119" s="17" t="str">
        <f>cstNominalUnit</f>
        <v>£ Nominal</v>
      </c>
      <c r="I119" s="22" t="str">
        <f>iOptions!Q52</f>
        <v>Wage Inflation</v>
      </c>
      <c r="AA119" s="14">
        <f t="shared" ref="AA119:BE119" si="21">AA108*_xlfn.IFNA(INDEX(AA$34:AA$38,MATCH($I119,$F$34:$F$38,0)),0)</f>
        <v>0</v>
      </c>
      <c r="AB119" s="14">
        <f t="shared" si="21"/>
        <v>73800</v>
      </c>
      <c r="AC119" s="14">
        <f t="shared" si="21"/>
        <v>75645</v>
      </c>
      <c r="AD119" s="14">
        <f t="shared" si="21"/>
        <v>77536.124999999985</v>
      </c>
      <c r="AE119" s="14">
        <f t="shared" si="21"/>
        <v>79474.528124999983</v>
      </c>
      <c r="AF119" s="14">
        <f t="shared" si="21"/>
        <v>81461.39132812497</v>
      </c>
      <c r="AG119" s="14">
        <f t="shared" si="21"/>
        <v>83497.926111328095</v>
      </c>
      <c r="AH119" s="14">
        <f t="shared" si="21"/>
        <v>85585.374264111277</v>
      </c>
      <c r="AI119" s="14">
        <f t="shared" si="21"/>
        <v>87725.008620714056</v>
      </c>
      <c r="AJ119" s="14">
        <f t="shared" si="21"/>
        <v>89918.133836231893</v>
      </c>
      <c r="AK119" s="14">
        <f t="shared" si="21"/>
        <v>92166.087182137679</v>
      </c>
      <c r="AL119" s="14">
        <f t="shared" si="21"/>
        <v>94470.239361691114</v>
      </c>
      <c r="AM119" s="14">
        <f t="shared" si="21"/>
        <v>96831.99534573339</v>
      </c>
      <c r="AN119" s="14">
        <f t="shared" si="21"/>
        <v>99252.795229376716</v>
      </c>
      <c r="AO119" s="14">
        <f t="shared" si="21"/>
        <v>101734.11511011113</v>
      </c>
      <c r="AP119" s="14">
        <f t="shared" si="21"/>
        <v>104277.46798786389</v>
      </c>
      <c r="AQ119" s="14">
        <f t="shared" si="21"/>
        <v>106884.40468756048</v>
      </c>
      <c r="AR119" s="14">
        <f t="shared" si="21"/>
        <v>109556.51480474947</v>
      </c>
      <c r="AS119" s="14">
        <f t="shared" si="21"/>
        <v>112295.4276748682</v>
      </c>
      <c r="AT119" s="14">
        <f t="shared" si="21"/>
        <v>115102.81336673989</v>
      </c>
      <c r="AU119" s="14">
        <f t="shared" si="21"/>
        <v>117980.38370090838</v>
      </c>
      <c r="AV119" s="14">
        <f t="shared" si="21"/>
        <v>120929.89329343109</v>
      </c>
      <c r="AW119" s="14">
        <f t="shared" si="21"/>
        <v>123953.14062576684</v>
      </c>
      <c r="AX119" s="14">
        <f t="shared" si="21"/>
        <v>127051.969141411</v>
      </c>
      <c r="AY119" s="14">
        <f t="shared" si="21"/>
        <v>130228.26836994628</v>
      </c>
      <c r="AZ119" s="14">
        <f t="shared" si="21"/>
        <v>133483.9750791949</v>
      </c>
      <c r="BA119" s="14">
        <f t="shared" si="21"/>
        <v>136821.07445617477</v>
      </c>
      <c r="BB119" s="14">
        <f t="shared" si="21"/>
        <v>140241.60131757913</v>
      </c>
      <c r="BC119" s="14">
        <f t="shared" si="21"/>
        <v>143747.64135051859</v>
      </c>
      <c r="BD119" s="14">
        <f t="shared" si="21"/>
        <v>147341.33238428153</v>
      </c>
      <c r="BE119" s="14">
        <f t="shared" si="21"/>
        <v>151024.86569388857</v>
      </c>
      <c r="BG119" s="14">
        <f t="shared" si="20"/>
        <v>0</v>
      </c>
      <c r="BH119" s="14">
        <f t="shared" si="20"/>
        <v>387917.04445312492</v>
      </c>
      <c r="BI119" s="14">
        <f t="shared" si="20"/>
        <v>438892.53001452296</v>
      </c>
      <c r="BJ119" s="14">
        <f t="shared" si="20"/>
        <v>496566.61303477624</v>
      </c>
      <c r="BK119" s="14">
        <f t="shared" si="20"/>
        <v>561819.54423482646</v>
      </c>
      <c r="BL119" s="14">
        <f t="shared" si="20"/>
        <v>635647.24650975014</v>
      </c>
      <c r="BM119" s="14">
        <f t="shared" si="20"/>
        <v>719176.51520244265</v>
      </c>
    </row>
    <row r="120" spans="1:65">
      <c r="F120" s="40" t="s">
        <v>236</v>
      </c>
      <c r="G120" s="17" t="str">
        <f>cstNominalUnit</f>
        <v>£ Nominal</v>
      </c>
      <c r="I120" s="22" t="str">
        <f>iOptions!Q53</f>
        <v>Wage Inflation</v>
      </c>
      <c r="AA120" s="14">
        <f t="shared" ref="AA120:BE120" si="22">AA109*_xlfn.IFNA(INDEX(AA$34:AA$38,MATCH($I120,$F$34:$F$38,0)),0)</f>
        <v>0</v>
      </c>
      <c r="AB120" s="14">
        <f t="shared" si="22"/>
        <v>52274.999999999993</v>
      </c>
      <c r="AC120" s="14">
        <f t="shared" si="22"/>
        <v>53581.874999999993</v>
      </c>
      <c r="AD120" s="14">
        <f t="shared" si="22"/>
        <v>54921.421874999993</v>
      </c>
      <c r="AE120" s="14">
        <f t="shared" si="22"/>
        <v>56294.457421874991</v>
      </c>
      <c r="AF120" s="14">
        <f t="shared" si="22"/>
        <v>57701.818857421858</v>
      </c>
      <c r="AG120" s="14">
        <f t="shared" si="22"/>
        <v>59144.364328857402</v>
      </c>
      <c r="AH120" s="14">
        <f t="shared" si="22"/>
        <v>60622.973437078828</v>
      </c>
      <c r="AI120" s="14">
        <f t="shared" si="22"/>
        <v>62138.54777300579</v>
      </c>
      <c r="AJ120" s="14">
        <f t="shared" si="22"/>
        <v>63692.011467330929</v>
      </c>
      <c r="AK120" s="14">
        <f t="shared" si="22"/>
        <v>65284.31175401419</v>
      </c>
      <c r="AL120" s="14">
        <f t="shared" si="22"/>
        <v>66916.419547864542</v>
      </c>
      <c r="AM120" s="14">
        <f t="shared" si="22"/>
        <v>68589.33003656115</v>
      </c>
      <c r="AN120" s="14">
        <f t="shared" si="22"/>
        <v>70304.063287475175</v>
      </c>
      <c r="AO120" s="14">
        <f t="shared" si="22"/>
        <v>72061.664869662054</v>
      </c>
      <c r="AP120" s="14">
        <f t="shared" si="22"/>
        <v>73863.206491403587</v>
      </c>
      <c r="AQ120" s="14">
        <f t="shared" si="22"/>
        <v>75709.786653688672</v>
      </c>
      <c r="AR120" s="14">
        <f t="shared" si="22"/>
        <v>77602.531320030888</v>
      </c>
      <c r="AS120" s="14">
        <f t="shared" si="22"/>
        <v>79542.594603031641</v>
      </c>
      <c r="AT120" s="14">
        <f t="shared" si="22"/>
        <v>81531.159468107435</v>
      </c>
      <c r="AU120" s="14">
        <f t="shared" si="22"/>
        <v>83569.438454810108</v>
      </c>
      <c r="AV120" s="14">
        <f t="shared" si="22"/>
        <v>85658.674416180351</v>
      </c>
      <c r="AW120" s="14">
        <f t="shared" si="22"/>
        <v>87800.141276584851</v>
      </c>
      <c r="AX120" s="14">
        <f t="shared" si="22"/>
        <v>89995.144808499463</v>
      </c>
      <c r="AY120" s="14">
        <f t="shared" si="22"/>
        <v>92245.023428711938</v>
      </c>
      <c r="AZ120" s="14">
        <f t="shared" si="22"/>
        <v>94551.149014429728</v>
      </c>
      <c r="BA120" s="14">
        <f t="shared" si="22"/>
        <v>96914.927739790466</v>
      </c>
      <c r="BB120" s="14">
        <f t="shared" si="22"/>
        <v>99337.800933285223</v>
      </c>
      <c r="BC120" s="14">
        <f t="shared" si="22"/>
        <v>101821.24595661735</v>
      </c>
      <c r="BD120" s="14">
        <f t="shared" si="22"/>
        <v>104366.77710553276</v>
      </c>
      <c r="BE120" s="14">
        <f t="shared" si="22"/>
        <v>106975.94653317108</v>
      </c>
      <c r="BG120" s="14">
        <f t="shared" si="20"/>
        <v>0</v>
      </c>
      <c r="BH120" s="14">
        <f t="shared" si="20"/>
        <v>274774.57315429684</v>
      </c>
      <c r="BI120" s="14">
        <f t="shared" si="20"/>
        <v>310882.20876028709</v>
      </c>
      <c r="BJ120" s="14">
        <f t="shared" si="20"/>
        <v>351734.68423296651</v>
      </c>
      <c r="BK120" s="14">
        <f t="shared" si="20"/>
        <v>397955.51049966877</v>
      </c>
      <c r="BL120" s="14">
        <f t="shared" si="20"/>
        <v>450250.1329444063</v>
      </c>
      <c r="BM120" s="14">
        <f t="shared" si="20"/>
        <v>509416.6982683969</v>
      </c>
    </row>
    <row r="121" spans="1:65">
      <c r="F121" s="40" t="s">
        <v>237</v>
      </c>
      <c r="G121" s="17" t="str">
        <f>cstNominalUnit</f>
        <v>£ Nominal</v>
      </c>
      <c r="I121" s="22" t="str">
        <f>iOptions!Q54</f>
        <v>Wage Inflation</v>
      </c>
      <c r="AA121" s="14">
        <f t="shared" ref="AA121:BE121" si="23">AA110*_xlfn.IFNA(INDEX(AA$34:AA$38,MATCH($I121,$F$34:$F$38,0)),0)</f>
        <v>0</v>
      </c>
      <c r="AB121" s="14">
        <f t="shared" si="23"/>
        <v>41000</v>
      </c>
      <c r="AC121" s="14">
        <f t="shared" si="23"/>
        <v>42025</v>
      </c>
      <c r="AD121" s="14">
        <f t="shared" si="23"/>
        <v>43075.624999999993</v>
      </c>
      <c r="AE121" s="14">
        <f t="shared" si="23"/>
        <v>44152.515624999993</v>
      </c>
      <c r="AF121" s="14">
        <f t="shared" si="23"/>
        <v>45256.328515624984</v>
      </c>
      <c r="AG121" s="14">
        <f t="shared" si="23"/>
        <v>46387.736728515607</v>
      </c>
      <c r="AH121" s="14">
        <f t="shared" si="23"/>
        <v>47547.430146728489</v>
      </c>
      <c r="AI121" s="14">
        <f t="shared" si="23"/>
        <v>48736.115900396697</v>
      </c>
      <c r="AJ121" s="14">
        <f t="shared" si="23"/>
        <v>49954.51879790661</v>
      </c>
      <c r="AK121" s="14">
        <f t="shared" si="23"/>
        <v>51203.381767854269</v>
      </c>
      <c r="AL121" s="14">
        <f t="shared" si="23"/>
        <v>52483.466312050623</v>
      </c>
      <c r="AM121" s="14">
        <f t="shared" si="23"/>
        <v>53795.55296985188</v>
      </c>
      <c r="AN121" s="14">
        <f t="shared" si="23"/>
        <v>55140.44179409818</v>
      </c>
      <c r="AO121" s="14">
        <f t="shared" si="23"/>
        <v>56518.95283895063</v>
      </c>
      <c r="AP121" s="14">
        <f t="shared" si="23"/>
        <v>57931.926659924386</v>
      </c>
      <c r="AQ121" s="14">
        <f t="shared" si="23"/>
        <v>59380.224826422491</v>
      </c>
      <c r="AR121" s="14">
        <f t="shared" si="23"/>
        <v>60864.730447083042</v>
      </c>
      <c r="AS121" s="14">
        <f t="shared" si="23"/>
        <v>62386.348708260113</v>
      </c>
      <c r="AT121" s="14">
        <f t="shared" si="23"/>
        <v>63946.007425966614</v>
      </c>
      <c r="AU121" s="14">
        <f t="shared" si="23"/>
        <v>65544.657611615767</v>
      </c>
      <c r="AV121" s="14">
        <f t="shared" si="23"/>
        <v>67183.274051906163</v>
      </c>
      <c r="AW121" s="14">
        <f t="shared" si="23"/>
        <v>68862.855903203803</v>
      </c>
      <c r="AX121" s="14">
        <f t="shared" si="23"/>
        <v>70584.427300783893</v>
      </c>
      <c r="AY121" s="14">
        <f t="shared" si="23"/>
        <v>72349.037983303482</v>
      </c>
      <c r="AZ121" s="14">
        <f t="shared" si="23"/>
        <v>74157.763932886068</v>
      </c>
      <c r="BA121" s="14">
        <f t="shared" si="23"/>
        <v>76011.708031208211</v>
      </c>
      <c r="BB121" s="14">
        <f t="shared" si="23"/>
        <v>77912.000731988403</v>
      </c>
      <c r="BC121" s="14">
        <f t="shared" si="23"/>
        <v>79859.800750288108</v>
      </c>
      <c r="BD121" s="14">
        <f t="shared" si="23"/>
        <v>81856.295769045304</v>
      </c>
      <c r="BE121" s="14">
        <f t="shared" si="23"/>
        <v>83902.703163271435</v>
      </c>
      <c r="BG121" s="14">
        <f t="shared" si="20"/>
        <v>0</v>
      </c>
      <c r="BH121" s="14">
        <f t="shared" si="20"/>
        <v>215509.46914062498</v>
      </c>
      <c r="BI121" s="14">
        <f t="shared" si="20"/>
        <v>243829.18334140166</v>
      </c>
      <c r="BJ121" s="14">
        <f t="shared" si="20"/>
        <v>275870.34057487571</v>
      </c>
      <c r="BK121" s="14">
        <f t="shared" si="20"/>
        <v>312121.96901934803</v>
      </c>
      <c r="BL121" s="14">
        <f t="shared" si="20"/>
        <v>353137.35917208344</v>
      </c>
      <c r="BM121" s="14">
        <f t="shared" si="20"/>
        <v>399542.50844580145</v>
      </c>
    </row>
    <row r="122" spans="1:65">
      <c r="F122" s="18"/>
      <c r="G122" s="17"/>
    </row>
    <row r="123" spans="1:65" s="85" customFormat="1">
      <c r="A123" s="40"/>
      <c r="B123" s="40"/>
      <c r="C123" s="40"/>
      <c r="D123" s="40"/>
      <c r="E123" s="40"/>
      <c r="F123" s="85" t="s">
        <v>220</v>
      </c>
      <c r="G123" s="86" t="str">
        <f>cstNominalUnit</f>
        <v>£ Nominal</v>
      </c>
      <c r="H123" s="40"/>
      <c r="I123" s="40"/>
      <c r="J123" s="40"/>
      <c r="K123" s="40"/>
      <c r="L123" s="40"/>
      <c r="M123" s="40"/>
      <c r="N123" s="40"/>
      <c r="O123" s="40"/>
      <c r="P123" s="40"/>
      <c r="Q123" s="40"/>
      <c r="R123" s="40"/>
      <c r="S123" s="40"/>
      <c r="T123" s="40"/>
      <c r="U123" s="40"/>
      <c r="V123" s="40"/>
      <c r="W123" s="40"/>
      <c r="X123" s="40"/>
      <c r="Y123" s="40"/>
      <c r="Z123" s="40"/>
      <c r="AA123" s="87">
        <f>SUM(AA118:AA122)</f>
        <v>0</v>
      </c>
      <c r="AB123" s="87">
        <f t="shared" ref="AB123:BE123" si="24">SUM(AB118:AB122)</f>
        <v>250100</v>
      </c>
      <c r="AC123" s="87">
        <f t="shared" si="24"/>
        <v>256352.5</v>
      </c>
      <c r="AD123" s="87">
        <f t="shared" si="24"/>
        <v>262761.31249999994</v>
      </c>
      <c r="AE123" s="87">
        <f t="shared" si="24"/>
        <v>269330.34531249997</v>
      </c>
      <c r="AF123" s="87">
        <f t="shared" si="24"/>
        <v>276063.60394531244</v>
      </c>
      <c r="AG123" s="87">
        <f t="shared" si="24"/>
        <v>282965.19404394517</v>
      </c>
      <c r="AH123" s="87">
        <f t="shared" si="24"/>
        <v>290039.32389504375</v>
      </c>
      <c r="AI123" s="87">
        <f t="shared" si="24"/>
        <v>297290.30699241988</v>
      </c>
      <c r="AJ123" s="87">
        <f t="shared" si="24"/>
        <v>304722.56466723036</v>
      </c>
      <c r="AK123" s="87">
        <f t="shared" si="24"/>
        <v>312340.628783911</v>
      </c>
      <c r="AL123" s="87">
        <f t="shared" si="24"/>
        <v>320149.14450350881</v>
      </c>
      <c r="AM123" s="87">
        <f t="shared" si="24"/>
        <v>328152.87311609648</v>
      </c>
      <c r="AN123" s="87">
        <f t="shared" si="24"/>
        <v>336356.69494399888</v>
      </c>
      <c r="AO123" s="87">
        <f t="shared" si="24"/>
        <v>344765.61231759883</v>
      </c>
      <c r="AP123" s="87">
        <f t="shared" si="24"/>
        <v>353384.75262553873</v>
      </c>
      <c r="AQ123" s="87">
        <f t="shared" si="24"/>
        <v>362219.37144117721</v>
      </c>
      <c r="AR123" s="87">
        <f t="shared" si="24"/>
        <v>371274.85572720657</v>
      </c>
      <c r="AS123" s="87">
        <f t="shared" si="24"/>
        <v>380556.72712038667</v>
      </c>
      <c r="AT123" s="87">
        <f t="shared" si="24"/>
        <v>390070.64529839635</v>
      </c>
      <c r="AU123" s="87">
        <f t="shared" si="24"/>
        <v>399822.41143085621</v>
      </c>
      <c r="AV123" s="87">
        <f t="shared" si="24"/>
        <v>409817.9717166276</v>
      </c>
      <c r="AW123" s="87">
        <f t="shared" si="24"/>
        <v>420063.42100954324</v>
      </c>
      <c r="AX123" s="87">
        <f t="shared" si="24"/>
        <v>430565.00653478177</v>
      </c>
      <c r="AY123" s="87">
        <f t="shared" si="24"/>
        <v>441329.13169815124</v>
      </c>
      <c r="AZ123" s="87">
        <f t="shared" si="24"/>
        <v>452362.35999060498</v>
      </c>
      <c r="BA123" s="87">
        <f t="shared" si="24"/>
        <v>463671.41899037006</v>
      </c>
      <c r="BB123" s="87">
        <f t="shared" si="24"/>
        <v>475263.2044651293</v>
      </c>
      <c r="BC123" s="87">
        <f t="shared" si="24"/>
        <v>487144.78457675746</v>
      </c>
      <c r="BD123" s="87">
        <f t="shared" si="24"/>
        <v>499323.40419117629</v>
      </c>
      <c r="BE123" s="87">
        <f t="shared" si="24"/>
        <v>511806.48929595575</v>
      </c>
      <c r="BF123" s="40"/>
      <c r="BG123" s="87">
        <f>SUMIFS($AA123:$BE123,$AA$2:$BE$2,"&gt;="&amp;BG$2,$AA$3:$BE$3,"&lt;="&amp;BG$3)</f>
        <v>0</v>
      </c>
      <c r="BH123" s="87">
        <f t="shared" ref="BH123:BM123" si="25">SUMIFS($AA123:$BE123,$AA$2:$BE$2,"&gt;="&amp;BH$2,$AA$3:$BE$3,"&lt;="&amp;BH$3)</f>
        <v>1314607.7617578125</v>
      </c>
      <c r="BI123" s="87">
        <f t="shared" si="25"/>
        <v>1487358.0183825502</v>
      </c>
      <c r="BJ123" s="87">
        <f t="shared" si="25"/>
        <v>1682809.0775067417</v>
      </c>
      <c r="BK123" s="87">
        <f t="shared" si="25"/>
        <v>1903944.0110180229</v>
      </c>
      <c r="BL123" s="87">
        <f t="shared" si="25"/>
        <v>2154137.8909497089</v>
      </c>
      <c r="BM123" s="87">
        <f t="shared" si="25"/>
        <v>2437209.3015193888</v>
      </c>
    </row>
    <row r="124" spans="1:65" s="55" customFormat="1">
      <c r="A124" s="40"/>
      <c r="B124" s="40"/>
      <c r="C124" s="40"/>
      <c r="D124" s="40"/>
      <c r="E124" s="40"/>
      <c r="G124" s="88"/>
      <c r="H124" s="40"/>
      <c r="I124" s="40"/>
      <c r="J124" s="40"/>
      <c r="K124" s="40"/>
      <c r="L124" s="40"/>
      <c r="M124" s="40"/>
      <c r="N124" s="40"/>
      <c r="O124" s="40"/>
      <c r="P124" s="40"/>
      <c r="Q124" s="40"/>
      <c r="R124" s="40"/>
      <c r="S124" s="40"/>
      <c r="T124" s="40"/>
      <c r="U124" s="40"/>
      <c r="V124" s="40"/>
      <c r="W124" s="40"/>
      <c r="X124" s="40"/>
      <c r="Y124" s="40"/>
      <c r="Z124" s="40"/>
      <c r="AA124" s="93"/>
      <c r="AB124" s="93"/>
      <c r="AC124" s="93"/>
      <c r="AD124" s="93"/>
      <c r="AE124" s="93"/>
      <c r="AF124" s="93"/>
      <c r="AG124" s="93"/>
      <c r="AH124" s="93"/>
      <c r="AI124" s="93"/>
      <c r="AJ124" s="93"/>
      <c r="AK124" s="93"/>
      <c r="AL124" s="93"/>
      <c r="AM124" s="93"/>
      <c r="AN124" s="93"/>
      <c r="AO124" s="93"/>
      <c r="AP124" s="93"/>
      <c r="AQ124" s="93"/>
      <c r="AR124" s="93"/>
      <c r="AS124" s="93"/>
      <c r="AT124" s="93"/>
      <c r="AU124" s="93"/>
      <c r="AV124" s="93"/>
      <c r="AW124" s="93"/>
      <c r="AX124" s="93"/>
      <c r="AY124" s="93"/>
      <c r="AZ124" s="93"/>
      <c r="BA124" s="93"/>
      <c r="BB124" s="93"/>
      <c r="BC124" s="93"/>
      <c r="BD124" s="93"/>
      <c r="BE124" s="93"/>
      <c r="BF124" s="40"/>
      <c r="BG124" s="93"/>
      <c r="BH124" s="93"/>
      <c r="BI124" s="93"/>
      <c r="BJ124" s="93"/>
      <c r="BK124" s="93"/>
      <c r="BL124" s="93"/>
      <c r="BM124" s="93"/>
    </row>
    <row r="125" spans="1:65">
      <c r="A125" s="19">
        <f>SUM(C125:BM125)</f>
        <v>0</v>
      </c>
      <c r="F125" s="18" t="s">
        <v>329</v>
      </c>
      <c r="G125" s="17"/>
      <c r="BG125" s="19">
        <f t="shared" ref="BG125:BM125" si="26">IF(ABS(SUM(BG118:BG122)-BG123)&lt;eTol,0,1)</f>
        <v>0</v>
      </c>
      <c r="BH125" s="19">
        <f t="shared" si="26"/>
        <v>0</v>
      </c>
      <c r="BI125" s="19">
        <f t="shared" si="26"/>
        <v>0</v>
      </c>
      <c r="BJ125" s="19">
        <f t="shared" si="26"/>
        <v>0</v>
      </c>
      <c r="BK125" s="19">
        <f t="shared" si="26"/>
        <v>0</v>
      </c>
      <c r="BL125" s="19">
        <f t="shared" si="26"/>
        <v>0</v>
      </c>
      <c r="BM125" s="19">
        <f t="shared" si="26"/>
        <v>0</v>
      </c>
    </row>
    <row r="126" spans="1:65" customFormat="1"/>
    <row r="127" spans="1:65" ht="14" thickBot="1">
      <c r="A127" s="25"/>
      <c r="B127" s="25"/>
      <c r="C127" s="25"/>
      <c r="D127" s="25"/>
      <c r="E127" s="25" t="s">
        <v>400</v>
      </c>
      <c r="F127" s="25" t="s">
        <v>367</v>
      </c>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25"/>
      <c r="AG127" s="25"/>
      <c r="AH127" s="25"/>
      <c r="AI127" s="25"/>
      <c r="AJ127" s="25"/>
      <c r="AK127" s="25"/>
      <c r="AL127" s="25"/>
      <c r="AM127" s="25"/>
      <c r="AN127" s="25"/>
      <c r="AO127" s="25"/>
      <c r="AP127" s="25"/>
      <c r="AQ127" s="25"/>
      <c r="AR127" s="25"/>
      <c r="AS127" s="25"/>
      <c r="AT127" s="25"/>
      <c r="AU127" s="25"/>
      <c r="AV127" s="25"/>
      <c r="AW127" s="25"/>
      <c r="AX127" s="25"/>
      <c r="AY127" s="25"/>
      <c r="AZ127" s="25"/>
      <c r="BA127" s="25"/>
      <c r="BB127" s="25"/>
      <c r="BC127" s="25"/>
      <c r="BD127" s="25"/>
      <c r="BE127" s="25"/>
      <c r="BF127" s="25"/>
      <c r="BG127" s="25"/>
      <c r="BH127" s="25"/>
      <c r="BI127" s="25"/>
      <c r="BJ127" s="25"/>
      <c r="BK127" s="25"/>
      <c r="BL127" s="25"/>
      <c r="BM127" s="25"/>
    </row>
    <row r="128" spans="1:65">
      <c r="F128" s="18"/>
      <c r="G128" s="17"/>
    </row>
    <row r="129" spans="1:66">
      <c r="F129" s="40" t="s">
        <v>284</v>
      </c>
      <c r="G129" s="17" t="str">
        <f>cstNominalUnit</f>
        <v>£ Nominal</v>
      </c>
      <c r="AA129" s="14">
        <f>AA73</f>
        <v>0</v>
      </c>
      <c r="AB129" s="14">
        <f t="shared" ref="AB129:BE129" si="27">AB73</f>
        <v>1748986.6631799163</v>
      </c>
      <c r="AC129" s="14">
        <f t="shared" si="27"/>
        <v>1792711.3297594141</v>
      </c>
      <c r="AD129" s="14">
        <f t="shared" si="27"/>
        <v>1837529.1130033995</v>
      </c>
      <c r="AE129" s="14">
        <f t="shared" si="27"/>
        <v>1883467.3408284842</v>
      </c>
      <c r="AF129" s="14">
        <f t="shared" si="27"/>
        <v>1930554.0243491961</v>
      </c>
      <c r="AG129" s="14">
        <f t="shared" si="27"/>
        <v>1978817.8749579259</v>
      </c>
      <c r="AH129" s="14">
        <f t="shared" si="27"/>
        <v>2028288.3218318739</v>
      </c>
      <c r="AI129" s="14">
        <f t="shared" si="27"/>
        <v>2078995.5298776706</v>
      </c>
      <c r="AJ129" s="14">
        <f t="shared" si="27"/>
        <v>2130970.418124612</v>
      </c>
      <c r="AK129" s="14">
        <f t="shared" si="27"/>
        <v>2184244.6785777267</v>
      </c>
      <c r="AL129" s="14">
        <f t="shared" si="27"/>
        <v>2238850.7955421698</v>
      </c>
      <c r="AM129" s="14">
        <f t="shared" si="27"/>
        <v>2294822.0654307241</v>
      </c>
      <c r="AN129" s="14">
        <f t="shared" si="27"/>
        <v>2352192.6170664919</v>
      </c>
      <c r="AO129" s="14">
        <f t="shared" si="27"/>
        <v>2410997.432493154</v>
      </c>
      <c r="AP129" s="14">
        <f t="shared" si="27"/>
        <v>2471272.3683054824</v>
      </c>
      <c r="AQ129" s="14">
        <f t="shared" si="27"/>
        <v>2533054.1775131193</v>
      </c>
      <c r="AR129" s="14">
        <f t="shared" si="27"/>
        <v>2596380.5319509474</v>
      </c>
      <c r="AS129" s="14">
        <f t="shared" si="27"/>
        <v>2661290.0452497206</v>
      </c>
      <c r="AT129" s="14">
        <f t="shared" si="27"/>
        <v>2727822.2963809632</v>
      </c>
      <c r="AU129" s="14">
        <f t="shared" si="27"/>
        <v>2796017.8537904872</v>
      </c>
      <c r="AV129" s="14">
        <f t="shared" si="27"/>
        <v>2865918.3001352488</v>
      </c>
      <c r="AW129" s="14">
        <f t="shared" si="27"/>
        <v>2937566.25763863</v>
      </c>
      <c r="AX129" s="14">
        <f t="shared" si="27"/>
        <v>3011005.4140795954</v>
      </c>
      <c r="AY129" s="14">
        <f t="shared" si="27"/>
        <v>3086280.5494315852</v>
      </c>
      <c r="AZ129" s="14">
        <f t="shared" si="27"/>
        <v>3163437.5631673741</v>
      </c>
      <c r="BA129" s="14">
        <f t="shared" si="27"/>
        <v>3242523.5022465587</v>
      </c>
      <c r="BB129" s="14">
        <f t="shared" si="27"/>
        <v>3323586.589802722</v>
      </c>
      <c r="BC129" s="14">
        <f t="shared" si="27"/>
        <v>3406676.2545477902</v>
      </c>
      <c r="BD129" s="14">
        <f t="shared" si="27"/>
        <v>3491843.1609114842</v>
      </c>
      <c r="BE129" s="14">
        <f t="shared" si="27"/>
        <v>3579139.2399342712</v>
      </c>
      <c r="BG129" s="14">
        <f t="shared" ref="BG129:BM131" si="28">SUMIFS($AA129:$BE129,$AA$2:$BE$2,"&gt;="&amp;BG$2,$AA$3:$BE$3,"&lt;="&amp;BG$3)</f>
        <v>0</v>
      </c>
      <c r="BH129" s="14">
        <f t="shared" si="28"/>
        <v>9193248.4711204097</v>
      </c>
      <c r="BI129" s="14">
        <f t="shared" si="28"/>
        <v>10401316.823369808</v>
      </c>
      <c r="BJ129" s="14">
        <f t="shared" si="28"/>
        <v>11768135.278838022</v>
      </c>
      <c r="BK129" s="14">
        <f t="shared" si="28"/>
        <v>13314564.904885236</v>
      </c>
      <c r="BL129" s="14">
        <f t="shared" si="28"/>
        <v>15064208.084452434</v>
      </c>
      <c r="BM129" s="14">
        <f t="shared" si="28"/>
        <v>17043768.747442827</v>
      </c>
    </row>
    <row r="130" spans="1:66">
      <c r="F130" s="40" t="s">
        <v>285</v>
      </c>
      <c r="G130" s="17" t="str">
        <f>cstNominalUnit</f>
        <v>£ Nominal</v>
      </c>
      <c r="AA130" s="14">
        <f>AA89</f>
        <v>0</v>
      </c>
      <c r="AB130" s="14">
        <f t="shared" ref="AB130:BE130" si="29">AB89</f>
        <v>152785.04184100416</v>
      </c>
      <c r="AC130" s="14">
        <f t="shared" si="29"/>
        <v>156604.66788702927</v>
      </c>
      <c r="AD130" s="14">
        <f t="shared" si="29"/>
        <v>160519.78458420499</v>
      </c>
      <c r="AE130" s="14">
        <f t="shared" si="29"/>
        <v>164532.77919881011</v>
      </c>
      <c r="AF130" s="14">
        <f t="shared" si="29"/>
        <v>168646.09867878034</v>
      </c>
      <c r="AG130" s="14">
        <f t="shared" si="29"/>
        <v>172862.25114574985</v>
      </c>
      <c r="AH130" s="14">
        <f t="shared" si="29"/>
        <v>177183.80742439357</v>
      </c>
      <c r="AI130" s="14">
        <f t="shared" si="29"/>
        <v>181613.4026100034</v>
      </c>
      <c r="AJ130" s="14">
        <f t="shared" si="29"/>
        <v>186153.73767525345</v>
      </c>
      <c r="AK130" s="14">
        <f t="shared" si="29"/>
        <v>190807.58111713474</v>
      </c>
      <c r="AL130" s="14">
        <f t="shared" si="29"/>
        <v>195577.77064506311</v>
      </c>
      <c r="AM130" s="14">
        <f t="shared" si="29"/>
        <v>200467.21491118969</v>
      </c>
      <c r="AN130" s="14">
        <f t="shared" si="29"/>
        <v>205478.89528396941</v>
      </c>
      <c r="AO130" s="14">
        <f t="shared" si="29"/>
        <v>210615.86766606863</v>
      </c>
      <c r="AP130" s="14">
        <f t="shared" si="29"/>
        <v>215881.2643577203</v>
      </c>
      <c r="AQ130" s="14">
        <f t="shared" si="29"/>
        <v>221278.29596666331</v>
      </c>
      <c r="AR130" s="14">
        <f t="shared" si="29"/>
        <v>226810.25336582985</v>
      </c>
      <c r="AS130" s="14">
        <f t="shared" si="29"/>
        <v>232480.50969997558</v>
      </c>
      <c r="AT130" s="14">
        <f t="shared" si="29"/>
        <v>238292.52244247493</v>
      </c>
      <c r="AU130" s="14">
        <f t="shared" si="29"/>
        <v>244249.8355035368</v>
      </c>
      <c r="AV130" s="14">
        <f t="shared" si="29"/>
        <v>250356.08139112519</v>
      </c>
      <c r="AW130" s="14">
        <f t="shared" si="29"/>
        <v>256614.98342590328</v>
      </c>
      <c r="AX130" s="14">
        <f t="shared" si="29"/>
        <v>263030.35801155085</v>
      </c>
      <c r="AY130" s="14">
        <f t="shared" si="29"/>
        <v>269606.11696183961</v>
      </c>
      <c r="AZ130" s="14">
        <f t="shared" si="29"/>
        <v>276346.26988588553</v>
      </c>
      <c r="BA130" s="14">
        <f t="shared" si="29"/>
        <v>283254.92663303268</v>
      </c>
      <c r="BB130" s="14">
        <f t="shared" si="29"/>
        <v>290336.29979885847</v>
      </c>
      <c r="BC130" s="14">
        <f t="shared" si="29"/>
        <v>297594.70729382994</v>
      </c>
      <c r="BD130" s="14">
        <f t="shared" si="29"/>
        <v>305034.57497617562</v>
      </c>
      <c r="BE130" s="14">
        <f t="shared" si="29"/>
        <v>312660.43935057998</v>
      </c>
      <c r="BG130" s="14">
        <f t="shared" si="28"/>
        <v>0</v>
      </c>
      <c r="BH130" s="14">
        <f t="shared" si="28"/>
        <v>803088.37218982889</v>
      </c>
      <c r="BI130" s="14">
        <f t="shared" si="28"/>
        <v>908620.77997253498</v>
      </c>
      <c r="BJ130" s="14">
        <f t="shared" si="28"/>
        <v>1028021.012864011</v>
      </c>
      <c r="BK130" s="14">
        <f t="shared" si="28"/>
        <v>1163111.4169784805</v>
      </c>
      <c r="BL130" s="14">
        <f t="shared" si="28"/>
        <v>1315953.8096763045</v>
      </c>
      <c r="BM130" s="14">
        <f t="shared" si="28"/>
        <v>1488880.9480524766</v>
      </c>
    </row>
    <row r="131" spans="1:66">
      <c r="F131" s="40" t="s">
        <v>220</v>
      </c>
      <c r="G131" s="17" t="str">
        <f>cstNominalUnit</f>
        <v>£ Nominal</v>
      </c>
      <c r="AA131" s="14">
        <f>AA123</f>
        <v>0</v>
      </c>
      <c r="AB131" s="14">
        <f t="shared" ref="AB131:BE131" si="30">AB123</f>
        <v>250100</v>
      </c>
      <c r="AC131" s="14">
        <f t="shared" si="30"/>
        <v>256352.5</v>
      </c>
      <c r="AD131" s="14">
        <f t="shared" si="30"/>
        <v>262761.31249999994</v>
      </c>
      <c r="AE131" s="14">
        <f t="shared" si="30"/>
        <v>269330.34531249997</v>
      </c>
      <c r="AF131" s="14">
        <f t="shared" si="30"/>
        <v>276063.60394531244</v>
      </c>
      <c r="AG131" s="14">
        <f t="shared" si="30"/>
        <v>282965.19404394517</v>
      </c>
      <c r="AH131" s="14">
        <f t="shared" si="30"/>
        <v>290039.32389504375</v>
      </c>
      <c r="AI131" s="14">
        <f t="shared" si="30"/>
        <v>297290.30699241988</v>
      </c>
      <c r="AJ131" s="14">
        <f t="shared" si="30"/>
        <v>304722.56466723036</v>
      </c>
      <c r="AK131" s="14">
        <f t="shared" si="30"/>
        <v>312340.628783911</v>
      </c>
      <c r="AL131" s="14">
        <f t="shared" si="30"/>
        <v>320149.14450350881</v>
      </c>
      <c r="AM131" s="14">
        <f t="shared" si="30"/>
        <v>328152.87311609648</v>
      </c>
      <c r="AN131" s="14">
        <f t="shared" si="30"/>
        <v>336356.69494399888</v>
      </c>
      <c r="AO131" s="14">
        <f t="shared" si="30"/>
        <v>344765.61231759883</v>
      </c>
      <c r="AP131" s="14">
        <f t="shared" si="30"/>
        <v>353384.75262553873</v>
      </c>
      <c r="AQ131" s="14">
        <f t="shared" si="30"/>
        <v>362219.37144117721</v>
      </c>
      <c r="AR131" s="14">
        <f t="shared" si="30"/>
        <v>371274.85572720657</v>
      </c>
      <c r="AS131" s="14">
        <f t="shared" si="30"/>
        <v>380556.72712038667</v>
      </c>
      <c r="AT131" s="14">
        <f t="shared" si="30"/>
        <v>390070.64529839635</v>
      </c>
      <c r="AU131" s="14">
        <f t="shared" si="30"/>
        <v>399822.41143085621</v>
      </c>
      <c r="AV131" s="14">
        <f t="shared" si="30"/>
        <v>409817.9717166276</v>
      </c>
      <c r="AW131" s="14">
        <f t="shared" si="30"/>
        <v>420063.42100954324</v>
      </c>
      <c r="AX131" s="14">
        <f t="shared" si="30"/>
        <v>430565.00653478177</v>
      </c>
      <c r="AY131" s="14">
        <f t="shared" si="30"/>
        <v>441329.13169815124</v>
      </c>
      <c r="AZ131" s="14">
        <f t="shared" si="30"/>
        <v>452362.35999060498</v>
      </c>
      <c r="BA131" s="14">
        <f t="shared" si="30"/>
        <v>463671.41899037006</v>
      </c>
      <c r="BB131" s="14">
        <f t="shared" si="30"/>
        <v>475263.2044651293</v>
      </c>
      <c r="BC131" s="14">
        <f t="shared" si="30"/>
        <v>487144.78457675746</v>
      </c>
      <c r="BD131" s="14">
        <f t="shared" si="30"/>
        <v>499323.40419117629</v>
      </c>
      <c r="BE131" s="14">
        <f t="shared" si="30"/>
        <v>511806.48929595575</v>
      </c>
      <c r="BG131" s="14">
        <f t="shared" si="28"/>
        <v>0</v>
      </c>
      <c r="BH131" s="14">
        <f t="shared" si="28"/>
        <v>1314607.7617578125</v>
      </c>
      <c r="BI131" s="14">
        <f t="shared" si="28"/>
        <v>1487358.0183825502</v>
      </c>
      <c r="BJ131" s="14">
        <f t="shared" si="28"/>
        <v>1682809.0775067417</v>
      </c>
      <c r="BK131" s="14">
        <f t="shared" si="28"/>
        <v>1903944.0110180229</v>
      </c>
      <c r="BL131" s="14">
        <f t="shared" si="28"/>
        <v>2154137.8909497089</v>
      </c>
      <c r="BM131" s="14">
        <f t="shared" si="28"/>
        <v>2437209.3015193888</v>
      </c>
    </row>
    <row r="132" spans="1:66">
      <c r="G132" s="17"/>
    </row>
    <row r="133" spans="1:66">
      <c r="F133" s="89" t="s">
        <v>307</v>
      </c>
      <c r="G133" s="90" t="str">
        <f>cstNominalUnit</f>
        <v>£ Nominal</v>
      </c>
      <c r="AA133" s="87">
        <f>SUM(AA129:AA132)</f>
        <v>0</v>
      </c>
      <c r="AB133" s="87">
        <f t="shared" ref="AB133:BE133" si="31">SUM(AB129:AB132)</f>
        <v>2151871.7050209204</v>
      </c>
      <c r="AC133" s="87">
        <f t="shared" si="31"/>
        <v>2205668.4976464435</v>
      </c>
      <c r="AD133" s="87">
        <f t="shared" si="31"/>
        <v>2260810.2100876044</v>
      </c>
      <c r="AE133" s="87">
        <f t="shared" si="31"/>
        <v>2317330.4653397943</v>
      </c>
      <c r="AF133" s="87">
        <f t="shared" si="31"/>
        <v>2375263.7269732892</v>
      </c>
      <c r="AG133" s="87">
        <f t="shared" si="31"/>
        <v>2434645.320147621</v>
      </c>
      <c r="AH133" s="87">
        <f t="shared" si="31"/>
        <v>2495511.4531513113</v>
      </c>
      <c r="AI133" s="87">
        <f t="shared" si="31"/>
        <v>2557899.2394800941</v>
      </c>
      <c r="AJ133" s="87">
        <f t="shared" si="31"/>
        <v>2621846.7204670957</v>
      </c>
      <c r="AK133" s="87">
        <f t="shared" si="31"/>
        <v>2687392.8884787722</v>
      </c>
      <c r="AL133" s="87">
        <f t="shared" si="31"/>
        <v>2754577.7106907414</v>
      </c>
      <c r="AM133" s="87">
        <f t="shared" si="31"/>
        <v>2823442.1534580104</v>
      </c>
      <c r="AN133" s="87">
        <f t="shared" si="31"/>
        <v>2894028.2072944604</v>
      </c>
      <c r="AO133" s="87">
        <f t="shared" si="31"/>
        <v>2966378.9124768213</v>
      </c>
      <c r="AP133" s="87">
        <f t="shared" si="31"/>
        <v>3040538.3852887414</v>
      </c>
      <c r="AQ133" s="87">
        <f t="shared" si="31"/>
        <v>3116551.8449209598</v>
      </c>
      <c r="AR133" s="87">
        <f t="shared" si="31"/>
        <v>3194465.6410439839</v>
      </c>
      <c r="AS133" s="87">
        <f t="shared" si="31"/>
        <v>3274327.2820700826</v>
      </c>
      <c r="AT133" s="87">
        <f t="shared" si="31"/>
        <v>3356185.4641218344</v>
      </c>
      <c r="AU133" s="87">
        <f t="shared" si="31"/>
        <v>3440090.1007248801</v>
      </c>
      <c r="AV133" s="87">
        <f t="shared" si="31"/>
        <v>3526092.3532430013</v>
      </c>
      <c r="AW133" s="87">
        <f t="shared" si="31"/>
        <v>3614244.6620740765</v>
      </c>
      <c r="AX133" s="87">
        <f t="shared" si="31"/>
        <v>3704600.7786259279</v>
      </c>
      <c r="AY133" s="87">
        <f t="shared" si="31"/>
        <v>3797215.798091576</v>
      </c>
      <c r="AZ133" s="87">
        <f t="shared" si="31"/>
        <v>3892146.1930438648</v>
      </c>
      <c r="BA133" s="87">
        <f t="shared" si="31"/>
        <v>3989449.8478699611</v>
      </c>
      <c r="BB133" s="87">
        <f t="shared" si="31"/>
        <v>4089186.0940667097</v>
      </c>
      <c r="BC133" s="87">
        <f t="shared" si="31"/>
        <v>4191415.7464183774</v>
      </c>
      <c r="BD133" s="87">
        <f t="shared" si="31"/>
        <v>4296201.1400788361</v>
      </c>
      <c r="BE133" s="87">
        <f t="shared" si="31"/>
        <v>4403606.1685808068</v>
      </c>
      <c r="BG133" s="87">
        <f t="shared" ref="BG133:BM133" si="32">SUMIFS($AA133:$BE133,$AA$2:$BE$2,"&gt;="&amp;BG$2,$AA$3:$BE$3,"&lt;="&amp;BG$3)</f>
        <v>0</v>
      </c>
      <c r="BH133" s="87">
        <f t="shared" si="32"/>
        <v>11310944.605068052</v>
      </c>
      <c r="BI133" s="87">
        <f t="shared" si="32"/>
        <v>12797295.621724894</v>
      </c>
      <c r="BJ133" s="87">
        <f t="shared" si="32"/>
        <v>14478965.369208774</v>
      </c>
      <c r="BK133" s="87">
        <f t="shared" si="32"/>
        <v>16381620.332881741</v>
      </c>
      <c r="BL133" s="87">
        <f t="shared" si="32"/>
        <v>18534299.785078447</v>
      </c>
      <c r="BM133" s="87">
        <f t="shared" si="32"/>
        <v>20969858.99701469</v>
      </c>
    </row>
    <row r="134" spans="1:66">
      <c r="F134" s="91"/>
      <c r="G134" s="92"/>
      <c r="AA134" s="93"/>
      <c r="AB134" s="93"/>
      <c r="AC134" s="93"/>
      <c r="AD134" s="93"/>
      <c r="AE134" s="93"/>
      <c r="AF134" s="93"/>
      <c r="AG134" s="93"/>
      <c r="AH134" s="93"/>
      <c r="AI134" s="93"/>
      <c r="AJ134" s="93"/>
      <c r="AK134" s="93"/>
      <c r="AL134" s="93"/>
      <c r="AM134" s="93"/>
      <c r="AN134" s="93"/>
      <c r="AO134" s="93"/>
      <c r="AP134" s="93"/>
      <c r="AQ134" s="93"/>
      <c r="AR134" s="93"/>
      <c r="AS134" s="93"/>
      <c r="AT134" s="93"/>
      <c r="AU134" s="93"/>
      <c r="AV134" s="93"/>
      <c r="AW134" s="93"/>
      <c r="AX134" s="93"/>
      <c r="AY134" s="93"/>
      <c r="AZ134" s="93"/>
      <c r="BA134" s="93"/>
      <c r="BB134" s="93"/>
      <c r="BC134" s="93"/>
      <c r="BD134" s="93"/>
      <c r="BE134" s="93"/>
      <c r="BG134" s="93"/>
      <c r="BH134" s="93"/>
      <c r="BI134" s="93"/>
      <c r="BJ134" s="93"/>
      <c r="BK134" s="93"/>
      <c r="BL134" s="93"/>
      <c r="BM134" s="93"/>
    </row>
    <row r="135" spans="1:66">
      <c r="A135" s="19">
        <f>SUM(C135:BM135)</f>
        <v>0</v>
      </c>
      <c r="F135" s="18" t="s">
        <v>329</v>
      </c>
      <c r="G135" s="17"/>
      <c r="BG135" s="19">
        <f t="shared" ref="BG135:BM135" si="33">IF(ABS(SUM(BG129:BG132)-BG133)&lt;eTol,0,1)</f>
        <v>0</v>
      </c>
      <c r="BH135" s="19">
        <f t="shared" si="33"/>
        <v>0</v>
      </c>
      <c r="BI135" s="19">
        <f t="shared" si="33"/>
        <v>0</v>
      </c>
      <c r="BJ135" s="19">
        <f t="shared" si="33"/>
        <v>0</v>
      </c>
      <c r="BK135" s="19">
        <f t="shared" si="33"/>
        <v>0</v>
      </c>
      <c r="BL135" s="19">
        <f t="shared" si="33"/>
        <v>0</v>
      </c>
      <c r="BM135" s="19">
        <f t="shared" si="33"/>
        <v>0</v>
      </c>
    </row>
    <row r="136" spans="1:66" customFormat="1"/>
    <row r="137" spans="1:66" ht="16">
      <c r="A137" s="24"/>
      <c r="B137" s="24"/>
      <c r="C137" s="24"/>
      <c r="D137" s="24">
        <v>6</v>
      </c>
      <c r="E137" s="24" t="s">
        <v>227</v>
      </c>
      <c r="F137" s="24"/>
      <c r="G137" s="24"/>
      <c r="H137" s="24"/>
      <c r="I137" s="24"/>
      <c r="J137" s="24"/>
      <c r="K137" s="24"/>
      <c r="L137" s="24"/>
      <c r="M137" s="24"/>
      <c r="N137" s="24"/>
      <c r="O137" s="24"/>
      <c r="P137" s="24"/>
      <c r="Q137" s="24"/>
      <c r="R137" s="24"/>
      <c r="S137" s="24"/>
      <c r="T137" s="24"/>
      <c r="U137" s="24"/>
      <c r="V137" s="24"/>
      <c r="W137" s="24"/>
      <c r="X137" s="24"/>
      <c r="Y137" s="24"/>
      <c r="Z137" s="24"/>
      <c r="AA137" s="24"/>
      <c r="AB137" s="24"/>
      <c r="AC137" s="24"/>
      <c r="AD137" s="24"/>
      <c r="AE137" s="24"/>
      <c r="AF137" s="24"/>
      <c r="AG137" s="24"/>
      <c r="AH137" s="24"/>
      <c r="AI137" s="24"/>
      <c r="AJ137" s="24"/>
      <c r="AK137" s="24"/>
      <c r="AL137" s="24"/>
      <c r="AM137" s="24"/>
      <c r="AN137" s="24"/>
      <c r="AO137" s="24"/>
      <c r="AP137" s="24"/>
      <c r="AQ137" s="24"/>
      <c r="AR137" s="24"/>
      <c r="AS137" s="24"/>
      <c r="AT137" s="24"/>
      <c r="AU137" s="24"/>
      <c r="AV137" s="24"/>
      <c r="AW137" s="24"/>
      <c r="AX137" s="24"/>
      <c r="AY137" s="24"/>
      <c r="AZ137" s="24"/>
      <c r="BA137" s="24"/>
      <c r="BB137" s="24"/>
      <c r="BC137" s="24"/>
      <c r="BD137" s="24"/>
      <c r="BE137" s="24"/>
      <c r="BF137" s="24"/>
      <c r="BG137" s="24"/>
      <c r="BH137" s="24"/>
      <c r="BI137" s="24"/>
      <c r="BJ137" s="24"/>
      <c r="BK137" s="24"/>
      <c r="BL137" s="24"/>
      <c r="BM137" s="24"/>
      <c r="BN137" s="24"/>
    </row>
    <row r="138" spans="1:66">
      <c r="F138" s="18"/>
      <c r="G138" s="17"/>
    </row>
    <row r="139" spans="1:66" ht="14" thickBot="1">
      <c r="A139" s="25"/>
      <c r="B139" s="25"/>
      <c r="C139" s="25"/>
      <c r="D139" s="25"/>
      <c r="E139" s="25" t="s">
        <v>393</v>
      </c>
      <c r="F139" s="25" t="s">
        <v>119</v>
      </c>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25"/>
      <c r="AG139" s="25"/>
      <c r="AH139" s="25"/>
      <c r="AI139" s="25"/>
      <c r="AJ139" s="25"/>
      <c r="AK139" s="25"/>
      <c r="AL139" s="25"/>
      <c r="AM139" s="25"/>
      <c r="AN139" s="25"/>
      <c r="AO139" s="25"/>
      <c r="AP139" s="25"/>
      <c r="AQ139" s="25"/>
      <c r="AR139" s="25"/>
      <c r="AS139" s="25"/>
      <c r="AT139" s="25"/>
      <c r="AU139" s="25"/>
      <c r="AV139" s="25"/>
      <c r="AW139" s="25"/>
      <c r="AX139" s="25"/>
      <c r="AY139" s="25"/>
      <c r="AZ139" s="25"/>
      <c r="BA139" s="25"/>
      <c r="BB139" s="25"/>
      <c r="BC139" s="25"/>
      <c r="BD139" s="25"/>
      <c r="BE139" s="25"/>
      <c r="BF139" s="25"/>
      <c r="BG139" s="25"/>
      <c r="BH139" s="25"/>
      <c r="BI139" s="25"/>
      <c r="BJ139" s="25"/>
      <c r="BK139" s="25"/>
      <c r="BL139" s="25"/>
      <c r="BM139" s="25"/>
    </row>
    <row r="140" spans="1:66">
      <c r="F140" s="18"/>
      <c r="G140" s="17"/>
    </row>
    <row r="141" spans="1:66" ht="13">
      <c r="F141" s="26" t="s">
        <v>174</v>
      </c>
      <c r="G141" s="17"/>
    </row>
    <row r="142" spans="1:66">
      <c r="F142" s="18"/>
      <c r="G142" s="17"/>
    </row>
    <row r="143" spans="1:66">
      <c r="F143" s="40" t="s">
        <v>99</v>
      </c>
      <c r="G143" s="17" t="str">
        <f>cstConstantUnit</f>
        <v>£ 2022/23</v>
      </c>
      <c r="K143" s="9" cm="1">
        <f t="array" ref="K143">INDEX(iOptions!$M62:$O62,1,ActiveCostScenarioIndex)</f>
        <v>200000</v>
      </c>
      <c r="AA143" s="39"/>
      <c r="AB143" s="39"/>
      <c r="AC143" s="39"/>
      <c r="AD143" s="39"/>
      <c r="AE143" s="39"/>
      <c r="AF143" s="39"/>
      <c r="AG143" s="39"/>
      <c r="AH143" s="39"/>
      <c r="AI143" s="39"/>
      <c r="AJ143" s="39"/>
      <c r="AK143" s="39"/>
      <c r="AL143" s="39"/>
      <c r="AM143" s="39"/>
      <c r="AN143" s="39"/>
      <c r="AO143" s="39"/>
      <c r="AP143" s="39"/>
      <c r="AQ143" s="39"/>
      <c r="AR143" s="39"/>
      <c r="AS143" s="39"/>
      <c r="AT143" s="39"/>
      <c r="AU143" s="39"/>
      <c r="AV143" s="39"/>
      <c r="AW143" s="39"/>
      <c r="AX143" s="39"/>
      <c r="AY143" s="39"/>
      <c r="AZ143" s="39"/>
      <c r="BA143" s="39"/>
      <c r="BB143" s="39"/>
      <c r="BC143" s="39"/>
      <c r="BD143" s="39"/>
      <c r="BE143" s="39"/>
      <c r="BG143" s="39"/>
      <c r="BH143" s="39"/>
      <c r="BI143" s="39"/>
      <c r="BJ143" s="39"/>
      <c r="BK143" s="39"/>
      <c r="BL143" s="39"/>
      <c r="BM143" s="39"/>
    </row>
    <row r="144" spans="1:66">
      <c r="F144" s="40" t="s">
        <v>100</v>
      </c>
      <c r="G144" s="17" t="str">
        <f>cstPercent</f>
        <v>%</v>
      </c>
      <c r="K144" s="11" cm="1">
        <f t="array" ref="K144">INDEX(iOptions!$M63:$O63,1,ActiveCostScenarioIndex)</f>
        <v>0.2</v>
      </c>
      <c r="AA144" s="39"/>
      <c r="AB144" s="39"/>
      <c r="AC144" s="39"/>
      <c r="AD144" s="39"/>
      <c r="AE144" s="39"/>
      <c r="AF144" s="39"/>
      <c r="AG144" s="39"/>
      <c r="AH144" s="39"/>
      <c r="AI144" s="39"/>
      <c r="AJ144" s="39"/>
      <c r="AK144" s="39"/>
      <c r="AL144" s="39"/>
      <c r="AM144" s="39"/>
      <c r="AN144" s="39"/>
      <c r="AO144" s="39"/>
      <c r="AP144" s="39"/>
      <c r="AQ144" s="39"/>
      <c r="AR144" s="39"/>
      <c r="AS144" s="39"/>
      <c r="AT144" s="39"/>
      <c r="AU144" s="39"/>
      <c r="AV144" s="39"/>
      <c r="AW144" s="39"/>
      <c r="AX144" s="39"/>
      <c r="AY144" s="39"/>
      <c r="AZ144" s="39"/>
      <c r="BA144" s="39"/>
      <c r="BB144" s="39"/>
      <c r="BC144" s="39"/>
      <c r="BD144" s="39"/>
      <c r="BE144" s="39"/>
      <c r="BG144" s="39"/>
      <c r="BH144" s="39"/>
      <c r="BI144" s="39"/>
      <c r="BJ144" s="39"/>
      <c r="BK144" s="39"/>
      <c r="BL144" s="39"/>
      <c r="BM144" s="39"/>
    </row>
    <row r="145" spans="6:65">
      <c r="F145" s="40" t="s">
        <v>101</v>
      </c>
      <c r="G145" s="17" t="str">
        <f>cstConstantUnit</f>
        <v>£ 2022/23</v>
      </c>
      <c r="K145" s="9" cm="1">
        <f t="array" ref="K145">INDEX(iOptions!$M64:$O64,1,ActiveCostScenarioIndex)</f>
        <v>400</v>
      </c>
      <c r="AA145" s="39"/>
      <c r="AB145" s="39"/>
      <c r="AC145" s="39"/>
      <c r="AD145" s="39"/>
      <c r="AE145" s="39"/>
      <c r="AF145" s="39"/>
      <c r="AG145" s="39"/>
      <c r="AH145" s="39"/>
      <c r="AI145" s="39"/>
      <c r="AJ145" s="39"/>
      <c r="AK145" s="39"/>
      <c r="AL145" s="39"/>
      <c r="AM145" s="39"/>
      <c r="AN145" s="39"/>
      <c r="AO145" s="39"/>
      <c r="AP145" s="39"/>
      <c r="AQ145" s="39"/>
      <c r="AR145" s="39"/>
      <c r="AS145" s="39"/>
      <c r="AT145" s="39"/>
      <c r="AU145" s="39"/>
      <c r="AV145" s="39"/>
      <c r="AW145" s="39"/>
      <c r="AX145" s="39"/>
      <c r="AY145" s="39"/>
      <c r="AZ145" s="39"/>
      <c r="BA145" s="39"/>
      <c r="BB145" s="39"/>
      <c r="BC145" s="39"/>
      <c r="BD145" s="39"/>
      <c r="BE145" s="39"/>
      <c r="BG145" s="39"/>
      <c r="BH145" s="39"/>
      <c r="BI145" s="39"/>
      <c r="BJ145" s="39"/>
      <c r="BK145" s="39"/>
      <c r="BL145" s="39"/>
      <c r="BM145" s="39"/>
    </row>
    <row r="146" spans="6:65" customFormat="1">
      <c r="AA146" s="40"/>
    </row>
    <row r="147" spans="6:65">
      <c r="F147" s="40" t="s">
        <v>230</v>
      </c>
      <c r="G147" s="17" t="str">
        <f>cstNum</f>
        <v>#</v>
      </c>
      <c r="K147"/>
      <c r="AA147" s="10">
        <f>cVolumetrics!AA54</f>
        <v>0</v>
      </c>
      <c r="AB147" s="10">
        <f>cVolumetrics!AB54</f>
        <v>47.071129707112974</v>
      </c>
      <c r="AC147" s="10">
        <f>cVolumetrics!AC54</f>
        <v>47.071129707112974</v>
      </c>
      <c r="AD147" s="10">
        <f>cVolumetrics!AD54</f>
        <v>47.071129707112974</v>
      </c>
      <c r="AE147" s="10">
        <f>cVolumetrics!AE54</f>
        <v>47.071129707112974</v>
      </c>
      <c r="AF147" s="10">
        <f>cVolumetrics!AF54</f>
        <v>47.071129707112974</v>
      </c>
      <c r="AG147" s="10">
        <f>cVolumetrics!AG54</f>
        <v>47.071129707112974</v>
      </c>
      <c r="AH147" s="10">
        <f>cVolumetrics!AH54</f>
        <v>47.071129707112974</v>
      </c>
      <c r="AI147" s="10">
        <f>cVolumetrics!AI54</f>
        <v>47.071129707112974</v>
      </c>
      <c r="AJ147" s="10">
        <f>cVolumetrics!AJ54</f>
        <v>47.071129707112974</v>
      </c>
      <c r="AK147" s="10">
        <f>cVolumetrics!AK54</f>
        <v>47.071129707112974</v>
      </c>
      <c r="AL147" s="10">
        <f>cVolumetrics!AL54</f>
        <v>47.071129707112974</v>
      </c>
      <c r="AM147" s="10">
        <f>cVolumetrics!AM54</f>
        <v>47.071129707112974</v>
      </c>
      <c r="AN147" s="10">
        <f>cVolumetrics!AN54</f>
        <v>47.071129707112974</v>
      </c>
      <c r="AO147" s="10">
        <f>cVolumetrics!AO54</f>
        <v>47.071129707112974</v>
      </c>
      <c r="AP147" s="10">
        <f>cVolumetrics!AP54</f>
        <v>47.071129707112974</v>
      </c>
      <c r="AQ147" s="10">
        <f>cVolumetrics!AQ54</f>
        <v>47.071129707112974</v>
      </c>
      <c r="AR147" s="10">
        <f>cVolumetrics!AR54</f>
        <v>47.071129707112974</v>
      </c>
      <c r="AS147" s="10">
        <f>cVolumetrics!AS54</f>
        <v>47.071129707112974</v>
      </c>
      <c r="AT147" s="10">
        <f>cVolumetrics!AT54</f>
        <v>47.071129707112974</v>
      </c>
      <c r="AU147" s="10">
        <f>cVolumetrics!AU54</f>
        <v>47.071129707112974</v>
      </c>
      <c r="AV147" s="10">
        <f>cVolumetrics!AV54</f>
        <v>47.071129707112974</v>
      </c>
      <c r="AW147" s="10">
        <f>cVolumetrics!AW54</f>
        <v>47.071129707112974</v>
      </c>
      <c r="AX147" s="10">
        <f>cVolumetrics!AX54</f>
        <v>47.071129707112974</v>
      </c>
      <c r="AY147" s="10">
        <f>cVolumetrics!AY54</f>
        <v>47.071129707112974</v>
      </c>
      <c r="AZ147" s="10">
        <f>cVolumetrics!AZ54</f>
        <v>47.071129707112974</v>
      </c>
      <c r="BA147" s="10">
        <f>cVolumetrics!BA54</f>
        <v>47.071129707112974</v>
      </c>
      <c r="BB147" s="10">
        <f>cVolumetrics!BB54</f>
        <v>47.071129707112974</v>
      </c>
      <c r="BC147" s="10">
        <f>cVolumetrics!BC54</f>
        <v>47.071129707112974</v>
      </c>
      <c r="BD147" s="10">
        <f>cVolumetrics!BD54</f>
        <v>47.071129707112974</v>
      </c>
      <c r="BE147" s="10">
        <f>cVolumetrics!BE54</f>
        <v>47.071129707112974</v>
      </c>
      <c r="BG147" s="39"/>
      <c r="BH147" s="39"/>
      <c r="BI147" s="39"/>
      <c r="BJ147" s="39"/>
      <c r="BK147" s="39"/>
      <c r="BL147" s="39"/>
      <c r="BM147" s="39"/>
    </row>
    <row r="148" spans="6:65">
      <c r="AB148"/>
      <c r="AC148"/>
      <c r="AD148"/>
      <c r="AE148"/>
      <c r="AF148"/>
      <c r="AG148"/>
      <c r="AH148"/>
      <c r="AI148"/>
      <c r="AJ148"/>
      <c r="AK148"/>
      <c r="AL148"/>
      <c r="AM148"/>
      <c r="AN148"/>
      <c r="AO148"/>
      <c r="AP148"/>
      <c r="AQ148"/>
      <c r="AR148"/>
      <c r="AS148"/>
      <c r="AT148"/>
      <c r="AU148"/>
      <c r="AV148"/>
      <c r="AW148"/>
      <c r="AX148"/>
      <c r="AY148"/>
      <c r="AZ148"/>
      <c r="BA148"/>
      <c r="BB148"/>
      <c r="BC148"/>
      <c r="BD148"/>
      <c r="BE148"/>
    </row>
    <row r="149" spans="6:65">
      <c r="F149" s="40" t="s">
        <v>228</v>
      </c>
      <c r="G149" s="17" t="str">
        <f>cstConstantUnit</f>
        <v>£ 2022/23</v>
      </c>
      <c r="K149" s="9" cm="1">
        <f t="array" ref="K149">INDEX(iOptions!$M68:$O68,1,ActiveCostScenarioIndex)</f>
        <v>25000</v>
      </c>
      <c r="AA149" s="39"/>
      <c r="AB149" s="39"/>
      <c r="AC149" s="39"/>
      <c r="AD149" s="39"/>
      <c r="AE149" s="39"/>
      <c r="AF149" s="39"/>
      <c r="AG149" s="39"/>
      <c r="AH149" s="39"/>
      <c r="AI149" s="39"/>
      <c r="AJ149" s="39"/>
      <c r="AK149" s="39"/>
      <c r="AL149" s="39"/>
      <c r="AM149" s="39"/>
      <c r="AN149" s="39"/>
      <c r="AO149" s="39"/>
      <c r="AP149" s="39"/>
      <c r="AQ149" s="39"/>
      <c r="AR149" s="39"/>
      <c r="AS149" s="39"/>
      <c r="AT149" s="39"/>
      <c r="AU149" s="39"/>
      <c r="AV149" s="39"/>
      <c r="AW149" s="39"/>
      <c r="AX149" s="39"/>
      <c r="AY149" s="39"/>
      <c r="AZ149" s="39"/>
      <c r="BA149" s="39"/>
      <c r="BB149" s="39"/>
      <c r="BC149" s="39"/>
      <c r="BD149" s="39"/>
      <c r="BE149" s="39"/>
      <c r="BG149" s="39"/>
      <c r="BH149" s="39"/>
      <c r="BI149" s="39"/>
      <c r="BJ149" s="39"/>
      <c r="BK149" s="39"/>
      <c r="BL149" s="39"/>
      <c r="BM149" s="39"/>
    </row>
    <row r="150" spans="6:65">
      <c r="F150" s="40" t="s">
        <v>104</v>
      </c>
      <c r="G150" s="17" t="str">
        <f>cstPercent</f>
        <v>%</v>
      </c>
      <c r="K150" s="11">
        <f>iOptions!N69</f>
        <v>0.5</v>
      </c>
      <c r="AA150" s="39"/>
      <c r="AB150" s="39"/>
      <c r="AC150" s="39"/>
      <c r="AD150" s="39"/>
      <c r="AE150" s="39"/>
      <c r="AF150" s="39"/>
      <c r="AG150" s="39"/>
      <c r="AH150" s="39"/>
      <c r="AI150" s="39"/>
      <c r="AJ150" s="39"/>
      <c r="AK150" s="39"/>
      <c r="AL150" s="39"/>
      <c r="AM150" s="39"/>
      <c r="AN150" s="39"/>
      <c r="AO150" s="39"/>
      <c r="AP150" s="39"/>
      <c r="AQ150" s="39"/>
      <c r="AR150" s="39"/>
      <c r="AS150" s="39"/>
      <c r="AT150" s="39"/>
      <c r="AU150" s="39"/>
      <c r="AV150" s="39"/>
      <c r="AW150" s="39"/>
      <c r="AX150" s="39"/>
      <c r="AY150" s="39"/>
      <c r="AZ150" s="39"/>
      <c r="BA150" s="39"/>
      <c r="BB150" s="39"/>
      <c r="BC150" s="39"/>
      <c r="BD150" s="39"/>
      <c r="BE150" s="39"/>
      <c r="BG150" s="39"/>
      <c r="BH150" s="39"/>
      <c r="BI150" s="39"/>
      <c r="BJ150" s="39"/>
      <c r="BK150" s="39"/>
      <c r="BL150" s="39"/>
      <c r="BM150" s="39"/>
    </row>
    <row r="151" spans="6:65">
      <c r="F151" s="40" t="s">
        <v>105</v>
      </c>
      <c r="G151" s="17" t="str">
        <f>cstYears</f>
        <v>Yrs</v>
      </c>
      <c r="K151" s="9">
        <f>iOptions!N70</f>
        <v>5</v>
      </c>
      <c r="AA151" s="39"/>
      <c r="AB151" s="39"/>
      <c r="AC151" s="39"/>
      <c r="AD151" s="39"/>
      <c r="AE151" s="39"/>
      <c r="AF151" s="39"/>
      <c r="AG151" s="39"/>
      <c r="AH151" s="39"/>
      <c r="AI151" s="39"/>
      <c r="AJ151" s="39"/>
      <c r="AK151" s="39"/>
      <c r="AL151" s="39"/>
      <c r="AM151" s="39"/>
      <c r="AN151" s="39"/>
      <c r="AO151" s="39"/>
      <c r="AP151" s="39"/>
      <c r="AQ151" s="39"/>
      <c r="AR151" s="39"/>
      <c r="AS151" s="39"/>
      <c r="AT151" s="39"/>
      <c r="AU151" s="39"/>
      <c r="AV151" s="39"/>
      <c r="AW151" s="39"/>
      <c r="AX151" s="39"/>
      <c r="AY151" s="39"/>
      <c r="AZ151" s="39"/>
      <c r="BA151" s="39"/>
      <c r="BB151" s="39"/>
      <c r="BC151" s="39"/>
      <c r="BD151" s="39"/>
      <c r="BE151" s="39"/>
      <c r="BG151" s="39"/>
      <c r="BH151" s="39"/>
      <c r="BI151" s="39"/>
      <c r="BJ151" s="39"/>
      <c r="BK151" s="39"/>
      <c r="BL151" s="39"/>
      <c r="BM151" s="39"/>
    </row>
    <row r="152" spans="6:65">
      <c r="AB152"/>
      <c r="AC152"/>
      <c r="AD152"/>
      <c r="AE152"/>
      <c r="AF152"/>
      <c r="AG152"/>
      <c r="AH152"/>
      <c r="AI152"/>
      <c r="AJ152"/>
      <c r="AK152"/>
      <c r="AL152"/>
      <c r="AM152"/>
      <c r="AN152"/>
      <c r="AO152"/>
      <c r="AP152"/>
      <c r="AQ152"/>
      <c r="AR152"/>
      <c r="AS152"/>
      <c r="AT152"/>
      <c r="AU152"/>
      <c r="AV152"/>
      <c r="AW152"/>
      <c r="AX152"/>
      <c r="AY152"/>
      <c r="AZ152"/>
      <c r="BA152"/>
      <c r="BB152"/>
      <c r="BC152"/>
      <c r="BD152"/>
      <c r="BE152"/>
    </row>
    <row r="153" spans="6:65">
      <c r="F153" s="40" t="s">
        <v>234</v>
      </c>
      <c r="G153" s="17" t="str">
        <f>cstConstantUnit</f>
        <v>£ 2022/23</v>
      </c>
      <c r="K153" s="9" cm="1">
        <f t="array" ref="K153">INDEX(iOptions!$M$74:$O$74,1,ActiveCostScenarioIndex)</f>
        <v>200000</v>
      </c>
      <c r="AA153" s="39"/>
      <c r="AB153" s="39"/>
      <c r="AC153" s="39"/>
      <c r="AD153" s="39"/>
      <c r="AE153" s="39"/>
      <c r="AF153" s="39"/>
      <c r="AG153" s="39"/>
      <c r="AH153" s="39"/>
      <c r="AI153" s="39"/>
      <c r="AJ153" s="39"/>
      <c r="AK153" s="39"/>
      <c r="AL153" s="39"/>
      <c r="AM153" s="39"/>
      <c r="AN153" s="39"/>
      <c r="AO153" s="39"/>
      <c r="AP153" s="39"/>
      <c r="AQ153" s="39"/>
      <c r="AR153" s="39"/>
      <c r="AS153" s="39"/>
      <c r="AT153" s="39"/>
      <c r="AU153" s="39"/>
      <c r="AV153" s="39"/>
      <c r="AW153" s="39"/>
      <c r="AX153" s="39"/>
      <c r="AY153" s="39"/>
      <c r="AZ153" s="39"/>
      <c r="BA153" s="39"/>
      <c r="BB153" s="39"/>
      <c r="BC153" s="39"/>
      <c r="BD153" s="39"/>
      <c r="BE153" s="39"/>
      <c r="BG153" s="39"/>
      <c r="BH153" s="39"/>
      <c r="BI153" s="39"/>
      <c r="BJ153" s="39"/>
      <c r="BK153" s="39"/>
      <c r="BL153" s="39"/>
      <c r="BM153" s="39"/>
    </row>
    <row r="154" spans="6:65">
      <c r="F154" s="40" t="s">
        <v>104</v>
      </c>
      <c r="G154" s="17" t="str">
        <f>cstPercent</f>
        <v>%</v>
      </c>
      <c r="K154" s="11">
        <f>iOptions!N75</f>
        <v>0.5</v>
      </c>
      <c r="AA154" s="39"/>
      <c r="AB154" s="39"/>
      <c r="AC154" s="39"/>
      <c r="AD154" s="39"/>
      <c r="AE154" s="39"/>
      <c r="AF154" s="39"/>
      <c r="AG154" s="39"/>
      <c r="AH154" s="39"/>
      <c r="AI154" s="39"/>
      <c r="AJ154" s="39"/>
      <c r="AK154" s="39"/>
      <c r="AL154" s="39"/>
      <c r="AM154" s="39"/>
      <c r="AN154" s="39"/>
      <c r="AO154" s="39"/>
      <c r="AP154" s="39"/>
      <c r="AQ154" s="39"/>
      <c r="AR154" s="39"/>
      <c r="AS154" s="39"/>
      <c r="AT154" s="39"/>
      <c r="AU154" s="39"/>
      <c r="AV154" s="39"/>
      <c r="AW154" s="39"/>
      <c r="AX154" s="39"/>
      <c r="AY154" s="39"/>
      <c r="AZ154" s="39"/>
      <c r="BA154" s="39"/>
      <c r="BB154" s="39"/>
      <c r="BC154" s="39"/>
      <c r="BD154" s="39"/>
      <c r="BE154" s="39"/>
      <c r="BG154" s="39"/>
      <c r="BH154" s="39"/>
      <c r="BI154" s="39"/>
      <c r="BJ154" s="39"/>
      <c r="BK154" s="39"/>
      <c r="BL154" s="39"/>
      <c r="BM154" s="39"/>
    </row>
    <row r="155" spans="6:65">
      <c r="F155" s="40" t="s">
        <v>105</v>
      </c>
      <c r="G155" s="17" t="str">
        <f>cstYears</f>
        <v>Yrs</v>
      </c>
      <c r="K155" s="9">
        <f>iOptions!N76</f>
        <v>5</v>
      </c>
      <c r="AA155" s="39"/>
      <c r="AB155" s="39"/>
      <c r="AC155" s="39"/>
      <c r="AD155" s="39"/>
      <c r="AE155" s="39"/>
      <c r="AF155" s="39"/>
      <c r="AG155" s="39"/>
      <c r="AH155" s="39"/>
      <c r="AI155" s="39"/>
      <c r="AJ155" s="39"/>
      <c r="AK155" s="39"/>
      <c r="AL155" s="39"/>
      <c r="AM155" s="39"/>
      <c r="AN155" s="39"/>
      <c r="AO155" s="39"/>
      <c r="AP155" s="39"/>
      <c r="AQ155" s="39"/>
      <c r="AR155" s="39"/>
      <c r="AS155" s="39"/>
      <c r="AT155" s="39"/>
      <c r="AU155" s="39"/>
      <c r="AV155" s="39"/>
      <c r="AW155" s="39"/>
      <c r="AX155" s="39"/>
      <c r="AY155" s="39"/>
      <c r="AZ155" s="39"/>
      <c r="BA155" s="39"/>
      <c r="BB155" s="39"/>
      <c r="BC155" s="39"/>
      <c r="BD155" s="39"/>
      <c r="BE155" s="39"/>
      <c r="BG155" s="39"/>
      <c r="BH155" s="39"/>
      <c r="BI155" s="39"/>
      <c r="BJ155" s="39"/>
      <c r="BK155" s="39"/>
      <c r="BL155" s="39"/>
      <c r="BM155" s="39"/>
    </row>
    <row r="157" spans="6:65" ht="13">
      <c r="F157" s="26" t="s">
        <v>327</v>
      </c>
    </row>
    <row r="158" spans="6:65">
      <c r="F158" s="18"/>
      <c r="G158" s="17"/>
    </row>
    <row r="159" spans="6:65">
      <c r="F159" s="40" t="s">
        <v>99</v>
      </c>
      <c r="G159" s="17" t="str">
        <f>cstConstantUnit</f>
        <v>£ 2022/23</v>
      </c>
      <c r="AA159" s="14">
        <f>AA$22*$K143</f>
        <v>0</v>
      </c>
      <c r="AB159" s="14">
        <f t="shared" ref="AB159:BE159" si="34">AB$22*$K143</f>
        <v>200000</v>
      </c>
      <c r="AC159" s="14">
        <f t="shared" si="34"/>
        <v>0</v>
      </c>
      <c r="AD159" s="14">
        <f t="shared" si="34"/>
        <v>0</v>
      </c>
      <c r="AE159" s="14">
        <f t="shared" si="34"/>
        <v>0</v>
      </c>
      <c r="AF159" s="14">
        <f t="shared" si="34"/>
        <v>0</v>
      </c>
      <c r="AG159" s="14">
        <f t="shared" si="34"/>
        <v>0</v>
      </c>
      <c r="AH159" s="14">
        <f t="shared" si="34"/>
        <v>0</v>
      </c>
      <c r="AI159" s="14">
        <f t="shared" si="34"/>
        <v>0</v>
      </c>
      <c r="AJ159" s="14">
        <f t="shared" si="34"/>
        <v>0</v>
      </c>
      <c r="AK159" s="14">
        <f t="shared" si="34"/>
        <v>0</v>
      </c>
      <c r="AL159" s="14">
        <f t="shared" si="34"/>
        <v>0</v>
      </c>
      <c r="AM159" s="14">
        <f t="shared" si="34"/>
        <v>0</v>
      </c>
      <c r="AN159" s="14">
        <f t="shared" si="34"/>
        <v>0</v>
      </c>
      <c r="AO159" s="14">
        <f t="shared" si="34"/>
        <v>0</v>
      </c>
      <c r="AP159" s="14">
        <f t="shared" si="34"/>
        <v>0</v>
      </c>
      <c r="AQ159" s="14">
        <f t="shared" si="34"/>
        <v>0</v>
      </c>
      <c r="AR159" s="14">
        <f t="shared" si="34"/>
        <v>0</v>
      </c>
      <c r="AS159" s="14">
        <f t="shared" si="34"/>
        <v>0</v>
      </c>
      <c r="AT159" s="14">
        <f t="shared" si="34"/>
        <v>0</v>
      </c>
      <c r="AU159" s="14">
        <f t="shared" si="34"/>
        <v>0</v>
      </c>
      <c r="AV159" s="14">
        <f t="shared" si="34"/>
        <v>0</v>
      </c>
      <c r="AW159" s="14">
        <f t="shared" si="34"/>
        <v>0</v>
      </c>
      <c r="AX159" s="14">
        <f t="shared" si="34"/>
        <v>0</v>
      </c>
      <c r="AY159" s="14">
        <f t="shared" si="34"/>
        <v>0</v>
      </c>
      <c r="AZ159" s="14">
        <f t="shared" si="34"/>
        <v>0</v>
      </c>
      <c r="BA159" s="14">
        <f t="shared" si="34"/>
        <v>0</v>
      </c>
      <c r="BB159" s="14">
        <f t="shared" si="34"/>
        <v>0</v>
      </c>
      <c r="BC159" s="14">
        <f t="shared" si="34"/>
        <v>0</v>
      </c>
      <c r="BD159" s="14">
        <f t="shared" si="34"/>
        <v>0</v>
      </c>
      <c r="BE159" s="14">
        <f t="shared" si="34"/>
        <v>0</v>
      </c>
      <c r="BG159" s="14">
        <f>SUMIFS($AA159:$BE159,$AA$2:$BE$2,"&gt;="&amp;BG$2,$AA$3:$BE$3,"&lt;="&amp;BG$3)</f>
        <v>0</v>
      </c>
      <c r="BH159" s="14">
        <f t="shared" ref="BH159:BM159" si="35">SUMIFS($AA159:$BE159,$AA$2:$BE$2,"&gt;="&amp;BH$2,$AA$3:$BE$3,"&lt;="&amp;BH$3)</f>
        <v>200000</v>
      </c>
      <c r="BI159" s="14">
        <f t="shared" si="35"/>
        <v>0</v>
      </c>
      <c r="BJ159" s="14">
        <f t="shared" si="35"/>
        <v>0</v>
      </c>
      <c r="BK159" s="14">
        <f t="shared" si="35"/>
        <v>0</v>
      </c>
      <c r="BL159" s="14">
        <f t="shared" si="35"/>
        <v>0</v>
      </c>
      <c r="BM159" s="14">
        <f t="shared" si="35"/>
        <v>0</v>
      </c>
    </row>
    <row r="160" spans="6:65" customFormat="1"/>
    <row r="161" spans="6:65">
      <c r="F161" s="40" t="s">
        <v>229</v>
      </c>
      <c r="G161" s="17" t="str">
        <f>cstConstantUnit</f>
        <v>£ 2022/23</v>
      </c>
      <c r="AA161" s="14">
        <f t="shared" ref="AA161:BE161" si="36">$K143*$K144*AA20</f>
        <v>0</v>
      </c>
      <c r="AB161" s="14">
        <f t="shared" si="36"/>
        <v>40000</v>
      </c>
      <c r="AC161" s="14">
        <f t="shared" si="36"/>
        <v>40000</v>
      </c>
      <c r="AD161" s="14">
        <f t="shared" si="36"/>
        <v>40000</v>
      </c>
      <c r="AE161" s="14">
        <f t="shared" si="36"/>
        <v>40000</v>
      </c>
      <c r="AF161" s="14">
        <f t="shared" si="36"/>
        <v>40000</v>
      </c>
      <c r="AG161" s="14">
        <f t="shared" si="36"/>
        <v>40000</v>
      </c>
      <c r="AH161" s="14">
        <f t="shared" si="36"/>
        <v>40000</v>
      </c>
      <c r="AI161" s="14">
        <f t="shared" si="36"/>
        <v>40000</v>
      </c>
      <c r="AJ161" s="14">
        <f t="shared" si="36"/>
        <v>40000</v>
      </c>
      <c r="AK161" s="14">
        <f t="shared" si="36"/>
        <v>40000</v>
      </c>
      <c r="AL161" s="14">
        <f t="shared" si="36"/>
        <v>40000</v>
      </c>
      <c r="AM161" s="14">
        <f t="shared" si="36"/>
        <v>40000</v>
      </c>
      <c r="AN161" s="14">
        <f t="shared" si="36"/>
        <v>40000</v>
      </c>
      <c r="AO161" s="14">
        <f t="shared" si="36"/>
        <v>40000</v>
      </c>
      <c r="AP161" s="14">
        <f t="shared" si="36"/>
        <v>40000</v>
      </c>
      <c r="AQ161" s="14">
        <f t="shared" si="36"/>
        <v>40000</v>
      </c>
      <c r="AR161" s="14">
        <f t="shared" si="36"/>
        <v>40000</v>
      </c>
      <c r="AS161" s="14">
        <f t="shared" si="36"/>
        <v>40000</v>
      </c>
      <c r="AT161" s="14">
        <f t="shared" si="36"/>
        <v>40000</v>
      </c>
      <c r="AU161" s="14">
        <f t="shared" si="36"/>
        <v>40000</v>
      </c>
      <c r="AV161" s="14">
        <f t="shared" si="36"/>
        <v>40000</v>
      </c>
      <c r="AW161" s="14">
        <f t="shared" si="36"/>
        <v>40000</v>
      </c>
      <c r="AX161" s="14">
        <f t="shared" si="36"/>
        <v>40000</v>
      </c>
      <c r="AY161" s="14">
        <f t="shared" si="36"/>
        <v>40000</v>
      </c>
      <c r="AZ161" s="14">
        <f t="shared" si="36"/>
        <v>40000</v>
      </c>
      <c r="BA161" s="14">
        <f t="shared" si="36"/>
        <v>40000</v>
      </c>
      <c r="BB161" s="14">
        <f t="shared" si="36"/>
        <v>40000</v>
      </c>
      <c r="BC161" s="14">
        <f t="shared" si="36"/>
        <v>40000</v>
      </c>
      <c r="BD161" s="14">
        <f t="shared" si="36"/>
        <v>40000</v>
      </c>
      <c r="BE161" s="14">
        <f t="shared" si="36"/>
        <v>40000</v>
      </c>
      <c r="BG161" s="14">
        <f>SUMIFS($AA161:$BE161,$AA$2:$BE$2,"&gt;="&amp;BG$2,$AA$3:$BE$3,"&lt;="&amp;BG$3)</f>
        <v>0</v>
      </c>
      <c r="BH161" s="14">
        <f t="shared" ref="BH161:BM161" si="37">SUMIFS($AA161:$BE161,$AA$2:$BE$2,"&gt;="&amp;BH$2,$AA$3:$BE$3,"&lt;="&amp;BH$3)</f>
        <v>200000</v>
      </c>
      <c r="BI161" s="14">
        <f t="shared" si="37"/>
        <v>200000</v>
      </c>
      <c r="BJ161" s="14">
        <f t="shared" si="37"/>
        <v>200000</v>
      </c>
      <c r="BK161" s="14">
        <f t="shared" si="37"/>
        <v>200000</v>
      </c>
      <c r="BL161" s="14">
        <f t="shared" si="37"/>
        <v>200000</v>
      </c>
      <c r="BM161" s="14">
        <f t="shared" si="37"/>
        <v>200000</v>
      </c>
    </row>
    <row r="162" spans="6:65" customFormat="1"/>
    <row r="163" spans="6:65">
      <c r="F163" s="40" t="s">
        <v>231</v>
      </c>
      <c r="G163" s="17" t="str">
        <f>cstConstantUnit</f>
        <v>£ 2022/23</v>
      </c>
      <c r="AA163" s="14">
        <f t="shared" ref="AA163:BE163" si="38">AA147*$K145*AA20</f>
        <v>0</v>
      </c>
      <c r="AB163" s="14">
        <f t="shared" si="38"/>
        <v>18828.451882845191</v>
      </c>
      <c r="AC163" s="14">
        <f t="shared" si="38"/>
        <v>18828.451882845191</v>
      </c>
      <c r="AD163" s="14">
        <f t="shared" si="38"/>
        <v>18828.451882845191</v>
      </c>
      <c r="AE163" s="14">
        <f t="shared" si="38"/>
        <v>18828.451882845191</v>
      </c>
      <c r="AF163" s="14">
        <f t="shared" si="38"/>
        <v>18828.451882845191</v>
      </c>
      <c r="AG163" s="14">
        <f t="shared" si="38"/>
        <v>18828.451882845191</v>
      </c>
      <c r="AH163" s="14">
        <f t="shared" si="38"/>
        <v>18828.451882845191</v>
      </c>
      <c r="AI163" s="14">
        <f t="shared" si="38"/>
        <v>18828.451882845191</v>
      </c>
      <c r="AJ163" s="14">
        <f t="shared" si="38"/>
        <v>18828.451882845191</v>
      </c>
      <c r="AK163" s="14">
        <f t="shared" si="38"/>
        <v>18828.451882845191</v>
      </c>
      <c r="AL163" s="14">
        <f t="shared" si="38"/>
        <v>18828.451882845191</v>
      </c>
      <c r="AM163" s="14">
        <f t="shared" si="38"/>
        <v>18828.451882845191</v>
      </c>
      <c r="AN163" s="14">
        <f t="shared" si="38"/>
        <v>18828.451882845191</v>
      </c>
      <c r="AO163" s="14">
        <f t="shared" si="38"/>
        <v>18828.451882845191</v>
      </c>
      <c r="AP163" s="14">
        <f t="shared" si="38"/>
        <v>18828.451882845191</v>
      </c>
      <c r="AQ163" s="14">
        <f t="shared" si="38"/>
        <v>18828.451882845191</v>
      </c>
      <c r="AR163" s="14">
        <f t="shared" si="38"/>
        <v>18828.451882845191</v>
      </c>
      <c r="AS163" s="14">
        <f t="shared" si="38"/>
        <v>18828.451882845191</v>
      </c>
      <c r="AT163" s="14">
        <f t="shared" si="38"/>
        <v>18828.451882845191</v>
      </c>
      <c r="AU163" s="14">
        <f t="shared" si="38"/>
        <v>18828.451882845191</v>
      </c>
      <c r="AV163" s="14">
        <f t="shared" si="38"/>
        <v>18828.451882845191</v>
      </c>
      <c r="AW163" s="14">
        <f t="shared" si="38"/>
        <v>18828.451882845191</v>
      </c>
      <c r="AX163" s="14">
        <f t="shared" si="38"/>
        <v>18828.451882845191</v>
      </c>
      <c r="AY163" s="14">
        <f t="shared" si="38"/>
        <v>18828.451882845191</v>
      </c>
      <c r="AZ163" s="14">
        <f t="shared" si="38"/>
        <v>18828.451882845191</v>
      </c>
      <c r="BA163" s="14">
        <f t="shared" si="38"/>
        <v>18828.451882845191</v>
      </c>
      <c r="BB163" s="14">
        <f t="shared" si="38"/>
        <v>18828.451882845191</v>
      </c>
      <c r="BC163" s="14">
        <f t="shared" si="38"/>
        <v>18828.451882845191</v>
      </c>
      <c r="BD163" s="14">
        <f t="shared" si="38"/>
        <v>18828.451882845191</v>
      </c>
      <c r="BE163" s="14">
        <f t="shared" si="38"/>
        <v>18828.451882845191</v>
      </c>
      <c r="BG163" s="14">
        <f>SUMIFS($AA163:$BE163,$AA$2:$BE$2,"&gt;="&amp;BG$2,$AA$3:$BE$3,"&lt;="&amp;BG$3)</f>
        <v>0</v>
      </c>
      <c r="BH163" s="14">
        <f t="shared" ref="BH163:BM163" si="39">SUMIFS($AA163:$BE163,$AA$2:$BE$2,"&gt;="&amp;BH$2,$AA$3:$BE$3,"&lt;="&amp;BH$3)</f>
        <v>94142.259414225962</v>
      </c>
      <c r="BI163" s="14">
        <f t="shared" si="39"/>
        <v>94142.259414225962</v>
      </c>
      <c r="BJ163" s="14">
        <f t="shared" si="39"/>
        <v>94142.259414225962</v>
      </c>
      <c r="BK163" s="14">
        <f t="shared" si="39"/>
        <v>94142.259414225962</v>
      </c>
      <c r="BL163" s="14">
        <f t="shared" si="39"/>
        <v>94142.259414225962</v>
      </c>
      <c r="BM163" s="14">
        <f t="shared" si="39"/>
        <v>94142.259414225962</v>
      </c>
    </row>
    <row r="164" spans="6:65" customFormat="1">
      <c r="AB164" s="40"/>
      <c r="AC164" s="40"/>
      <c r="AD164" s="40"/>
      <c r="AE164" s="40"/>
      <c r="AF164" s="40"/>
      <c r="AG164" s="40"/>
      <c r="AH164" s="40"/>
      <c r="AI164" s="40"/>
      <c r="AJ164" s="40"/>
      <c r="AK164" s="40"/>
      <c r="AL164" s="40"/>
      <c r="AM164" s="40"/>
      <c r="AN164" s="40"/>
      <c r="AO164" s="40"/>
      <c r="AP164" s="40"/>
      <c r="AQ164" s="40"/>
      <c r="AR164" s="40"/>
      <c r="AS164" s="40"/>
      <c r="AT164" s="40"/>
      <c r="AU164" s="40"/>
      <c r="AV164" s="40"/>
      <c r="AW164" s="40"/>
      <c r="AX164" s="40"/>
      <c r="AY164" s="40"/>
      <c r="AZ164" s="40"/>
      <c r="BA164" s="40"/>
      <c r="BB164" s="40"/>
      <c r="BC164" s="40"/>
      <c r="BD164" s="40"/>
      <c r="BE164" s="40"/>
    </row>
    <row r="165" spans="6:65">
      <c r="F165" s="40" t="s">
        <v>303</v>
      </c>
      <c r="G165" s="17" t="str">
        <f>cstFlag</f>
        <v>Flag</v>
      </c>
      <c r="AA165" s="14">
        <f t="shared" ref="AA165:BE165" si="40">IF(MOD(AA$5,$K151)=$K$24,1,0)</f>
        <v>0</v>
      </c>
      <c r="AB165" s="14">
        <f t="shared" si="40"/>
        <v>1</v>
      </c>
      <c r="AC165" s="14">
        <f t="shared" si="40"/>
        <v>0</v>
      </c>
      <c r="AD165" s="14">
        <f t="shared" si="40"/>
        <v>0</v>
      </c>
      <c r="AE165" s="14">
        <f t="shared" si="40"/>
        <v>0</v>
      </c>
      <c r="AF165" s="14">
        <f t="shared" si="40"/>
        <v>0</v>
      </c>
      <c r="AG165" s="14">
        <f t="shared" si="40"/>
        <v>1</v>
      </c>
      <c r="AH165" s="14">
        <f t="shared" si="40"/>
        <v>0</v>
      </c>
      <c r="AI165" s="14">
        <f t="shared" si="40"/>
        <v>0</v>
      </c>
      <c r="AJ165" s="14">
        <f t="shared" si="40"/>
        <v>0</v>
      </c>
      <c r="AK165" s="14">
        <f t="shared" si="40"/>
        <v>0</v>
      </c>
      <c r="AL165" s="14">
        <f t="shared" si="40"/>
        <v>1</v>
      </c>
      <c r="AM165" s="14">
        <f t="shared" si="40"/>
        <v>0</v>
      </c>
      <c r="AN165" s="14">
        <f t="shared" si="40"/>
        <v>0</v>
      </c>
      <c r="AO165" s="14">
        <f t="shared" si="40"/>
        <v>0</v>
      </c>
      <c r="AP165" s="14">
        <f t="shared" si="40"/>
        <v>0</v>
      </c>
      <c r="AQ165" s="14">
        <f t="shared" si="40"/>
        <v>1</v>
      </c>
      <c r="AR165" s="14">
        <f t="shared" si="40"/>
        <v>0</v>
      </c>
      <c r="AS165" s="14">
        <f t="shared" si="40"/>
        <v>0</v>
      </c>
      <c r="AT165" s="14">
        <f t="shared" si="40"/>
        <v>0</v>
      </c>
      <c r="AU165" s="14">
        <f t="shared" si="40"/>
        <v>0</v>
      </c>
      <c r="AV165" s="14">
        <f t="shared" si="40"/>
        <v>1</v>
      </c>
      <c r="AW165" s="14">
        <f t="shared" si="40"/>
        <v>0</v>
      </c>
      <c r="AX165" s="14">
        <f t="shared" si="40"/>
        <v>0</v>
      </c>
      <c r="AY165" s="14">
        <f t="shared" si="40"/>
        <v>0</v>
      </c>
      <c r="AZ165" s="14">
        <f t="shared" si="40"/>
        <v>0</v>
      </c>
      <c r="BA165" s="14">
        <f t="shared" si="40"/>
        <v>1</v>
      </c>
      <c r="BB165" s="14">
        <f t="shared" si="40"/>
        <v>0</v>
      </c>
      <c r="BC165" s="14">
        <f t="shared" si="40"/>
        <v>0</v>
      </c>
      <c r="BD165" s="14">
        <f t="shared" si="40"/>
        <v>0</v>
      </c>
      <c r="BE165" s="14">
        <f t="shared" si="40"/>
        <v>0</v>
      </c>
      <c r="BG165" s="39"/>
      <c r="BH165" s="39"/>
      <c r="BI165" s="39"/>
      <c r="BJ165" s="39"/>
      <c r="BK165" s="39"/>
      <c r="BL165" s="39"/>
      <c r="BM165" s="39"/>
    </row>
    <row r="166" spans="6:65" customFormat="1"/>
    <row r="167" spans="6:65">
      <c r="F167" s="40" t="s">
        <v>370</v>
      </c>
      <c r="G167" s="17" t="str">
        <f>cstConstantUnit</f>
        <v>£ 2022/23</v>
      </c>
      <c r="AA167" s="14">
        <f>IF(AA$22=1,$K149,0)</f>
        <v>0</v>
      </c>
      <c r="AB167" s="14">
        <f t="shared" ref="AB167:BE167" si="41">IF(AB$22=1,$K149,0)</f>
        <v>25000</v>
      </c>
      <c r="AC167" s="14">
        <f t="shared" si="41"/>
        <v>0</v>
      </c>
      <c r="AD167" s="14">
        <f t="shared" si="41"/>
        <v>0</v>
      </c>
      <c r="AE167" s="14">
        <f t="shared" si="41"/>
        <v>0</v>
      </c>
      <c r="AF167" s="14">
        <f t="shared" si="41"/>
        <v>0</v>
      </c>
      <c r="AG167" s="14">
        <f t="shared" si="41"/>
        <v>0</v>
      </c>
      <c r="AH167" s="14">
        <f t="shared" si="41"/>
        <v>0</v>
      </c>
      <c r="AI167" s="14">
        <f t="shared" si="41"/>
        <v>0</v>
      </c>
      <c r="AJ167" s="14">
        <f t="shared" si="41"/>
        <v>0</v>
      </c>
      <c r="AK167" s="14">
        <f t="shared" si="41"/>
        <v>0</v>
      </c>
      <c r="AL167" s="14">
        <f t="shared" si="41"/>
        <v>0</v>
      </c>
      <c r="AM167" s="14">
        <f t="shared" si="41"/>
        <v>0</v>
      </c>
      <c r="AN167" s="14">
        <f t="shared" si="41"/>
        <v>0</v>
      </c>
      <c r="AO167" s="14">
        <f t="shared" si="41"/>
        <v>0</v>
      </c>
      <c r="AP167" s="14">
        <f t="shared" si="41"/>
        <v>0</v>
      </c>
      <c r="AQ167" s="14">
        <f t="shared" si="41"/>
        <v>0</v>
      </c>
      <c r="AR167" s="14">
        <f t="shared" si="41"/>
        <v>0</v>
      </c>
      <c r="AS167" s="14">
        <f t="shared" si="41"/>
        <v>0</v>
      </c>
      <c r="AT167" s="14">
        <f t="shared" si="41"/>
        <v>0</v>
      </c>
      <c r="AU167" s="14">
        <f t="shared" si="41"/>
        <v>0</v>
      </c>
      <c r="AV167" s="14">
        <f t="shared" si="41"/>
        <v>0</v>
      </c>
      <c r="AW167" s="14">
        <f t="shared" si="41"/>
        <v>0</v>
      </c>
      <c r="AX167" s="14">
        <f t="shared" si="41"/>
        <v>0</v>
      </c>
      <c r="AY167" s="14">
        <f t="shared" si="41"/>
        <v>0</v>
      </c>
      <c r="AZ167" s="14">
        <f t="shared" si="41"/>
        <v>0</v>
      </c>
      <c r="BA167" s="14">
        <f t="shared" si="41"/>
        <v>0</v>
      </c>
      <c r="BB167" s="14">
        <f t="shared" si="41"/>
        <v>0</v>
      </c>
      <c r="BC167" s="14">
        <f t="shared" si="41"/>
        <v>0</v>
      </c>
      <c r="BD167" s="14">
        <f t="shared" si="41"/>
        <v>0</v>
      </c>
      <c r="BE167" s="14">
        <f t="shared" si="41"/>
        <v>0</v>
      </c>
      <c r="BG167" s="14">
        <f>SUMIFS($AA167:$BE167,$AA$2:$BE$2,"&gt;="&amp;BG$2,$AA$3:$BE$3,"&lt;="&amp;BG$3)</f>
        <v>0</v>
      </c>
      <c r="BH167" s="14">
        <f t="shared" ref="BH167:BM171" si="42">SUMIFS($AA167:$BE167,$AA$2:$BE$2,"&gt;="&amp;BH$2,$AA$3:$BE$3,"&lt;="&amp;BH$3)</f>
        <v>25000</v>
      </c>
      <c r="BI167" s="14">
        <f t="shared" si="42"/>
        <v>0</v>
      </c>
      <c r="BJ167" s="14">
        <f t="shared" si="42"/>
        <v>0</v>
      </c>
      <c r="BK167" s="14">
        <f t="shared" si="42"/>
        <v>0</v>
      </c>
      <c r="BL167" s="14">
        <f t="shared" si="42"/>
        <v>0</v>
      </c>
      <c r="BM167" s="14">
        <f t="shared" si="42"/>
        <v>0</v>
      </c>
    </row>
    <row r="169" spans="6:65">
      <c r="F169" s="40" t="s">
        <v>371</v>
      </c>
      <c r="G169" s="17" t="str">
        <f>cstConstantUnit</f>
        <v>£ 2022/23</v>
      </c>
      <c r="AA169" s="14">
        <f t="shared" ref="AA169:BE169" si="43">IF(AA$22=1,0,AA$165*$K149*$K150)</f>
        <v>0</v>
      </c>
      <c r="AB169" s="14">
        <f t="shared" si="43"/>
        <v>0</v>
      </c>
      <c r="AC169" s="14">
        <f t="shared" si="43"/>
        <v>0</v>
      </c>
      <c r="AD169" s="14">
        <f t="shared" si="43"/>
        <v>0</v>
      </c>
      <c r="AE169" s="14">
        <f t="shared" si="43"/>
        <v>0</v>
      </c>
      <c r="AF169" s="14">
        <f t="shared" si="43"/>
        <v>0</v>
      </c>
      <c r="AG169" s="14">
        <f t="shared" si="43"/>
        <v>12500</v>
      </c>
      <c r="AH169" s="14">
        <f t="shared" si="43"/>
        <v>0</v>
      </c>
      <c r="AI169" s="14">
        <f t="shared" si="43"/>
        <v>0</v>
      </c>
      <c r="AJ169" s="14">
        <f t="shared" si="43"/>
        <v>0</v>
      </c>
      <c r="AK169" s="14">
        <f t="shared" si="43"/>
        <v>0</v>
      </c>
      <c r="AL169" s="14">
        <f t="shared" si="43"/>
        <v>12500</v>
      </c>
      <c r="AM169" s="14">
        <f t="shared" si="43"/>
        <v>0</v>
      </c>
      <c r="AN169" s="14">
        <f t="shared" si="43"/>
        <v>0</v>
      </c>
      <c r="AO169" s="14">
        <f t="shared" si="43"/>
        <v>0</v>
      </c>
      <c r="AP169" s="14">
        <f t="shared" si="43"/>
        <v>0</v>
      </c>
      <c r="AQ169" s="14">
        <f t="shared" si="43"/>
        <v>12500</v>
      </c>
      <c r="AR169" s="14">
        <f t="shared" si="43"/>
        <v>0</v>
      </c>
      <c r="AS169" s="14">
        <f t="shared" si="43"/>
        <v>0</v>
      </c>
      <c r="AT169" s="14">
        <f t="shared" si="43"/>
        <v>0</v>
      </c>
      <c r="AU169" s="14">
        <f t="shared" si="43"/>
        <v>0</v>
      </c>
      <c r="AV169" s="14">
        <f t="shared" si="43"/>
        <v>12500</v>
      </c>
      <c r="AW169" s="14">
        <f t="shared" si="43"/>
        <v>0</v>
      </c>
      <c r="AX169" s="14">
        <f t="shared" si="43"/>
        <v>0</v>
      </c>
      <c r="AY169" s="14">
        <f t="shared" si="43"/>
        <v>0</v>
      </c>
      <c r="AZ169" s="14">
        <f t="shared" si="43"/>
        <v>0</v>
      </c>
      <c r="BA169" s="14">
        <f t="shared" si="43"/>
        <v>12500</v>
      </c>
      <c r="BB169" s="14">
        <f t="shared" si="43"/>
        <v>0</v>
      </c>
      <c r="BC169" s="14">
        <f t="shared" si="43"/>
        <v>0</v>
      </c>
      <c r="BD169" s="14">
        <f t="shared" si="43"/>
        <v>0</v>
      </c>
      <c r="BE169" s="14">
        <f t="shared" si="43"/>
        <v>0</v>
      </c>
      <c r="BG169" s="14">
        <f>SUMIFS($AA169:$BE169,$AA$2:$BE$2,"&gt;="&amp;BG$2,$AA$3:$BE$3,"&lt;="&amp;BG$3)</f>
        <v>0</v>
      </c>
      <c r="BH169" s="14">
        <f t="shared" si="42"/>
        <v>0</v>
      </c>
      <c r="BI169" s="14">
        <f t="shared" si="42"/>
        <v>12500</v>
      </c>
      <c r="BJ169" s="14">
        <f t="shared" si="42"/>
        <v>12500</v>
      </c>
      <c r="BK169" s="14">
        <f t="shared" si="42"/>
        <v>12500</v>
      </c>
      <c r="BL169" s="14">
        <f t="shared" si="42"/>
        <v>12500</v>
      </c>
      <c r="BM169" s="14">
        <f t="shared" si="42"/>
        <v>12500</v>
      </c>
    </row>
    <row r="171" spans="6:65">
      <c r="F171" s="118" t="s">
        <v>372</v>
      </c>
      <c r="G171" s="86" t="str">
        <f>cstConstantUnit</f>
        <v>£ 2022/23</v>
      </c>
      <c r="AA171" s="87">
        <f>SUM(AA167,AA169)</f>
        <v>0</v>
      </c>
      <c r="AB171" s="87">
        <f t="shared" ref="AB171:BE171" si="44">SUM(AB167,AB169)</f>
        <v>25000</v>
      </c>
      <c r="AC171" s="87">
        <f t="shared" si="44"/>
        <v>0</v>
      </c>
      <c r="AD171" s="87">
        <f t="shared" si="44"/>
        <v>0</v>
      </c>
      <c r="AE171" s="87">
        <f t="shared" si="44"/>
        <v>0</v>
      </c>
      <c r="AF171" s="87">
        <f t="shared" si="44"/>
        <v>0</v>
      </c>
      <c r="AG171" s="87">
        <f t="shared" si="44"/>
        <v>12500</v>
      </c>
      <c r="AH171" s="87">
        <f t="shared" si="44"/>
        <v>0</v>
      </c>
      <c r="AI171" s="87">
        <f t="shared" si="44"/>
        <v>0</v>
      </c>
      <c r="AJ171" s="87">
        <f t="shared" si="44"/>
        <v>0</v>
      </c>
      <c r="AK171" s="87">
        <f t="shared" si="44"/>
        <v>0</v>
      </c>
      <c r="AL171" s="87">
        <f t="shared" si="44"/>
        <v>12500</v>
      </c>
      <c r="AM171" s="87">
        <f t="shared" si="44"/>
        <v>0</v>
      </c>
      <c r="AN171" s="87">
        <f t="shared" si="44"/>
        <v>0</v>
      </c>
      <c r="AO171" s="87">
        <f t="shared" si="44"/>
        <v>0</v>
      </c>
      <c r="AP171" s="87">
        <f t="shared" si="44"/>
        <v>0</v>
      </c>
      <c r="AQ171" s="87">
        <f t="shared" si="44"/>
        <v>12500</v>
      </c>
      <c r="AR171" s="87">
        <f t="shared" si="44"/>
        <v>0</v>
      </c>
      <c r="AS171" s="87">
        <f t="shared" si="44"/>
        <v>0</v>
      </c>
      <c r="AT171" s="87">
        <f t="shared" si="44"/>
        <v>0</v>
      </c>
      <c r="AU171" s="87">
        <f t="shared" si="44"/>
        <v>0</v>
      </c>
      <c r="AV171" s="87">
        <f t="shared" si="44"/>
        <v>12500</v>
      </c>
      <c r="AW171" s="87">
        <f t="shared" si="44"/>
        <v>0</v>
      </c>
      <c r="AX171" s="87">
        <f t="shared" si="44"/>
        <v>0</v>
      </c>
      <c r="AY171" s="87">
        <f t="shared" si="44"/>
        <v>0</v>
      </c>
      <c r="AZ171" s="87">
        <f t="shared" si="44"/>
        <v>0</v>
      </c>
      <c r="BA171" s="87">
        <f t="shared" si="44"/>
        <v>12500</v>
      </c>
      <c r="BB171" s="87">
        <f t="shared" si="44"/>
        <v>0</v>
      </c>
      <c r="BC171" s="87">
        <f t="shared" si="44"/>
        <v>0</v>
      </c>
      <c r="BD171" s="87">
        <f t="shared" si="44"/>
        <v>0</v>
      </c>
      <c r="BE171" s="87">
        <f t="shared" si="44"/>
        <v>0</v>
      </c>
      <c r="BG171" s="87">
        <f>SUMIFS($AA171:$BE171,$AA$2:$BE$2,"&gt;="&amp;BG$2,$AA$3:$BE$3,"&lt;="&amp;BG$3)</f>
        <v>0</v>
      </c>
      <c r="BH171" s="87">
        <f t="shared" si="42"/>
        <v>25000</v>
      </c>
      <c r="BI171" s="87">
        <f t="shared" si="42"/>
        <v>12500</v>
      </c>
      <c r="BJ171" s="87">
        <f t="shared" si="42"/>
        <v>12500</v>
      </c>
      <c r="BK171" s="87">
        <f t="shared" si="42"/>
        <v>12500</v>
      </c>
      <c r="BL171" s="87">
        <f t="shared" si="42"/>
        <v>12500</v>
      </c>
      <c r="BM171" s="87">
        <f t="shared" si="42"/>
        <v>12500</v>
      </c>
    </row>
    <row r="172" spans="6:65">
      <c r="F172" s="18"/>
      <c r="G172" s="17"/>
    </row>
    <row r="173" spans="6:65">
      <c r="F173" s="40" t="s">
        <v>374</v>
      </c>
      <c r="G173" s="17" t="str">
        <f>cstFlag</f>
        <v>Flag</v>
      </c>
      <c r="AA173" s="14">
        <f t="shared" ref="AA173:BE173" si="45">IF(MOD(AA$5,$K155)=$K$24,1,0)</f>
        <v>0</v>
      </c>
      <c r="AB173" s="14">
        <f t="shared" si="45"/>
        <v>1</v>
      </c>
      <c r="AC173" s="14">
        <f t="shared" si="45"/>
        <v>0</v>
      </c>
      <c r="AD173" s="14">
        <f t="shared" si="45"/>
        <v>0</v>
      </c>
      <c r="AE173" s="14">
        <f t="shared" si="45"/>
        <v>0</v>
      </c>
      <c r="AF173" s="14">
        <f t="shared" si="45"/>
        <v>0</v>
      </c>
      <c r="AG173" s="14">
        <f t="shared" si="45"/>
        <v>1</v>
      </c>
      <c r="AH173" s="14">
        <f t="shared" si="45"/>
        <v>0</v>
      </c>
      <c r="AI173" s="14">
        <f t="shared" si="45"/>
        <v>0</v>
      </c>
      <c r="AJ173" s="14">
        <f t="shared" si="45"/>
        <v>0</v>
      </c>
      <c r="AK173" s="14">
        <f t="shared" si="45"/>
        <v>0</v>
      </c>
      <c r="AL173" s="14">
        <f t="shared" si="45"/>
        <v>1</v>
      </c>
      <c r="AM173" s="14">
        <f t="shared" si="45"/>
        <v>0</v>
      </c>
      <c r="AN173" s="14">
        <f t="shared" si="45"/>
        <v>0</v>
      </c>
      <c r="AO173" s="14">
        <f t="shared" si="45"/>
        <v>0</v>
      </c>
      <c r="AP173" s="14">
        <f t="shared" si="45"/>
        <v>0</v>
      </c>
      <c r="AQ173" s="14">
        <f t="shared" si="45"/>
        <v>1</v>
      </c>
      <c r="AR173" s="14">
        <f t="shared" si="45"/>
        <v>0</v>
      </c>
      <c r="AS173" s="14">
        <f t="shared" si="45"/>
        <v>0</v>
      </c>
      <c r="AT173" s="14">
        <f t="shared" si="45"/>
        <v>0</v>
      </c>
      <c r="AU173" s="14">
        <f t="shared" si="45"/>
        <v>0</v>
      </c>
      <c r="AV173" s="14">
        <f t="shared" si="45"/>
        <v>1</v>
      </c>
      <c r="AW173" s="14">
        <f t="shared" si="45"/>
        <v>0</v>
      </c>
      <c r="AX173" s="14">
        <f t="shared" si="45"/>
        <v>0</v>
      </c>
      <c r="AY173" s="14">
        <f t="shared" si="45"/>
        <v>0</v>
      </c>
      <c r="AZ173" s="14">
        <f t="shared" si="45"/>
        <v>0</v>
      </c>
      <c r="BA173" s="14">
        <f t="shared" si="45"/>
        <v>1</v>
      </c>
      <c r="BB173" s="14">
        <f t="shared" si="45"/>
        <v>0</v>
      </c>
      <c r="BC173" s="14">
        <f t="shared" si="45"/>
        <v>0</v>
      </c>
      <c r="BD173" s="14">
        <f t="shared" si="45"/>
        <v>0</v>
      </c>
      <c r="BE173" s="14">
        <f t="shared" si="45"/>
        <v>0</v>
      </c>
      <c r="BG173" s="39"/>
      <c r="BH173" s="39"/>
      <c r="BI173" s="39"/>
      <c r="BJ173" s="39"/>
      <c r="BK173" s="39"/>
      <c r="BL173" s="39"/>
      <c r="BM173" s="39"/>
    </row>
    <row r="175" spans="6:65">
      <c r="F175" s="40" t="s">
        <v>375</v>
      </c>
      <c r="G175" s="17" t="str">
        <f>cstConstantUnit</f>
        <v>£ 2022/23</v>
      </c>
      <c r="AA175" s="14">
        <f>IF(AA$22=1,$K153,0)</f>
        <v>0</v>
      </c>
      <c r="AB175" s="14">
        <f t="shared" ref="AB175:BE175" si="46">IF(AB$22=1,$K153,0)</f>
        <v>200000</v>
      </c>
      <c r="AC175" s="14">
        <f t="shared" si="46"/>
        <v>0</v>
      </c>
      <c r="AD175" s="14">
        <f t="shared" si="46"/>
        <v>0</v>
      </c>
      <c r="AE175" s="14">
        <f t="shared" si="46"/>
        <v>0</v>
      </c>
      <c r="AF175" s="14">
        <f t="shared" si="46"/>
        <v>0</v>
      </c>
      <c r="AG175" s="14">
        <f t="shared" si="46"/>
        <v>0</v>
      </c>
      <c r="AH175" s="14">
        <f t="shared" si="46"/>
        <v>0</v>
      </c>
      <c r="AI175" s="14">
        <f t="shared" si="46"/>
        <v>0</v>
      </c>
      <c r="AJ175" s="14">
        <f t="shared" si="46"/>
        <v>0</v>
      </c>
      <c r="AK175" s="14">
        <f t="shared" si="46"/>
        <v>0</v>
      </c>
      <c r="AL175" s="14">
        <f t="shared" si="46"/>
        <v>0</v>
      </c>
      <c r="AM175" s="14">
        <f t="shared" si="46"/>
        <v>0</v>
      </c>
      <c r="AN175" s="14">
        <f t="shared" si="46"/>
        <v>0</v>
      </c>
      <c r="AO175" s="14">
        <f t="shared" si="46"/>
        <v>0</v>
      </c>
      <c r="AP175" s="14">
        <f t="shared" si="46"/>
        <v>0</v>
      </c>
      <c r="AQ175" s="14">
        <f t="shared" si="46"/>
        <v>0</v>
      </c>
      <c r="AR175" s="14">
        <f t="shared" si="46"/>
        <v>0</v>
      </c>
      <c r="AS175" s="14">
        <f t="shared" si="46"/>
        <v>0</v>
      </c>
      <c r="AT175" s="14">
        <f t="shared" si="46"/>
        <v>0</v>
      </c>
      <c r="AU175" s="14">
        <f t="shared" si="46"/>
        <v>0</v>
      </c>
      <c r="AV175" s="14">
        <f t="shared" si="46"/>
        <v>0</v>
      </c>
      <c r="AW175" s="14">
        <f t="shared" si="46"/>
        <v>0</v>
      </c>
      <c r="AX175" s="14">
        <f t="shared" si="46"/>
        <v>0</v>
      </c>
      <c r="AY175" s="14">
        <f t="shared" si="46"/>
        <v>0</v>
      </c>
      <c r="AZ175" s="14">
        <f t="shared" si="46"/>
        <v>0</v>
      </c>
      <c r="BA175" s="14">
        <f t="shared" si="46"/>
        <v>0</v>
      </c>
      <c r="BB175" s="14">
        <f t="shared" si="46"/>
        <v>0</v>
      </c>
      <c r="BC175" s="14">
        <f t="shared" si="46"/>
        <v>0</v>
      </c>
      <c r="BD175" s="14">
        <f t="shared" si="46"/>
        <v>0</v>
      </c>
      <c r="BE175" s="14">
        <f t="shared" si="46"/>
        <v>0</v>
      </c>
      <c r="BG175" s="14">
        <f>SUMIFS($AA175:$BE175,$AA$2:$BE$2,"&gt;="&amp;BG$2,$AA$3:$BE$3,"&lt;="&amp;BG$3)</f>
        <v>0</v>
      </c>
      <c r="BH175" s="14">
        <f t="shared" ref="BH175:BM175" si="47">SUMIFS($AA175:$BE175,$AA$2:$BE$2,"&gt;="&amp;BH$2,$AA$3:$BE$3,"&lt;="&amp;BH$3)</f>
        <v>200000</v>
      </c>
      <c r="BI175" s="14">
        <f t="shared" si="47"/>
        <v>0</v>
      </c>
      <c r="BJ175" s="14">
        <f t="shared" si="47"/>
        <v>0</v>
      </c>
      <c r="BK175" s="14">
        <f t="shared" si="47"/>
        <v>0</v>
      </c>
      <c r="BL175" s="14">
        <f t="shared" si="47"/>
        <v>0</v>
      </c>
      <c r="BM175" s="14">
        <f t="shared" si="47"/>
        <v>0</v>
      </c>
    </row>
    <row r="177" spans="6:65">
      <c r="F177" s="40" t="s">
        <v>376</v>
      </c>
      <c r="G177" s="17" t="str">
        <f>cstConstantUnit</f>
        <v>£ 2022/23</v>
      </c>
      <c r="AA177" s="14">
        <f t="shared" ref="AA177:BE177" si="48">IF(AA$22=1,0,AA$173*$K153*$K154)</f>
        <v>0</v>
      </c>
      <c r="AB177" s="14">
        <f t="shared" si="48"/>
        <v>0</v>
      </c>
      <c r="AC177" s="14">
        <f t="shared" si="48"/>
        <v>0</v>
      </c>
      <c r="AD177" s="14">
        <f t="shared" si="48"/>
        <v>0</v>
      </c>
      <c r="AE177" s="14">
        <f t="shared" si="48"/>
        <v>0</v>
      </c>
      <c r="AF177" s="14">
        <f t="shared" si="48"/>
        <v>0</v>
      </c>
      <c r="AG177" s="14">
        <f t="shared" si="48"/>
        <v>100000</v>
      </c>
      <c r="AH177" s="14">
        <f t="shared" si="48"/>
        <v>0</v>
      </c>
      <c r="AI177" s="14">
        <f t="shared" si="48"/>
        <v>0</v>
      </c>
      <c r="AJ177" s="14">
        <f t="shared" si="48"/>
        <v>0</v>
      </c>
      <c r="AK177" s="14">
        <f t="shared" si="48"/>
        <v>0</v>
      </c>
      <c r="AL177" s="14">
        <f t="shared" si="48"/>
        <v>100000</v>
      </c>
      <c r="AM177" s="14">
        <f t="shared" si="48"/>
        <v>0</v>
      </c>
      <c r="AN177" s="14">
        <f t="shared" si="48"/>
        <v>0</v>
      </c>
      <c r="AO177" s="14">
        <f t="shared" si="48"/>
        <v>0</v>
      </c>
      <c r="AP177" s="14">
        <f t="shared" si="48"/>
        <v>0</v>
      </c>
      <c r="AQ177" s="14">
        <f t="shared" si="48"/>
        <v>100000</v>
      </c>
      <c r="AR177" s="14">
        <f t="shared" si="48"/>
        <v>0</v>
      </c>
      <c r="AS177" s="14">
        <f t="shared" si="48"/>
        <v>0</v>
      </c>
      <c r="AT177" s="14">
        <f t="shared" si="48"/>
        <v>0</v>
      </c>
      <c r="AU177" s="14">
        <f t="shared" si="48"/>
        <v>0</v>
      </c>
      <c r="AV177" s="14">
        <f t="shared" si="48"/>
        <v>100000</v>
      </c>
      <c r="AW177" s="14">
        <f t="shared" si="48"/>
        <v>0</v>
      </c>
      <c r="AX177" s="14">
        <f t="shared" si="48"/>
        <v>0</v>
      </c>
      <c r="AY177" s="14">
        <f t="shared" si="48"/>
        <v>0</v>
      </c>
      <c r="AZ177" s="14">
        <f t="shared" si="48"/>
        <v>0</v>
      </c>
      <c r="BA177" s="14">
        <f t="shared" si="48"/>
        <v>100000</v>
      </c>
      <c r="BB177" s="14">
        <f t="shared" si="48"/>
        <v>0</v>
      </c>
      <c r="BC177" s="14">
        <f t="shared" si="48"/>
        <v>0</v>
      </c>
      <c r="BD177" s="14">
        <f t="shared" si="48"/>
        <v>0</v>
      </c>
      <c r="BE177" s="14">
        <f t="shared" si="48"/>
        <v>0</v>
      </c>
      <c r="BG177" s="14">
        <f>SUMIFS($AA177:$BE177,$AA$2:$BE$2,"&gt;="&amp;BG$2,$AA$3:$BE$3,"&lt;="&amp;BG$3)</f>
        <v>0</v>
      </c>
      <c r="BH177" s="14">
        <f t="shared" ref="BH177:BM179" si="49">SUMIFS($AA177:$BE177,$AA$2:$BE$2,"&gt;="&amp;BH$2,$AA$3:$BE$3,"&lt;="&amp;BH$3)</f>
        <v>0</v>
      </c>
      <c r="BI177" s="14">
        <f t="shared" si="49"/>
        <v>100000</v>
      </c>
      <c r="BJ177" s="14">
        <f t="shared" si="49"/>
        <v>100000</v>
      </c>
      <c r="BK177" s="14">
        <f t="shared" si="49"/>
        <v>100000</v>
      </c>
      <c r="BL177" s="14">
        <f t="shared" si="49"/>
        <v>100000</v>
      </c>
      <c r="BM177" s="14">
        <f t="shared" si="49"/>
        <v>100000</v>
      </c>
    </row>
    <row r="179" spans="6:65">
      <c r="F179" s="118" t="s">
        <v>233</v>
      </c>
      <c r="G179" s="86" t="str">
        <f>cstConstantUnit</f>
        <v>£ 2022/23</v>
      </c>
      <c r="AA179" s="87">
        <f>SUM(AA175,AA177)</f>
        <v>0</v>
      </c>
      <c r="AB179" s="87">
        <f t="shared" ref="AB179:BE179" si="50">SUM(AB175,AB177)</f>
        <v>200000</v>
      </c>
      <c r="AC179" s="87">
        <f t="shared" si="50"/>
        <v>0</v>
      </c>
      <c r="AD179" s="87">
        <f t="shared" si="50"/>
        <v>0</v>
      </c>
      <c r="AE179" s="87">
        <f t="shared" si="50"/>
        <v>0</v>
      </c>
      <c r="AF179" s="87">
        <f t="shared" si="50"/>
        <v>0</v>
      </c>
      <c r="AG179" s="87">
        <f t="shared" si="50"/>
        <v>100000</v>
      </c>
      <c r="AH179" s="87">
        <f t="shared" si="50"/>
        <v>0</v>
      </c>
      <c r="AI179" s="87">
        <f t="shared" si="50"/>
        <v>0</v>
      </c>
      <c r="AJ179" s="87">
        <f t="shared" si="50"/>
        <v>0</v>
      </c>
      <c r="AK179" s="87">
        <f t="shared" si="50"/>
        <v>0</v>
      </c>
      <c r="AL179" s="87">
        <f t="shared" si="50"/>
        <v>100000</v>
      </c>
      <c r="AM179" s="87">
        <f t="shared" si="50"/>
        <v>0</v>
      </c>
      <c r="AN179" s="87">
        <f t="shared" si="50"/>
        <v>0</v>
      </c>
      <c r="AO179" s="87">
        <f t="shared" si="50"/>
        <v>0</v>
      </c>
      <c r="AP179" s="87">
        <f t="shared" si="50"/>
        <v>0</v>
      </c>
      <c r="AQ179" s="87">
        <f t="shared" si="50"/>
        <v>100000</v>
      </c>
      <c r="AR179" s="87">
        <f t="shared" si="50"/>
        <v>0</v>
      </c>
      <c r="AS179" s="87">
        <f t="shared" si="50"/>
        <v>0</v>
      </c>
      <c r="AT179" s="87">
        <f t="shared" si="50"/>
        <v>0</v>
      </c>
      <c r="AU179" s="87">
        <f t="shared" si="50"/>
        <v>0</v>
      </c>
      <c r="AV179" s="87">
        <f t="shared" si="50"/>
        <v>100000</v>
      </c>
      <c r="AW179" s="87">
        <f t="shared" si="50"/>
        <v>0</v>
      </c>
      <c r="AX179" s="87">
        <f t="shared" si="50"/>
        <v>0</v>
      </c>
      <c r="AY179" s="87">
        <f t="shared" si="50"/>
        <v>0</v>
      </c>
      <c r="AZ179" s="87">
        <f t="shared" si="50"/>
        <v>0</v>
      </c>
      <c r="BA179" s="87">
        <f t="shared" si="50"/>
        <v>100000</v>
      </c>
      <c r="BB179" s="87">
        <f t="shared" si="50"/>
        <v>0</v>
      </c>
      <c r="BC179" s="87">
        <f t="shared" si="50"/>
        <v>0</v>
      </c>
      <c r="BD179" s="87">
        <f t="shared" si="50"/>
        <v>0</v>
      </c>
      <c r="BE179" s="87">
        <f t="shared" si="50"/>
        <v>0</v>
      </c>
      <c r="BG179" s="87">
        <f>SUMIFS($AA179:$BE179,$AA$2:$BE$2,"&gt;="&amp;BG$2,$AA$3:$BE$3,"&lt;="&amp;BG$3)</f>
        <v>0</v>
      </c>
      <c r="BH179" s="87">
        <f t="shared" si="49"/>
        <v>200000</v>
      </c>
      <c r="BI179" s="87">
        <f t="shared" si="49"/>
        <v>100000</v>
      </c>
      <c r="BJ179" s="87">
        <f t="shared" si="49"/>
        <v>100000</v>
      </c>
      <c r="BK179" s="87">
        <f t="shared" si="49"/>
        <v>100000</v>
      </c>
      <c r="BL179" s="87">
        <f t="shared" si="49"/>
        <v>100000</v>
      </c>
      <c r="BM179" s="87">
        <f t="shared" si="49"/>
        <v>100000</v>
      </c>
    </row>
    <row r="180" spans="6:65">
      <c r="F180" s="18"/>
      <c r="G180" s="17"/>
    </row>
    <row r="181" spans="6:65" ht="13">
      <c r="F181" s="26" t="s">
        <v>218</v>
      </c>
    </row>
    <row r="182" spans="6:65">
      <c r="F182" s="18"/>
      <c r="G182" s="17"/>
    </row>
    <row r="183" spans="6:65">
      <c r="F183" s="40" t="s">
        <v>99</v>
      </c>
      <c r="G183" s="17" t="str">
        <f>cstNominalUnit</f>
        <v>£ Nominal</v>
      </c>
      <c r="I183" s="22" t="str">
        <f>iOptions!$Q$62</f>
        <v>Other Inflation</v>
      </c>
      <c r="AA183" s="14">
        <f t="shared" ref="AA183:BE183" si="51">AA159*_xlfn.IFNA(INDEX(AA$34:AA$38,MATCH($I183,$F$34:$F$38,0)),0)</f>
        <v>0</v>
      </c>
      <c r="AB183" s="14">
        <f t="shared" si="51"/>
        <v>206000</v>
      </c>
      <c r="AC183" s="14">
        <f t="shared" si="51"/>
        <v>0</v>
      </c>
      <c r="AD183" s="14">
        <f t="shared" si="51"/>
        <v>0</v>
      </c>
      <c r="AE183" s="14">
        <f t="shared" si="51"/>
        <v>0</v>
      </c>
      <c r="AF183" s="14">
        <f t="shared" si="51"/>
        <v>0</v>
      </c>
      <c r="AG183" s="14">
        <f t="shared" si="51"/>
        <v>0</v>
      </c>
      <c r="AH183" s="14">
        <f t="shared" si="51"/>
        <v>0</v>
      </c>
      <c r="AI183" s="14">
        <f t="shared" si="51"/>
        <v>0</v>
      </c>
      <c r="AJ183" s="14">
        <f t="shared" si="51"/>
        <v>0</v>
      </c>
      <c r="AK183" s="14">
        <f t="shared" si="51"/>
        <v>0</v>
      </c>
      <c r="AL183" s="14">
        <f t="shared" si="51"/>
        <v>0</v>
      </c>
      <c r="AM183" s="14">
        <f t="shared" si="51"/>
        <v>0</v>
      </c>
      <c r="AN183" s="14">
        <f t="shared" si="51"/>
        <v>0</v>
      </c>
      <c r="AO183" s="14">
        <f t="shared" si="51"/>
        <v>0</v>
      </c>
      <c r="AP183" s="14">
        <f t="shared" si="51"/>
        <v>0</v>
      </c>
      <c r="AQ183" s="14">
        <f t="shared" si="51"/>
        <v>0</v>
      </c>
      <c r="AR183" s="14">
        <f t="shared" si="51"/>
        <v>0</v>
      </c>
      <c r="AS183" s="14">
        <f t="shared" si="51"/>
        <v>0</v>
      </c>
      <c r="AT183" s="14">
        <f t="shared" si="51"/>
        <v>0</v>
      </c>
      <c r="AU183" s="14">
        <f t="shared" si="51"/>
        <v>0</v>
      </c>
      <c r="AV183" s="14">
        <f t="shared" si="51"/>
        <v>0</v>
      </c>
      <c r="AW183" s="14">
        <f t="shared" si="51"/>
        <v>0</v>
      </c>
      <c r="AX183" s="14">
        <f t="shared" si="51"/>
        <v>0</v>
      </c>
      <c r="AY183" s="14">
        <f t="shared" si="51"/>
        <v>0</v>
      </c>
      <c r="AZ183" s="14">
        <f t="shared" si="51"/>
        <v>0</v>
      </c>
      <c r="BA183" s="14">
        <f t="shared" si="51"/>
        <v>0</v>
      </c>
      <c r="BB183" s="14">
        <f t="shared" si="51"/>
        <v>0</v>
      </c>
      <c r="BC183" s="14">
        <f t="shared" si="51"/>
        <v>0</v>
      </c>
      <c r="BD183" s="14">
        <f t="shared" si="51"/>
        <v>0</v>
      </c>
      <c r="BE183" s="14">
        <f t="shared" si="51"/>
        <v>0</v>
      </c>
      <c r="BG183" s="14">
        <f>SUMIFS($AA183:$BE183,$AA$2:$BE$2,"&gt;="&amp;BG$2,$AA$3:$BE$3,"&lt;="&amp;BG$3)</f>
        <v>0</v>
      </c>
      <c r="BH183" s="14">
        <f t="shared" ref="BH183:BM183" si="52">SUMIFS($AA183:$BE183,$AA$2:$BE$2,"&gt;="&amp;BH$2,$AA$3:$BE$3,"&lt;="&amp;BH$3)</f>
        <v>206000</v>
      </c>
      <c r="BI183" s="14">
        <f t="shared" si="52"/>
        <v>0</v>
      </c>
      <c r="BJ183" s="14">
        <f t="shared" si="52"/>
        <v>0</v>
      </c>
      <c r="BK183" s="14">
        <f t="shared" si="52"/>
        <v>0</v>
      </c>
      <c r="BL183" s="14">
        <f t="shared" si="52"/>
        <v>0</v>
      </c>
      <c r="BM183" s="14">
        <f t="shared" si="52"/>
        <v>0</v>
      </c>
    </row>
    <row r="184" spans="6:65" customFormat="1"/>
    <row r="185" spans="6:65">
      <c r="F185" s="40" t="s">
        <v>229</v>
      </c>
      <c r="G185" s="17" t="str">
        <f>cstNominalUnit</f>
        <v>£ Nominal</v>
      </c>
      <c r="I185" s="22" t="str">
        <f>iOptions!$Q$62</f>
        <v>Other Inflation</v>
      </c>
      <c r="AA185" s="14">
        <f t="shared" ref="AA185:BE185" si="53">AA161*_xlfn.IFNA(INDEX(AA$34:AA$38,MATCH($I185,$F$34:$F$38,0)),0)</f>
        <v>0</v>
      </c>
      <c r="AB185" s="14">
        <f t="shared" si="53"/>
        <v>41200</v>
      </c>
      <c r="AC185" s="14">
        <f t="shared" si="53"/>
        <v>42436</v>
      </c>
      <c r="AD185" s="14">
        <f t="shared" si="53"/>
        <v>43709.08</v>
      </c>
      <c r="AE185" s="14">
        <f t="shared" si="53"/>
        <v>45020.352400000003</v>
      </c>
      <c r="AF185" s="14">
        <f t="shared" si="53"/>
        <v>46370.962972000001</v>
      </c>
      <c r="AG185" s="14">
        <f t="shared" si="53"/>
        <v>47762.091861160006</v>
      </c>
      <c r="AH185" s="14">
        <f t="shared" si="53"/>
        <v>49194.954616994808</v>
      </c>
      <c r="AI185" s="14">
        <f t="shared" si="53"/>
        <v>50670.803255504652</v>
      </c>
      <c r="AJ185" s="14">
        <f t="shared" si="53"/>
        <v>52190.927353169798</v>
      </c>
      <c r="AK185" s="14">
        <f t="shared" si="53"/>
        <v>53756.655173764892</v>
      </c>
      <c r="AL185" s="14">
        <f t="shared" si="53"/>
        <v>55369.354828977834</v>
      </c>
      <c r="AM185" s="14">
        <f t="shared" si="53"/>
        <v>57030.435473847174</v>
      </c>
      <c r="AN185" s="14">
        <f t="shared" si="53"/>
        <v>58741.348538062593</v>
      </c>
      <c r="AO185" s="14">
        <f t="shared" si="53"/>
        <v>60503.588994204474</v>
      </c>
      <c r="AP185" s="14">
        <f t="shared" si="53"/>
        <v>62318.696664030613</v>
      </c>
      <c r="AQ185" s="14">
        <f t="shared" si="53"/>
        <v>64188.257563951534</v>
      </c>
      <c r="AR185" s="14">
        <f t="shared" si="53"/>
        <v>66113.905290870083</v>
      </c>
      <c r="AS185" s="14">
        <f t="shared" si="53"/>
        <v>68097.322449596177</v>
      </c>
      <c r="AT185" s="14">
        <f t="shared" si="53"/>
        <v>70140.24212308407</v>
      </c>
      <c r="AU185" s="14">
        <f t="shared" si="53"/>
        <v>72244.4493867766</v>
      </c>
      <c r="AV185" s="14">
        <f t="shared" si="53"/>
        <v>74411.782868379902</v>
      </c>
      <c r="AW185" s="14">
        <f t="shared" si="53"/>
        <v>76644.136354431306</v>
      </c>
      <c r="AX185" s="14">
        <f t="shared" si="53"/>
        <v>78943.460445064251</v>
      </c>
      <c r="AY185" s="14">
        <f t="shared" si="53"/>
        <v>81311.76425841618</v>
      </c>
      <c r="AZ185" s="14">
        <f t="shared" si="53"/>
        <v>83751.11718616866</v>
      </c>
      <c r="BA185" s="14">
        <f t="shared" si="53"/>
        <v>86263.650701753722</v>
      </c>
      <c r="BB185" s="14">
        <f t="shared" si="53"/>
        <v>88851.560222806351</v>
      </c>
      <c r="BC185" s="14">
        <f t="shared" si="53"/>
        <v>91517.107029490537</v>
      </c>
      <c r="BD185" s="14">
        <f t="shared" si="53"/>
        <v>94262.620240375254</v>
      </c>
      <c r="BE185" s="14">
        <f t="shared" si="53"/>
        <v>97090.49884758651</v>
      </c>
      <c r="BG185" s="14">
        <f>SUMIFS($AA185:$BE185,$AA$2:$BE$2,"&gt;="&amp;BG$2,$AA$3:$BE$3,"&lt;="&amp;BG$3)</f>
        <v>0</v>
      </c>
      <c r="BH185" s="14">
        <f t="shared" ref="BH185:BM185" si="54">SUMIFS($AA185:$BE185,$AA$2:$BE$2,"&gt;="&amp;BH$2,$AA$3:$BE$3,"&lt;="&amp;BH$3)</f>
        <v>218736.395372</v>
      </c>
      <c r="BI185" s="14">
        <f t="shared" si="54"/>
        <v>253575.43226059416</v>
      </c>
      <c r="BJ185" s="14">
        <f t="shared" si="54"/>
        <v>293963.42449912272</v>
      </c>
      <c r="BK185" s="14">
        <f t="shared" si="54"/>
        <v>340784.17681427847</v>
      </c>
      <c r="BL185" s="14">
        <f t="shared" si="54"/>
        <v>395062.26111246034</v>
      </c>
      <c r="BM185" s="14">
        <f t="shared" si="54"/>
        <v>457985.4370420124</v>
      </c>
    </row>
    <row r="186" spans="6:65" customFormat="1"/>
    <row r="187" spans="6:65">
      <c r="F187" s="40" t="s">
        <v>231</v>
      </c>
      <c r="G187" s="17" t="str">
        <f>cstNominalUnit</f>
        <v>£ Nominal</v>
      </c>
      <c r="I187" s="22" t="str">
        <f>iOptions!$Q$62</f>
        <v>Other Inflation</v>
      </c>
      <c r="AA187" s="14">
        <f t="shared" ref="AA187:BE187" si="55">AA163*_xlfn.IFNA(INDEX(AA$34:AA$38,MATCH($I187,$F$34:$F$38,0)),0)</f>
        <v>0</v>
      </c>
      <c r="AB187" s="14">
        <f t="shared" si="55"/>
        <v>19393.305439330547</v>
      </c>
      <c r="AC187" s="14">
        <f t="shared" si="55"/>
        <v>19975.104602510462</v>
      </c>
      <c r="AD187" s="14">
        <f t="shared" si="55"/>
        <v>20574.357740585776</v>
      </c>
      <c r="AE187" s="14">
        <f t="shared" si="55"/>
        <v>21191.588472803352</v>
      </c>
      <c r="AF187" s="14">
        <f t="shared" si="55"/>
        <v>21827.336126987451</v>
      </c>
      <c r="AG187" s="14">
        <f t="shared" si="55"/>
        <v>22482.156210797079</v>
      </c>
      <c r="AH187" s="14">
        <f t="shared" si="55"/>
        <v>23156.620897120989</v>
      </c>
      <c r="AI187" s="14">
        <f t="shared" si="55"/>
        <v>23851.319524034621</v>
      </c>
      <c r="AJ187" s="14">
        <f t="shared" si="55"/>
        <v>24566.85910975566</v>
      </c>
      <c r="AK187" s="14">
        <f t="shared" si="55"/>
        <v>25303.864883048329</v>
      </c>
      <c r="AL187" s="14">
        <f t="shared" si="55"/>
        <v>26062.980829539782</v>
      </c>
      <c r="AM187" s="14">
        <f t="shared" si="55"/>
        <v>26844.870254425972</v>
      </c>
      <c r="AN187" s="14">
        <f t="shared" si="55"/>
        <v>27650.216362058756</v>
      </c>
      <c r="AO187" s="14">
        <f t="shared" si="55"/>
        <v>28479.72285292052</v>
      </c>
      <c r="AP187" s="14">
        <f t="shared" si="55"/>
        <v>29334.114538508136</v>
      </c>
      <c r="AQ187" s="14">
        <f t="shared" si="55"/>
        <v>30214.137974663383</v>
      </c>
      <c r="AR187" s="14">
        <f t="shared" si="55"/>
        <v>31120.562113903285</v>
      </c>
      <c r="AS187" s="14">
        <f t="shared" si="55"/>
        <v>32054.178977320382</v>
      </c>
      <c r="AT187" s="14">
        <f t="shared" si="55"/>
        <v>33015.804346639998</v>
      </c>
      <c r="AU187" s="14">
        <f t="shared" si="55"/>
        <v>34006.278477039203</v>
      </c>
      <c r="AV187" s="14">
        <f t="shared" si="55"/>
        <v>35026.466831350379</v>
      </c>
      <c r="AW187" s="14">
        <f t="shared" si="55"/>
        <v>36077.260836290894</v>
      </c>
      <c r="AX187" s="14">
        <f t="shared" si="55"/>
        <v>37159.578661379623</v>
      </c>
      <c r="AY187" s="14">
        <f t="shared" si="55"/>
        <v>38274.366021221009</v>
      </c>
      <c r="AZ187" s="14">
        <f t="shared" si="55"/>
        <v>39422.597001857641</v>
      </c>
      <c r="BA187" s="14">
        <f t="shared" si="55"/>
        <v>40605.274911913373</v>
      </c>
      <c r="BB187" s="14">
        <f t="shared" si="55"/>
        <v>41823.433159270775</v>
      </c>
      <c r="BC187" s="14">
        <f t="shared" si="55"/>
        <v>43078.136154048894</v>
      </c>
      <c r="BD187" s="14">
        <f t="shared" si="55"/>
        <v>44370.480238670367</v>
      </c>
      <c r="BE187" s="14">
        <f t="shared" si="55"/>
        <v>45701.594645830475</v>
      </c>
      <c r="BG187" s="14">
        <f>SUMIFS($AA187:$BE187,$AA$2:$BE$2,"&gt;="&amp;BG$2,$AA$3:$BE$3,"&lt;="&amp;BG$3)</f>
        <v>0</v>
      </c>
      <c r="BH187" s="14">
        <f t="shared" ref="BH187:BM187" si="56">SUMIFS($AA187:$BE187,$AA$2:$BE$2,"&gt;="&amp;BH$2,$AA$3:$BE$3,"&lt;="&amp;BH$3)</f>
        <v>102961.69238221759</v>
      </c>
      <c r="BI187" s="14">
        <f t="shared" si="56"/>
        <v>119360.82062475668</v>
      </c>
      <c r="BJ187" s="14">
        <f t="shared" si="56"/>
        <v>138371.90483745316</v>
      </c>
      <c r="BK187" s="14">
        <f t="shared" si="56"/>
        <v>160410.96188956624</v>
      </c>
      <c r="BL187" s="14">
        <f t="shared" si="56"/>
        <v>185960.26935209957</v>
      </c>
      <c r="BM187" s="14">
        <f t="shared" si="56"/>
        <v>215578.91910973389</v>
      </c>
    </row>
    <row r="189" spans="6:65">
      <c r="F189" s="18" t="s">
        <v>232</v>
      </c>
      <c r="G189" s="17" t="str">
        <f>cstNominalUnit</f>
        <v>£ Nominal</v>
      </c>
      <c r="I189" s="22" t="str">
        <f>iOptions!Q68</f>
        <v>Other Inflation</v>
      </c>
      <c r="AA189" s="14">
        <f t="shared" ref="AA189:BE189" si="57">AA171*_xlfn.IFNA(INDEX(AA$34:AA$38,MATCH($I189,$F$34:$F$38,0)),0)</f>
        <v>0</v>
      </c>
      <c r="AB189" s="14">
        <f t="shared" si="57"/>
        <v>25750</v>
      </c>
      <c r="AC189" s="14">
        <f t="shared" si="57"/>
        <v>0</v>
      </c>
      <c r="AD189" s="14">
        <f t="shared" si="57"/>
        <v>0</v>
      </c>
      <c r="AE189" s="14">
        <f t="shared" si="57"/>
        <v>0</v>
      </c>
      <c r="AF189" s="14">
        <f t="shared" si="57"/>
        <v>0</v>
      </c>
      <c r="AG189" s="14">
        <f t="shared" si="57"/>
        <v>14925.653706612502</v>
      </c>
      <c r="AH189" s="14">
        <f t="shared" si="57"/>
        <v>0</v>
      </c>
      <c r="AI189" s="14">
        <f t="shared" si="57"/>
        <v>0</v>
      </c>
      <c r="AJ189" s="14">
        <f t="shared" si="57"/>
        <v>0</v>
      </c>
      <c r="AK189" s="14">
        <f t="shared" si="57"/>
        <v>0</v>
      </c>
      <c r="AL189" s="14">
        <f t="shared" si="57"/>
        <v>17302.923384055575</v>
      </c>
      <c r="AM189" s="14">
        <f t="shared" si="57"/>
        <v>0</v>
      </c>
      <c r="AN189" s="14">
        <f t="shared" si="57"/>
        <v>0</v>
      </c>
      <c r="AO189" s="14">
        <f t="shared" si="57"/>
        <v>0</v>
      </c>
      <c r="AP189" s="14">
        <f t="shared" si="57"/>
        <v>0</v>
      </c>
      <c r="AQ189" s="14">
        <f t="shared" si="57"/>
        <v>20058.830488734857</v>
      </c>
      <c r="AR189" s="14">
        <f t="shared" si="57"/>
        <v>0</v>
      </c>
      <c r="AS189" s="14">
        <f t="shared" si="57"/>
        <v>0</v>
      </c>
      <c r="AT189" s="14">
        <f t="shared" si="57"/>
        <v>0</v>
      </c>
      <c r="AU189" s="14">
        <f t="shared" si="57"/>
        <v>0</v>
      </c>
      <c r="AV189" s="14">
        <f t="shared" si="57"/>
        <v>23253.682146368719</v>
      </c>
      <c r="AW189" s="14">
        <f t="shared" si="57"/>
        <v>0</v>
      </c>
      <c r="AX189" s="14">
        <f t="shared" si="57"/>
        <v>0</v>
      </c>
      <c r="AY189" s="14">
        <f t="shared" si="57"/>
        <v>0</v>
      </c>
      <c r="AZ189" s="14">
        <f t="shared" si="57"/>
        <v>0</v>
      </c>
      <c r="BA189" s="14">
        <f t="shared" si="57"/>
        <v>26957.390844298039</v>
      </c>
      <c r="BB189" s="14">
        <f t="shared" si="57"/>
        <v>0</v>
      </c>
      <c r="BC189" s="14">
        <f t="shared" si="57"/>
        <v>0</v>
      </c>
      <c r="BD189" s="14">
        <f t="shared" si="57"/>
        <v>0</v>
      </c>
      <c r="BE189" s="14">
        <f t="shared" si="57"/>
        <v>0</v>
      </c>
      <c r="BG189" s="14">
        <f>SUMIFS($AA189:$BE189,$AA$2:$BE$2,"&gt;="&amp;BG$2,$AA$3:$BE$3,"&lt;="&amp;BG$3)</f>
        <v>0</v>
      </c>
      <c r="BH189" s="14">
        <f t="shared" ref="BH189:BM189" si="58">SUMIFS($AA189:$BE189,$AA$2:$BE$2,"&gt;="&amp;BH$2,$AA$3:$BE$3,"&lt;="&amp;BH$3)</f>
        <v>25750</v>
      </c>
      <c r="BI189" s="14">
        <f t="shared" si="58"/>
        <v>14925.653706612502</v>
      </c>
      <c r="BJ189" s="14">
        <f t="shared" si="58"/>
        <v>17302.923384055575</v>
      </c>
      <c r="BK189" s="14">
        <f t="shared" si="58"/>
        <v>20058.830488734857</v>
      </c>
      <c r="BL189" s="14">
        <f t="shared" si="58"/>
        <v>23253.682146368719</v>
      </c>
      <c r="BM189" s="14">
        <f t="shared" si="58"/>
        <v>26957.390844298039</v>
      </c>
    </row>
    <row r="190" spans="6:65">
      <c r="F190" s="18"/>
      <c r="G190" s="17"/>
    </row>
    <row r="191" spans="6:65">
      <c r="F191" s="18" t="s">
        <v>233</v>
      </c>
      <c r="G191" s="17" t="str">
        <f>cstNominalUnit</f>
        <v>£ Nominal</v>
      </c>
      <c r="I191" s="22" t="str">
        <f>iOptions!Q74</f>
        <v>Other Inflation</v>
      </c>
      <c r="AA191" s="14">
        <f t="shared" ref="AA191:BE191" si="59">AA179*_xlfn.IFNA(INDEX(AA$34:AA$38,MATCH($I191,$F$34:$F$38,0)),0)</f>
        <v>0</v>
      </c>
      <c r="AB191" s="14">
        <f t="shared" si="59"/>
        <v>206000</v>
      </c>
      <c r="AC191" s="14">
        <f t="shared" si="59"/>
        <v>0</v>
      </c>
      <c r="AD191" s="14">
        <f t="shared" si="59"/>
        <v>0</v>
      </c>
      <c r="AE191" s="14">
        <f t="shared" si="59"/>
        <v>0</v>
      </c>
      <c r="AF191" s="14">
        <f t="shared" si="59"/>
        <v>0</v>
      </c>
      <c r="AG191" s="14">
        <f t="shared" si="59"/>
        <v>119405.22965290002</v>
      </c>
      <c r="AH191" s="14">
        <f t="shared" si="59"/>
        <v>0</v>
      </c>
      <c r="AI191" s="14">
        <f t="shared" si="59"/>
        <v>0</v>
      </c>
      <c r="AJ191" s="14">
        <f t="shared" si="59"/>
        <v>0</v>
      </c>
      <c r="AK191" s="14">
        <f t="shared" si="59"/>
        <v>0</v>
      </c>
      <c r="AL191" s="14">
        <f t="shared" si="59"/>
        <v>138423.3870724446</v>
      </c>
      <c r="AM191" s="14">
        <f t="shared" si="59"/>
        <v>0</v>
      </c>
      <c r="AN191" s="14">
        <f t="shared" si="59"/>
        <v>0</v>
      </c>
      <c r="AO191" s="14">
        <f t="shared" si="59"/>
        <v>0</v>
      </c>
      <c r="AP191" s="14">
        <f t="shared" si="59"/>
        <v>0</v>
      </c>
      <c r="AQ191" s="14">
        <f t="shared" si="59"/>
        <v>160470.64390987885</v>
      </c>
      <c r="AR191" s="14">
        <f t="shared" si="59"/>
        <v>0</v>
      </c>
      <c r="AS191" s="14">
        <f t="shared" si="59"/>
        <v>0</v>
      </c>
      <c r="AT191" s="14">
        <f t="shared" si="59"/>
        <v>0</v>
      </c>
      <c r="AU191" s="14">
        <f t="shared" si="59"/>
        <v>0</v>
      </c>
      <c r="AV191" s="14">
        <f t="shared" si="59"/>
        <v>186029.45717094975</v>
      </c>
      <c r="AW191" s="14">
        <f t="shared" si="59"/>
        <v>0</v>
      </c>
      <c r="AX191" s="14">
        <f t="shared" si="59"/>
        <v>0</v>
      </c>
      <c r="AY191" s="14">
        <f t="shared" si="59"/>
        <v>0</v>
      </c>
      <c r="AZ191" s="14">
        <f t="shared" si="59"/>
        <v>0</v>
      </c>
      <c r="BA191" s="14">
        <f t="shared" si="59"/>
        <v>215659.12675438431</v>
      </c>
      <c r="BB191" s="14">
        <f t="shared" si="59"/>
        <v>0</v>
      </c>
      <c r="BC191" s="14">
        <f t="shared" si="59"/>
        <v>0</v>
      </c>
      <c r="BD191" s="14">
        <f t="shared" si="59"/>
        <v>0</v>
      </c>
      <c r="BE191" s="14">
        <f t="shared" si="59"/>
        <v>0</v>
      </c>
      <c r="BG191" s="14">
        <f>SUMIFS($AA191:$BE191,$AA$2:$BE$2,"&gt;="&amp;BG$2,$AA$3:$BE$3,"&lt;="&amp;BG$3)</f>
        <v>0</v>
      </c>
      <c r="BH191" s="14">
        <f t="shared" ref="BH191:BM191" si="60">SUMIFS($AA191:$BE191,$AA$2:$BE$2,"&gt;="&amp;BH$2,$AA$3:$BE$3,"&lt;="&amp;BH$3)</f>
        <v>206000</v>
      </c>
      <c r="BI191" s="14">
        <f t="shared" si="60"/>
        <v>119405.22965290002</v>
      </c>
      <c r="BJ191" s="14">
        <f t="shared" si="60"/>
        <v>138423.3870724446</v>
      </c>
      <c r="BK191" s="14">
        <f t="shared" si="60"/>
        <v>160470.64390987885</v>
      </c>
      <c r="BL191" s="14">
        <f t="shared" si="60"/>
        <v>186029.45717094975</v>
      </c>
      <c r="BM191" s="14">
        <f t="shared" si="60"/>
        <v>215659.12675438431</v>
      </c>
    </row>
    <row r="192" spans="6:65">
      <c r="F192" s="18"/>
      <c r="G192" s="17"/>
    </row>
    <row r="193" spans="1:65" ht="14" thickBot="1">
      <c r="A193" s="25"/>
      <c r="B193" s="25"/>
      <c r="C193" s="25"/>
      <c r="D193" s="25"/>
      <c r="E193" s="25" t="s">
        <v>401</v>
      </c>
      <c r="F193" s="25" t="s">
        <v>239</v>
      </c>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25"/>
      <c r="AG193" s="25"/>
      <c r="AH193" s="25"/>
      <c r="AI193" s="25"/>
      <c r="AJ193" s="25"/>
      <c r="AK193" s="25"/>
      <c r="AL193" s="25"/>
      <c r="AM193" s="25"/>
      <c r="AN193" s="25"/>
      <c r="AO193" s="25"/>
      <c r="AP193" s="25"/>
      <c r="AQ193" s="25"/>
      <c r="AR193" s="25"/>
      <c r="AS193" s="25"/>
      <c r="AT193" s="25"/>
      <c r="AU193" s="25"/>
      <c r="AV193" s="25"/>
      <c r="AW193" s="25"/>
      <c r="AX193" s="25"/>
      <c r="AY193" s="25"/>
      <c r="AZ193" s="25"/>
      <c r="BA193" s="25"/>
      <c r="BB193" s="25"/>
      <c r="BC193" s="25"/>
      <c r="BD193" s="25"/>
      <c r="BE193" s="25"/>
      <c r="BF193" s="25"/>
      <c r="BG193" s="25"/>
      <c r="BH193" s="25"/>
      <c r="BI193" s="25"/>
      <c r="BJ193" s="25"/>
      <c r="BK193" s="25"/>
      <c r="BL193" s="25"/>
      <c r="BM193" s="25"/>
    </row>
    <row r="194" spans="1:65">
      <c r="F194" s="18"/>
      <c r="G194" s="17"/>
    </row>
    <row r="195" spans="1:65" ht="13">
      <c r="F195" s="26" t="s">
        <v>174</v>
      </c>
      <c r="G195" s="17"/>
    </row>
    <row r="196" spans="1:65">
      <c r="F196" s="18"/>
      <c r="G196" s="17"/>
    </row>
    <row r="197" spans="1:65">
      <c r="F197" s="40" t="s">
        <v>108</v>
      </c>
      <c r="G197" s="17" t="str">
        <f>cstConstantUnit</f>
        <v>£ 2022/23</v>
      </c>
      <c r="K197" s="9" cm="1">
        <f t="array" ref="K197">INDEX(iOptions!$M$80:$O$80,1,ActiveCostScenarioIndex)</f>
        <v>40000</v>
      </c>
      <c r="AA197" s="39"/>
      <c r="AB197" s="39"/>
      <c r="AC197" s="39"/>
      <c r="AD197" s="39"/>
      <c r="AE197" s="39"/>
      <c r="AF197" s="39"/>
      <c r="AG197" s="39"/>
      <c r="AH197" s="39"/>
      <c r="AI197" s="39"/>
      <c r="AJ197" s="39"/>
      <c r="AK197" s="39"/>
      <c r="AL197" s="39"/>
      <c r="AM197" s="39"/>
      <c r="AN197" s="39"/>
      <c r="AO197" s="39"/>
      <c r="AP197" s="39"/>
      <c r="AQ197" s="39"/>
      <c r="AR197" s="39"/>
      <c r="AS197" s="39"/>
      <c r="AT197" s="39"/>
      <c r="AU197" s="39"/>
      <c r="AV197" s="39"/>
      <c r="AW197" s="39"/>
      <c r="AX197" s="39"/>
      <c r="AY197" s="39"/>
      <c r="AZ197" s="39"/>
      <c r="BA197" s="39"/>
      <c r="BB197" s="39"/>
      <c r="BC197" s="39"/>
      <c r="BD197" s="39"/>
      <c r="BE197" s="39"/>
      <c r="BG197" s="39"/>
      <c r="BH197" s="39"/>
      <c r="BI197" s="39"/>
      <c r="BJ197" s="39"/>
      <c r="BK197" s="39"/>
      <c r="BL197" s="39"/>
      <c r="BM197" s="39"/>
    </row>
    <row r="198" spans="1:65">
      <c r="F198" s="40" t="s">
        <v>110</v>
      </c>
      <c r="G198" s="17" t="str">
        <f>cstPercent</f>
        <v>%</v>
      </c>
      <c r="K198" s="11">
        <f>iOptions!N81</f>
        <v>0.5</v>
      </c>
      <c r="AA198" s="39"/>
      <c r="AB198" s="39"/>
      <c r="AC198" s="39"/>
      <c r="AD198" s="39"/>
      <c r="AE198" s="39"/>
      <c r="AF198" s="39"/>
      <c r="AG198" s="39"/>
      <c r="AH198" s="39"/>
      <c r="AI198" s="39"/>
      <c r="AJ198" s="39"/>
      <c r="AK198" s="39"/>
      <c r="AL198" s="39"/>
      <c r="AM198" s="39"/>
      <c r="AN198" s="39"/>
      <c r="AO198" s="39"/>
      <c r="AP198" s="39"/>
      <c r="AQ198" s="39"/>
      <c r="AR198" s="39"/>
      <c r="AS198" s="39"/>
      <c r="AT198" s="39"/>
      <c r="AU198" s="39"/>
      <c r="AV198" s="39"/>
      <c r="AW198" s="39"/>
      <c r="AX198" s="39"/>
      <c r="AY198" s="39"/>
      <c r="AZ198" s="39"/>
      <c r="BA198" s="39"/>
      <c r="BB198" s="39"/>
      <c r="BC198" s="39"/>
      <c r="BD198" s="39"/>
      <c r="BE198" s="39"/>
      <c r="BG198" s="39"/>
      <c r="BH198" s="39"/>
      <c r="BI198" s="39"/>
      <c r="BJ198" s="39"/>
      <c r="BK198" s="39"/>
      <c r="BL198" s="39"/>
      <c r="BM198" s="39"/>
    </row>
    <row r="199" spans="1:65">
      <c r="F199" s="40" t="s">
        <v>111</v>
      </c>
      <c r="G199" s="17" t="str">
        <f>cstConstantUnit</f>
        <v>£ 2022/23</v>
      </c>
      <c r="K199" s="9">
        <f>iOptions!N82</f>
        <v>5</v>
      </c>
      <c r="AA199" s="39"/>
      <c r="AB199" s="39"/>
      <c r="AC199" s="39"/>
      <c r="AD199" s="39"/>
      <c r="AE199" s="39"/>
      <c r="AF199" s="39"/>
      <c r="AG199" s="39"/>
      <c r="AH199" s="39"/>
      <c r="AI199" s="39"/>
      <c r="AJ199" s="39"/>
      <c r="AK199" s="39"/>
      <c r="AL199" s="39"/>
      <c r="AM199" s="39"/>
      <c r="AN199" s="39"/>
      <c r="AO199" s="39"/>
      <c r="AP199" s="39"/>
      <c r="AQ199" s="39"/>
      <c r="AR199" s="39"/>
      <c r="AS199" s="39"/>
      <c r="AT199" s="39"/>
      <c r="AU199" s="39"/>
      <c r="AV199" s="39"/>
      <c r="AW199" s="39"/>
      <c r="AX199" s="39"/>
      <c r="AY199" s="39"/>
      <c r="AZ199" s="39"/>
      <c r="BA199" s="39"/>
      <c r="BB199" s="39"/>
      <c r="BC199" s="39"/>
      <c r="BD199" s="39"/>
      <c r="BE199" s="39"/>
      <c r="BG199" s="39"/>
      <c r="BH199" s="39"/>
      <c r="BI199" s="39"/>
      <c r="BJ199" s="39"/>
      <c r="BK199" s="39"/>
      <c r="BL199" s="39"/>
      <c r="BM199" s="39"/>
    </row>
    <row r="200" spans="1:65">
      <c r="AB200"/>
      <c r="AC200"/>
      <c r="AD200"/>
      <c r="AE200"/>
      <c r="AF200"/>
      <c r="AG200"/>
      <c r="AH200"/>
      <c r="AI200"/>
      <c r="AJ200"/>
      <c r="AK200"/>
      <c r="AL200"/>
      <c r="AM200"/>
      <c r="AN200"/>
      <c r="AO200"/>
      <c r="AP200"/>
      <c r="AQ200"/>
      <c r="AR200"/>
      <c r="AS200"/>
      <c r="AT200"/>
      <c r="AU200"/>
      <c r="AV200"/>
      <c r="AW200"/>
      <c r="AX200"/>
      <c r="AY200"/>
      <c r="AZ200"/>
      <c r="BA200"/>
      <c r="BB200"/>
      <c r="BC200"/>
      <c r="BD200"/>
      <c r="BE200"/>
    </row>
    <row r="201" spans="1:65">
      <c r="F201" s="18" t="s">
        <v>112</v>
      </c>
      <c r="G201" s="17" t="str">
        <f>cstConstantUnit</f>
        <v>£ 2022/23</v>
      </c>
      <c r="K201" s="9" cm="1">
        <f t="array" ref="K201">INDEX(iOptions!$M$84:$O$84,1,ActiveCostScenarioIndex)</f>
        <v>1000</v>
      </c>
      <c r="AA201" s="39"/>
      <c r="AB201" s="39"/>
      <c r="AC201" s="39"/>
      <c r="AD201" s="39"/>
      <c r="AE201" s="39"/>
      <c r="AF201" s="39"/>
      <c r="AG201" s="39"/>
      <c r="AH201" s="39"/>
      <c r="AI201" s="39"/>
      <c r="AJ201" s="39"/>
      <c r="AK201" s="39"/>
      <c r="AL201" s="39"/>
      <c r="AM201" s="39"/>
      <c r="AN201" s="39"/>
      <c r="AO201" s="39"/>
      <c r="AP201" s="39"/>
      <c r="AQ201" s="39"/>
      <c r="AR201" s="39"/>
      <c r="AS201" s="39"/>
      <c r="AT201" s="39"/>
      <c r="AU201" s="39"/>
      <c r="AV201" s="39"/>
      <c r="AW201" s="39"/>
      <c r="AX201" s="39"/>
      <c r="AY201" s="39"/>
      <c r="AZ201" s="39"/>
      <c r="BA201" s="39"/>
      <c r="BB201" s="39"/>
      <c r="BC201" s="39"/>
      <c r="BD201" s="39"/>
      <c r="BE201" s="39"/>
      <c r="BG201" s="39"/>
      <c r="BH201" s="39"/>
      <c r="BI201" s="39"/>
      <c r="BJ201" s="39"/>
      <c r="BK201" s="39"/>
      <c r="BL201" s="39"/>
      <c r="BM201" s="39"/>
    </row>
    <row r="202" spans="1:65">
      <c r="AB202"/>
      <c r="AC202"/>
      <c r="AD202"/>
      <c r="AE202"/>
      <c r="AF202"/>
      <c r="AG202"/>
      <c r="AH202"/>
      <c r="AI202"/>
      <c r="AJ202"/>
      <c r="AK202"/>
      <c r="AL202"/>
      <c r="AM202"/>
      <c r="AN202"/>
      <c r="AO202"/>
      <c r="AP202"/>
      <c r="AQ202"/>
      <c r="AR202"/>
      <c r="AS202"/>
      <c r="AT202"/>
      <c r="AU202"/>
      <c r="AV202"/>
      <c r="AW202"/>
      <c r="AX202"/>
      <c r="AY202"/>
      <c r="AZ202"/>
      <c r="BA202"/>
      <c r="BB202"/>
      <c r="BC202"/>
      <c r="BD202"/>
      <c r="BE202"/>
    </row>
    <row r="203" spans="1:65">
      <c r="F203" s="40" t="s">
        <v>203</v>
      </c>
      <c r="G203" s="17" t="str">
        <f>cstNum</f>
        <v>#</v>
      </c>
      <c r="K203"/>
      <c r="AA203" s="10">
        <f>cVolumetrics!AA56</f>
        <v>0</v>
      </c>
      <c r="AB203" s="10">
        <f>cVolumetrics!AB56</f>
        <v>58.838912133891213</v>
      </c>
      <c r="AC203" s="10">
        <f>cVolumetrics!AC56</f>
        <v>58.838912133891213</v>
      </c>
      <c r="AD203" s="10">
        <f>cVolumetrics!AD56</f>
        <v>58.838912133891213</v>
      </c>
      <c r="AE203" s="10">
        <f>cVolumetrics!AE56</f>
        <v>58.838912133891213</v>
      </c>
      <c r="AF203" s="10">
        <f>cVolumetrics!AF56</f>
        <v>58.838912133891213</v>
      </c>
      <c r="AG203" s="10">
        <f>cVolumetrics!AG56</f>
        <v>58.838912133891213</v>
      </c>
      <c r="AH203" s="10">
        <f>cVolumetrics!AH56</f>
        <v>58.838912133891213</v>
      </c>
      <c r="AI203" s="10">
        <f>cVolumetrics!AI56</f>
        <v>58.838912133891213</v>
      </c>
      <c r="AJ203" s="10">
        <f>cVolumetrics!AJ56</f>
        <v>58.838912133891213</v>
      </c>
      <c r="AK203" s="10">
        <f>cVolumetrics!AK56</f>
        <v>58.838912133891213</v>
      </c>
      <c r="AL203" s="10">
        <f>cVolumetrics!AL56</f>
        <v>58.838912133891213</v>
      </c>
      <c r="AM203" s="10">
        <f>cVolumetrics!AM56</f>
        <v>58.838912133891213</v>
      </c>
      <c r="AN203" s="10">
        <f>cVolumetrics!AN56</f>
        <v>58.838912133891213</v>
      </c>
      <c r="AO203" s="10">
        <f>cVolumetrics!AO56</f>
        <v>58.838912133891213</v>
      </c>
      <c r="AP203" s="10">
        <f>cVolumetrics!AP56</f>
        <v>58.838912133891213</v>
      </c>
      <c r="AQ203" s="10">
        <f>cVolumetrics!AQ56</f>
        <v>58.838912133891213</v>
      </c>
      <c r="AR203" s="10">
        <f>cVolumetrics!AR56</f>
        <v>58.838912133891213</v>
      </c>
      <c r="AS203" s="10">
        <f>cVolumetrics!AS56</f>
        <v>58.838912133891213</v>
      </c>
      <c r="AT203" s="10">
        <f>cVolumetrics!AT56</f>
        <v>58.838912133891213</v>
      </c>
      <c r="AU203" s="10">
        <f>cVolumetrics!AU56</f>
        <v>58.838912133891213</v>
      </c>
      <c r="AV203" s="10">
        <f>cVolumetrics!AV56</f>
        <v>58.838912133891213</v>
      </c>
      <c r="AW203" s="10">
        <f>cVolumetrics!AW56</f>
        <v>58.838912133891213</v>
      </c>
      <c r="AX203" s="10">
        <f>cVolumetrics!AX56</f>
        <v>58.838912133891213</v>
      </c>
      <c r="AY203" s="10">
        <f>cVolumetrics!AY56</f>
        <v>58.838912133891213</v>
      </c>
      <c r="AZ203" s="10">
        <f>cVolumetrics!AZ56</f>
        <v>58.838912133891213</v>
      </c>
      <c r="BA203" s="10">
        <f>cVolumetrics!BA56</f>
        <v>58.838912133891213</v>
      </c>
      <c r="BB203" s="10">
        <f>cVolumetrics!BB56</f>
        <v>58.838912133891213</v>
      </c>
      <c r="BC203" s="10">
        <f>cVolumetrics!BC56</f>
        <v>58.838912133891213</v>
      </c>
      <c r="BD203" s="10">
        <f>cVolumetrics!BD56</f>
        <v>58.838912133891213</v>
      </c>
      <c r="BE203" s="10">
        <f>cVolumetrics!BE56</f>
        <v>58.838912133891213</v>
      </c>
      <c r="BG203" s="39"/>
      <c r="BH203" s="39"/>
      <c r="BI203" s="39"/>
      <c r="BJ203" s="39"/>
      <c r="BK203" s="39"/>
      <c r="BL203" s="39"/>
      <c r="BM203" s="39"/>
    </row>
    <row r="204" spans="1:65">
      <c r="F204" s="40" t="s">
        <v>205</v>
      </c>
      <c r="G204" s="17" t="str">
        <f>cstNum</f>
        <v>#</v>
      </c>
      <c r="K204"/>
      <c r="AA204" s="10">
        <f>cVolumetrics!AA68</f>
        <v>0</v>
      </c>
      <c r="AB204" s="10">
        <f>cVolumetrics!AB68</f>
        <v>3.9225941422594142</v>
      </c>
      <c r="AC204" s="10">
        <f>cVolumetrics!AC68</f>
        <v>3.9225941422594142</v>
      </c>
      <c r="AD204" s="10">
        <f>cVolumetrics!AD68</f>
        <v>3.9225941422594142</v>
      </c>
      <c r="AE204" s="10">
        <f>cVolumetrics!AE68</f>
        <v>3.9225941422594142</v>
      </c>
      <c r="AF204" s="10">
        <f>cVolumetrics!AF68</f>
        <v>3.9225941422594142</v>
      </c>
      <c r="AG204" s="10">
        <f>cVolumetrics!AG68</f>
        <v>3.9225941422594142</v>
      </c>
      <c r="AH204" s="10">
        <f>cVolumetrics!AH68</f>
        <v>3.9225941422594142</v>
      </c>
      <c r="AI204" s="10">
        <f>cVolumetrics!AI68</f>
        <v>3.9225941422594142</v>
      </c>
      <c r="AJ204" s="10">
        <f>cVolumetrics!AJ68</f>
        <v>3.9225941422594142</v>
      </c>
      <c r="AK204" s="10">
        <f>cVolumetrics!AK68</f>
        <v>3.9225941422594142</v>
      </c>
      <c r="AL204" s="10">
        <f>cVolumetrics!AL68</f>
        <v>3.9225941422594142</v>
      </c>
      <c r="AM204" s="10">
        <f>cVolumetrics!AM68</f>
        <v>3.9225941422594142</v>
      </c>
      <c r="AN204" s="10">
        <f>cVolumetrics!AN68</f>
        <v>3.9225941422594142</v>
      </c>
      <c r="AO204" s="10">
        <f>cVolumetrics!AO68</f>
        <v>3.9225941422594142</v>
      </c>
      <c r="AP204" s="10">
        <f>cVolumetrics!AP68</f>
        <v>3.9225941422594142</v>
      </c>
      <c r="AQ204" s="10">
        <f>cVolumetrics!AQ68</f>
        <v>3.9225941422594142</v>
      </c>
      <c r="AR204" s="10">
        <f>cVolumetrics!AR68</f>
        <v>3.9225941422594142</v>
      </c>
      <c r="AS204" s="10">
        <f>cVolumetrics!AS68</f>
        <v>3.9225941422594142</v>
      </c>
      <c r="AT204" s="10">
        <f>cVolumetrics!AT68</f>
        <v>3.9225941422594142</v>
      </c>
      <c r="AU204" s="10">
        <f>cVolumetrics!AU68</f>
        <v>3.9225941422594142</v>
      </c>
      <c r="AV204" s="10">
        <f>cVolumetrics!AV68</f>
        <v>3.9225941422594142</v>
      </c>
      <c r="AW204" s="10">
        <f>cVolumetrics!AW68</f>
        <v>3.9225941422594142</v>
      </c>
      <c r="AX204" s="10">
        <f>cVolumetrics!AX68</f>
        <v>3.9225941422594142</v>
      </c>
      <c r="AY204" s="10">
        <f>cVolumetrics!AY68</f>
        <v>3.9225941422594142</v>
      </c>
      <c r="AZ204" s="10">
        <f>cVolumetrics!AZ68</f>
        <v>3.9225941422594142</v>
      </c>
      <c r="BA204" s="10">
        <f>cVolumetrics!BA68</f>
        <v>3.9225941422594142</v>
      </c>
      <c r="BB204" s="10">
        <f>cVolumetrics!BB68</f>
        <v>3.9225941422594142</v>
      </c>
      <c r="BC204" s="10">
        <f>cVolumetrics!BC68</f>
        <v>3.9225941422594142</v>
      </c>
      <c r="BD204" s="10">
        <f>cVolumetrics!BD68</f>
        <v>3.9225941422594142</v>
      </c>
      <c r="BE204" s="10">
        <f>cVolumetrics!BE68</f>
        <v>3.9225941422594142</v>
      </c>
      <c r="BG204" s="39"/>
      <c r="BH204" s="39"/>
      <c r="BI204" s="39"/>
      <c r="BJ204" s="39"/>
      <c r="BK204" s="39"/>
      <c r="BL204" s="39"/>
      <c r="BM204" s="39"/>
    </row>
    <row r="206" spans="1:65" ht="13">
      <c r="F206" s="26" t="s">
        <v>327</v>
      </c>
    </row>
    <row r="207" spans="1:65">
      <c r="F207" s="18"/>
      <c r="G207" s="17"/>
    </row>
    <row r="208" spans="1:65">
      <c r="F208" s="18" t="s">
        <v>306</v>
      </c>
      <c r="G208" s="17" t="str">
        <f>cstFlag</f>
        <v>Flag</v>
      </c>
      <c r="AA208" s="14">
        <f t="shared" ref="AA208:BE208" si="61">IF(MOD(AA$5,$K199)=$K$24,1,0)</f>
        <v>0</v>
      </c>
      <c r="AB208" s="14">
        <f t="shared" si="61"/>
        <v>1</v>
      </c>
      <c r="AC208" s="14">
        <f t="shared" si="61"/>
        <v>0</v>
      </c>
      <c r="AD208" s="14">
        <f t="shared" si="61"/>
        <v>0</v>
      </c>
      <c r="AE208" s="14">
        <f t="shared" si="61"/>
        <v>0</v>
      </c>
      <c r="AF208" s="14">
        <f t="shared" si="61"/>
        <v>0</v>
      </c>
      <c r="AG208" s="14">
        <f t="shared" si="61"/>
        <v>1</v>
      </c>
      <c r="AH208" s="14">
        <f t="shared" si="61"/>
        <v>0</v>
      </c>
      <c r="AI208" s="14">
        <f t="shared" si="61"/>
        <v>0</v>
      </c>
      <c r="AJ208" s="14">
        <f t="shared" si="61"/>
        <v>0</v>
      </c>
      <c r="AK208" s="14">
        <f t="shared" si="61"/>
        <v>0</v>
      </c>
      <c r="AL208" s="14">
        <f t="shared" si="61"/>
        <v>1</v>
      </c>
      <c r="AM208" s="14">
        <f t="shared" si="61"/>
        <v>0</v>
      </c>
      <c r="AN208" s="14">
        <f t="shared" si="61"/>
        <v>0</v>
      </c>
      <c r="AO208" s="14">
        <f t="shared" si="61"/>
        <v>0</v>
      </c>
      <c r="AP208" s="14">
        <f t="shared" si="61"/>
        <v>0</v>
      </c>
      <c r="AQ208" s="14">
        <f t="shared" si="61"/>
        <v>1</v>
      </c>
      <c r="AR208" s="14">
        <f t="shared" si="61"/>
        <v>0</v>
      </c>
      <c r="AS208" s="14">
        <f t="shared" si="61"/>
        <v>0</v>
      </c>
      <c r="AT208" s="14">
        <f t="shared" si="61"/>
        <v>0</v>
      </c>
      <c r="AU208" s="14">
        <f t="shared" si="61"/>
        <v>0</v>
      </c>
      <c r="AV208" s="14">
        <f t="shared" si="61"/>
        <v>1</v>
      </c>
      <c r="AW208" s="14">
        <f t="shared" si="61"/>
        <v>0</v>
      </c>
      <c r="AX208" s="14">
        <f t="shared" si="61"/>
        <v>0</v>
      </c>
      <c r="AY208" s="14">
        <f t="shared" si="61"/>
        <v>0</v>
      </c>
      <c r="AZ208" s="14">
        <f t="shared" si="61"/>
        <v>0</v>
      </c>
      <c r="BA208" s="14">
        <f t="shared" si="61"/>
        <v>1</v>
      </c>
      <c r="BB208" s="14">
        <f t="shared" si="61"/>
        <v>0</v>
      </c>
      <c r="BC208" s="14">
        <f t="shared" si="61"/>
        <v>0</v>
      </c>
      <c r="BD208" s="14">
        <f t="shared" si="61"/>
        <v>0</v>
      </c>
      <c r="BE208" s="14">
        <f t="shared" si="61"/>
        <v>0</v>
      </c>
      <c r="BG208" s="39"/>
      <c r="BH208" s="39"/>
      <c r="BI208" s="39"/>
      <c r="BJ208" s="39"/>
      <c r="BK208" s="39"/>
      <c r="BL208" s="39"/>
      <c r="BM208" s="39"/>
    </row>
    <row r="209" spans="1:65" customFormat="1"/>
    <row r="210" spans="1:65">
      <c r="F210" s="40" t="s">
        <v>377</v>
      </c>
      <c r="G210" s="17" t="str">
        <f>cstConstantUnit</f>
        <v>£ 2022/23</v>
      </c>
      <c r="AA210" s="14">
        <f t="shared" ref="AA210:BE210" si="62">IF(AA$22=1,$K$197,0)</f>
        <v>0</v>
      </c>
      <c r="AB210" s="14">
        <f t="shared" si="62"/>
        <v>40000</v>
      </c>
      <c r="AC210" s="14">
        <f t="shared" si="62"/>
        <v>0</v>
      </c>
      <c r="AD210" s="14">
        <f t="shared" si="62"/>
        <v>0</v>
      </c>
      <c r="AE210" s="14">
        <f t="shared" si="62"/>
        <v>0</v>
      </c>
      <c r="AF210" s="14">
        <f t="shared" si="62"/>
        <v>0</v>
      </c>
      <c r="AG210" s="14">
        <f t="shared" si="62"/>
        <v>0</v>
      </c>
      <c r="AH210" s="14">
        <f t="shared" si="62"/>
        <v>0</v>
      </c>
      <c r="AI210" s="14">
        <f t="shared" si="62"/>
        <v>0</v>
      </c>
      <c r="AJ210" s="14">
        <f t="shared" si="62"/>
        <v>0</v>
      </c>
      <c r="AK210" s="14">
        <f t="shared" si="62"/>
        <v>0</v>
      </c>
      <c r="AL210" s="14">
        <f t="shared" si="62"/>
        <v>0</v>
      </c>
      <c r="AM210" s="14">
        <f t="shared" si="62"/>
        <v>0</v>
      </c>
      <c r="AN210" s="14">
        <f t="shared" si="62"/>
        <v>0</v>
      </c>
      <c r="AO210" s="14">
        <f t="shared" si="62"/>
        <v>0</v>
      </c>
      <c r="AP210" s="14">
        <f t="shared" si="62"/>
        <v>0</v>
      </c>
      <c r="AQ210" s="14">
        <f t="shared" si="62"/>
        <v>0</v>
      </c>
      <c r="AR210" s="14">
        <f t="shared" si="62"/>
        <v>0</v>
      </c>
      <c r="AS210" s="14">
        <f t="shared" si="62"/>
        <v>0</v>
      </c>
      <c r="AT210" s="14">
        <f t="shared" si="62"/>
        <v>0</v>
      </c>
      <c r="AU210" s="14">
        <f t="shared" si="62"/>
        <v>0</v>
      </c>
      <c r="AV210" s="14">
        <f t="shared" si="62"/>
        <v>0</v>
      </c>
      <c r="AW210" s="14">
        <f t="shared" si="62"/>
        <v>0</v>
      </c>
      <c r="AX210" s="14">
        <f t="shared" si="62"/>
        <v>0</v>
      </c>
      <c r="AY210" s="14">
        <f t="shared" si="62"/>
        <v>0</v>
      </c>
      <c r="AZ210" s="14">
        <f t="shared" si="62"/>
        <v>0</v>
      </c>
      <c r="BA210" s="14">
        <f t="shared" si="62"/>
        <v>0</v>
      </c>
      <c r="BB210" s="14">
        <f t="shared" si="62"/>
        <v>0</v>
      </c>
      <c r="BC210" s="14">
        <f t="shared" si="62"/>
        <v>0</v>
      </c>
      <c r="BD210" s="14">
        <f t="shared" si="62"/>
        <v>0</v>
      </c>
      <c r="BE210" s="14">
        <f t="shared" si="62"/>
        <v>0</v>
      </c>
      <c r="BG210" s="14">
        <f t="shared" ref="BG210:BM210" si="63">SUMIFS($AA210:$BE210,$AA$2:$BE$2,"&gt;="&amp;BG$2,$AA$3:$BE$3,"&lt;="&amp;BG$3)</f>
        <v>0</v>
      </c>
      <c r="BH210" s="14">
        <f t="shared" si="63"/>
        <v>40000</v>
      </c>
      <c r="BI210" s="14">
        <f t="shared" si="63"/>
        <v>0</v>
      </c>
      <c r="BJ210" s="14">
        <f t="shared" si="63"/>
        <v>0</v>
      </c>
      <c r="BK210" s="14">
        <f t="shared" si="63"/>
        <v>0</v>
      </c>
      <c r="BL210" s="14">
        <f t="shared" si="63"/>
        <v>0</v>
      </c>
      <c r="BM210" s="14">
        <f t="shared" si="63"/>
        <v>0</v>
      </c>
    </row>
    <row r="212" spans="1:65">
      <c r="F212" s="40" t="s">
        <v>378</v>
      </c>
      <c r="G212" s="17" t="str">
        <f>cstConstantUnit</f>
        <v>£ 2022/23</v>
      </c>
      <c r="AA212" s="14">
        <f t="shared" ref="AA212:BE212" si="64">IF(AA$22=1,0,AA$20*AA208*$K$197*$K$198)</f>
        <v>0</v>
      </c>
      <c r="AB212" s="14">
        <f t="shared" si="64"/>
        <v>0</v>
      </c>
      <c r="AC212" s="14">
        <f t="shared" si="64"/>
        <v>0</v>
      </c>
      <c r="AD212" s="14">
        <f t="shared" si="64"/>
        <v>0</v>
      </c>
      <c r="AE212" s="14">
        <f t="shared" si="64"/>
        <v>0</v>
      </c>
      <c r="AF212" s="14">
        <f t="shared" si="64"/>
        <v>0</v>
      </c>
      <c r="AG212" s="14">
        <f t="shared" si="64"/>
        <v>20000</v>
      </c>
      <c r="AH212" s="14">
        <f t="shared" si="64"/>
        <v>0</v>
      </c>
      <c r="AI212" s="14">
        <f t="shared" si="64"/>
        <v>0</v>
      </c>
      <c r="AJ212" s="14">
        <f t="shared" si="64"/>
        <v>0</v>
      </c>
      <c r="AK212" s="14">
        <f t="shared" si="64"/>
        <v>0</v>
      </c>
      <c r="AL212" s="14">
        <f t="shared" si="64"/>
        <v>20000</v>
      </c>
      <c r="AM212" s="14">
        <f t="shared" si="64"/>
        <v>0</v>
      </c>
      <c r="AN212" s="14">
        <f t="shared" si="64"/>
        <v>0</v>
      </c>
      <c r="AO212" s="14">
        <f t="shared" si="64"/>
        <v>0</v>
      </c>
      <c r="AP212" s="14">
        <f t="shared" si="64"/>
        <v>0</v>
      </c>
      <c r="AQ212" s="14">
        <f t="shared" si="64"/>
        <v>20000</v>
      </c>
      <c r="AR212" s="14">
        <f t="shared" si="64"/>
        <v>0</v>
      </c>
      <c r="AS212" s="14">
        <f t="shared" si="64"/>
        <v>0</v>
      </c>
      <c r="AT212" s="14">
        <f t="shared" si="64"/>
        <v>0</v>
      </c>
      <c r="AU212" s="14">
        <f t="shared" si="64"/>
        <v>0</v>
      </c>
      <c r="AV212" s="14">
        <f t="shared" si="64"/>
        <v>20000</v>
      </c>
      <c r="AW212" s="14">
        <f t="shared" si="64"/>
        <v>0</v>
      </c>
      <c r="AX212" s="14">
        <f t="shared" si="64"/>
        <v>0</v>
      </c>
      <c r="AY212" s="14">
        <f t="shared" si="64"/>
        <v>0</v>
      </c>
      <c r="AZ212" s="14">
        <f t="shared" si="64"/>
        <v>0</v>
      </c>
      <c r="BA212" s="14">
        <f t="shared" si="64"/>
        <v>20000</v>
      </c>
      <c r="BB212" s="14">
        <f t="shared" si="64"/>
        <v>0</v>
      </c>
      <c r="BC212" s="14">
        <f t="shared" si="64"/>
        <v>0</v>
      </c>
      <c r="BD212" s="14">
        <f t="shared" si="64"/>
        <v>0</v>
      </c>
      <c r="BE212" s="14">
        <f t="shared" si="64"/>
        <v>0</v>
      </c>
      <c r="BG212" s="14">
        <f t="shared" ref="BG212:BM212" si="65">SUMIFS($AA212:$BE212,$AA$2:$BE$2,"&gt;="&amp;BG$2,$AA$3:$BE$3,"&lt;="&amp;BG$3)</f>
        <v>0</v>
      </c>
      <c r="BH212" s="14">
        <f t="shared" si="65"/>
        <v>0</v>
      </c>
      <c r="BI212" s="14">
        <f t="shared" si="65"/>
        <v>20000</v>
      </c>
      <c r="BJ212" s="14">
        <f t="shared" si="65"/>
        <v>20000</v>
      </c>
      <c r="BK212" s="14">
        <f t="shared" si="65"/>
        <v>20000</v>
      </c>
      <c r="BL212" s="14">
        <f t="shared" si="65"/>
        <v>20000</v>
      </c>
      <c r="BM212" s="14">
        <f t="shared" si="65"/>
        <v>20000</v>
      </c>
    </row>
    <row r="214" spans="1:65">
      <c r="F214" s="118" t="s">
        <v>241</v>
      </c>
      <c r="G214" s="86" t="str">
        <f>cstConstantUnit</f>
        <v>£ 2022/23</v>
      </c>
      <c r="AA214" s="87">
        <f>SUM(AA210,AA212)</f>
        <v>0</v>
      </c>
      <c r="AB214" s="87">
        <f t="shared" ref="AB214:BE214" si="66">SUM(AB210,AB212)</f>
        <v>40000</v>
      </c>
      <c r="AC214" s="87">
        <f t="shared" si="66"/>
        <v>0</v>
      </c>
      <c r="AD214" s="87">
        <f t="shared" si="66"/>
        <v>0</v>
      </c>
      <c r="AE214" s="87">
        <f t="shared" si="66"/>
        <v>0</v>
      </c>
      <c r="AF214" s="87">
        <f t="shared" si="66"/>
        <v>0</v>
      </c>
      <c r="AG214" s="87">
        <f t="shared" si="66"/>
        <v>20000</v>
      </c>
      <c r="AH214" s="87">
        <f t="shared" si="66"/>
        <v>0</v>
      </c>
      <c r="AI214" s="87">
        <f t="shared" si="66"/>
        <v>0</v>
      </c>
      <c r="AJ214" s="87">
        <f t="shared" si="66"/>
        <v>0</v>
      </c>
      <c r="AK214" s="87">
        <f t="shared" si="66"/>
        <v>0</v>
      </c>
      <c r="AL214" s="87">
        <f t="shared" si="66"/>
        <v>20000</v>
      </c>
      <c r="AM214" s="87">
        <f t="shared" si="66"/>
        <v>0</v>
      </c>
      <c r="AN214" s="87">
        <f t="shared" si="66"/>
        <v>0</v>
      </c>
      <c r="AO214" s="87">
        <f t="shared" si="66"/>
        <v>0</v>
      </c>
      <c r="AP214" s="87">
        <f t="shared" si="66"/>
        <v>0</v>
      </c>
      <c r="AQ214" s="87">
        <f t="shared" si="66"/>
        <v>20000</v>
      </c>
      <c r="AR214" s="87">
        <f t="shared" si="66"/>
        <v>0</v>
      </c>
      <c r="AS214" s="87">
        <f t="shared" si="66"/>
        <v>0</v>
      </c>
      <c r="AT214" s="87">
        <f t="shared" si="66"/>
        <v>0</v>
      </c>
      <c r="AU214" s="87">
        <f t="shared" si="66"/>
        <v>0</v>
      </c>
      <c r="AV214" s="87">
        <f t="shared" si="66"/>
        <v>20000</v>
      </c>
      <c r="AW214" s="87">
        <f t="shared" si="66"/>
        <v>0</v>
      </c>
      <c r="AX214" s="87">
        <f t="shared" si="66"/>
        <v>0</v>
      </c>
      <c r="AY214" s="87">
        <f t="shared" si="66"/>
        <v>0</v>
      </c>
      <c r="AZ214" s="87">
        <f t="shared" si="66"/>
        <v>0</v>
      </c>
      <c r="BA214" s="87">
        <f t="shared" si="66"/>
        <v>20000</v>
      </c>
      <c r="BB214" s="87">
        <f t="shared" si="66"/>
        <v>0</v>
      </c>
      <c r="BC214" s="87">
        <f t="shared" si="66"/>
        <v>0</v>
      </c>
      <c r="BD214" s="87">
        <f t="shared" si="66"/>
        <v>0</v>
      </c>
      <c r="BE214" s="87">
        <f t="shared" si="66"/>
        <v>0</v>
      </c>
      <c r="BG214" s="87">
        <f>SUMIFS($AA214:$BE214,$AA$2:$BE$2,"&gt;="&amp;BG$2,$AA$3:$BE$3,"&lt;="&amp;BG$3)</f>
        <v>0</v>
      </c>
      <c r="BH214" s="87">
        <f t="shared" ref="BH214:BM214" si="67">SUMIFS($AA214:$BE214,$AA$2:$BE$2,"&gt;="&amp;BH$2,$AA$3:$BE$3,"&lt;="&amp;BH$3)</f>
        <v>40000</v>
      </c>
      <c r="BI214" s="87">
        <f t="shared" si="67"/>
        <v>20000</v>
      </c>
      <c r="BJ214" s="87">
        <f t="shared" si="67"/>
        <v>20000</v>
      </c>
      <c r="BK214" s="87">
        <f t="shared" si="67"/>
        <v>20000</v>
      </c>
      <c r="BL214" s="87">
        <f t="shared" si="67"/>
        <v>20000</v>
      </c>
      <c r="BM214" s="87">
        <f t="shared" si="67"/>
        <v>20000</v>
      </c>
    </row>
    <row r="215" spans="1:65">
      <c r="F215" s="18"/>
      <c r="G215" s="17"/>
    </row>
    <row r="216" spans="1:65">
      <c r="F216" s="18" t="s">
        <v>240</v>
      </c>
      <c r="G216" s="17" t="str">
        <f>cstConstantUnit</f>
        <v>£ 2022/23</v>
      </c>
      <c r="AA216" s="14">
        <f>$K201*SUM(AA203:AA204)</f>
        <v>0</v>
      </c>
      <c r="AB216" s="14">
        <f t="shared" ref="AB216:BE216" si="68">$K201*SUM(AB203:AB204)</f>
        <v>62761.506276150627</v>
      </c>
      <c r="AC216" s="14">
        <f t="shared" si="68"/>
        <v>62761.506276150627</v>
      </c>
      <c r="AD216" s="14">
        <f t="shared" si="68"/>
        <v>62761.506276150627</v>
      </c>
      <c r="AE216" s="14">
        <f t="shared" si="68"/>
        <v>62761.506276150627</v>
      </c>
      <c r="AF216" s="14">
        <f t="shared" si="68"/>
        <v>62761.506276150627</v>
      </c>
      <c r="AG216" s="14">
        <f t="shared" si="68"/>
        <v>62761.506276150627</v>
      </c>
      <c r="AH216" s="14">
        <f t="shared" si="68"/>
        <v>62761.506276150627</v>
      </c>
      <c r="AI216" s="14">
        <f t="shared" si="68"/>
        <v>62761.506276150627</v>
      </c>
      <c r="AJ216" s="14">
        <f t="shared" si="68"/>
        <v>62761.506276150627</v>
      </c>
      <c r="AK216" s="14">
        <f t="shared" si="68"/>
        <v>62761.506276150627</v>
      </c>
      <c r="AL216" s="14">
        <f t="shared" si="68"/>
        <v>62761.506276150627</v>
      </c>
      <c r="AM216" s="14">
        <f t="shared" si="68"/>
        <v>62761.506276150627</v>
      </c>
      <c r="AN216" s="14">
        <f t="shared" si="68"/>
        <v>62761.506276150627</v>
      </c>
      <c r="AO216" s="14">
        <f t="shared" si="68"/>
        <v>62761.506276150627</v>
      </c>
      <c r="AP216" s="14">
        <f t="shared" si="68"/>
        <v>62761.506276150627</v>
      </c>
      <c r="AQ216" s="14">
        <f t="shared" si="68"/>
        <v>62761.506276150627</v>
      </c>
      <c r="AR216" s="14">
        <f t="shared" si="68"/>
        <v>62761.506276150627</v>
      </c>
      <c r="AS216" s="14">
        <f t="shared" si="68"/>
        <v>62761.506276150627</v>
      </c>
      <c r="AT216" s="14">
        <f t="shared" si="68"/>
        <v>62761.506276150627</v>
      </c>
      <c r="AU216" s="14">
        <f t="shared" si="68"/>
        <v>62761.506276150627</v>
      </c>
      <c r="AV216" s="14">
        <f t="shared" si="68"/>
        <v>62761.506276150627</v>
      </c>
      <c r="AW216" s="14">
        <f t="shared" si="68"/>
        <v>62761.506276150627</v>
      </c>
      <c r="AX216" s="14">
        <f t="shared" si="68"/>
        <v>62761.506276150627</v>
      </c>
      <c r="AY216" s="14">
        <f t="shared" si="68"/>
        <v>62761.506276150627</v>
      </c>
      <c r="AZ216" s="14">
        <f t="shared" si="68"/>
        <v>62761.506276150627</v>
      </c>
      <c r="BA216" s="14">
        <f t="shared" si="68"/>
        <v>62761.506276150627</v>
      </c>
      <c r="BB216" s="14">
        <f t="shared" si="68"/>
        <v>62761.506276150627</v>
      </c>
      <c r="BC216" s="14">
        <f t="shared" si="68"/>
        <v>62761.506276150627</v>
      </c>
      <c r="BD216" s="14">
        <f t="shared" si="68"/>
        <v>62761.506276150627</v>
      </c>
      <c r="BE216" s="14">
        <f t="shared" si="68"/>
        <v>62761.506276150627</v>
      </c>
      <c r="BG216" s="14">
        <f>SUMIFS($AA216:$BE216,$AA$2:$BE$2,"&gt;="&amp;BG$2,$AA$3:$BE$3,"&lt;="&amp;BG$3)</f>
        <v>0</v>
      </c>
      <c r="BH216" s="14">
        <f t="shared" ref="BH216:BM216" si="69">SUMIFS($AA216:$BE216,$AA$2:$BE$2,"&gt;="&amp;BH$2,$AA$3:$BE$3,"&lt;="&amp;BH$3)</f>
        <v>313807.53138075315</v>
      </c>
      <c r="BI216" s="14">
        <f t="shared" si="69"/>
        <v>313807.53138075315</v>
      </c>
      <c r="BJ216" s="14">
        <f t="shared" si="69"/>
        <v>313807.53138075315</v>
      </c>
      <c r="BK216" s="14">
        <f t="shared" si="69"/>
        <v>313807.53138075315</v>
      </c>
      <c r="BL216" s="14">
        <f t="shared" si="69"/>
        <v>313807.53138075315</v>
      </c>
      <c r="BM216" s="14">
        <f t="shared" si="69"/>
        <v>313807.53138075315</v>
      </c>
    </row>
    <row r="217" spans="1:65">
      <c r="F217" s="18"/>
      <c r="G217" s="17"/>
    </row>
    <row r="218" spans="1:65" ht="13">
      <c r="F218" s="26" t="s">
        <v>218</v>
      </c>
    </row>
    <row r="219" spans="1:65">
      <c r="F219" s="18"/>
      <c r="G219" s="17"/>
    </row>
    <row r="220" spans="1:65">
      <c r="F220" s="18" t="s">
        <v>241</v>
      </c>
      <c r="G220" s="17" t="str">
        <f>cstNominalUnit</f>
        <v>£ Nominal</v>
      </c>
      <c r="I220" s="22" t="str">
        <f>iOptions!Q80</f>
        <v>Other Inflation</v>
      </c>
      <c r="AA220" s="14">
        <f t="shared" ref="AA220:BE220" si="70">AA214*_xlfn.IFNA(INDEX(AA$34:AA$38,MATCH($I220,$F$34:$F$38,0)),0)</f>
        <v>0</v>
      </c>
      <c r="AB220" s="14">
        <f t="shared" si="70"/>
        <v>41200</v>
      </c>
      <c r="AC220" s="14">
        <f t="shared" si="70"/>
        <v>0</v>
      </c>
      <c r="AD220" s="14">
        <f t="shared" si="70"/>
        <v>0</v>
      </c>
      <c r="AE220" s="14">
        <f t="shared" si="70"/>
        <v>0</v>
      </c>
      <c r="AF220" s="14">
        <f t="shared" si="70"/>
        <v>0</v>
      </c>
      <c r="AG220" s="14">
        <f t="shared" si="70"/>
        <v>23881.045930580003</v>
      </c>
      <c r="AH220" s="14">
        <f t="shared" si="70"/>
        <v>0</v>
      </c>
      <c r="AI220" s="14">
        <f t="shared" si="70"/>
        <v>0</v>
      </c>
      <c r="AJ220" s="14">
        <f t="shared" si="70"/>
        <v>0</v>
      </c>
      <c r="AK220" s="14">
        <f t="shared" si="70"/>
        <v>0</v>
      </c>
      <c r="AL220" s="14">
        <f t="shared" si="70"/>
        <v>27684.677414488917</v>
      </c>
      <c r="AM220" s="14">
        <f t="shared" si="70"/>
        <v>0</v>
      </c>
      <c r="AN220" s="14">
        <f t="shared" si="70"/>
        <v>0</v>
      </c>
      <c r="AO220" s="14">
        <f t="shared" si="70"/>
        <v>0</v>
      </c>
      <c r="AP220" s="14">
        <f t="shared" si="70"/>
        <v>0</v>
      </c>
      <c r="AQ220" s="14">
        <f t="shared" si="70"/>
        <v>32094.128781975767</v>
      </c>
      <c r="AR220" s="14">
        <f t="shared" si="70"/>
        <v>0</v>
      </c>
      <c r="AS220" s="14">
        <f t="shared" si="70"/>
        <v>0</v>
      </c>
      <c r="AT220" s="14">
        <f t="shared" si="70"/>
        <v>0</v>
      </c>
      <c r="AU220" s="14">
        <f t="shared" si="70"/>
        <v>0</v>
      </c>
      <c r="AV220" s="14">
        <f t="shared" si="70"/>
        <v>37205.891434189951</v>
      </c>
      <c r="AW220" s="14">
        <f t="shared" si="70"/>
        <v>0</v>
      </c>
      <c r="AX220" s="14">
        <f t="shared" si="70"/>
        <v>0</v>
      </c>
      <c r="AY220" s="14">
        <f t="shared" si="70"/>
        <v>0</v>
      </c>
      <c r="AZ220" s="14">
        <f t="shared" si="70"/>
        <v>0</v>
      </c>
      <c r="BA220" s="14">
        <f t="shared" si="70"/>
        <v>43131.825350876861</v>
      </c>
      <c r="BB220" s="14">
        <f t="shared" si="70"/>
        <v>0</v>
      </c>
      <c r="BC220" s="14">
        <f t="shared" si="70"/>
        <v>0</v>
      </c>
      <c r="BD220" s="14">
        <f t="shared" si="70"/>
        <v>0</v>
      </c>
      <c r="BE220" s="14">
        <f t="shared" si="70"/>
        <v>0</v>
      </c>
      <c r="BG220" s="14">
        <f>SUMIFS($AA220:$BE220,$AA$2:$BE$2,"&gt;="&amp;BG$2,$AA$3:$BE$3,"&lt;="&amp;BG$3)</f>
        <v>0</v>
      </c>
      <c r="BH220" s="14">
        <f t="shared" ref="BH220:BM220" si="71">SUMIFS($AA220:$BE220,$AA$2:$BE$2,"&gt;="&amp;BH$2,$AA$3:$BE$3,"&lt;="&amp;BH$3)</f>
        <v>41200</v>
      </c>
      <c r="BI220" s="14">
        <f t="shared" si="71"/>
        <v>23881.045930580003</v>
      </c>
      <c r="BJ220" s="14">
        <f t="shared" si="71"/>
        <v>27684.677414488917</v>
      </c>
      <c r="BK220" s="14">
        <f t="shared" si="71"/>
        <v>32094.128781975767</v>
      </c>
      <c r="BL220" s="14">
        <f t="shared" si="71"/>
        <v>37205.891434189951</v>
      </c>
      <c r="BM220" s="14">
        <f t="shared" si="71"/>
        <v>43131.825350876861</v>
      </c>
    </row>
    <row r="221" spans="1:65">
      <c r="F221" s="18"/>
      <c r="G221" s="17"/>
    </row>
    <row r="222" spans="1:65">
      <c r="F222" s="18" t="s">
        <v>240</v>
      </c>
      <c r="G222" s="17" t="str">
        <f>cstNominalUnit</f>
        <v>£ Nominal</v>
      </c>
      <c r="I222" s="22" t="str">
        <f>iOptions!Q84</f>
        <v>Other Inflation</v>
      </c>
      <c r="AA222" s="14">
        <f t="shared" ref="AA222:BE222" si="72">AA216*_xlfn.IFNA(INDEX(AA$34:AA$38,MATCH($I222,$F$34:$F$38,0)),0)</f>
        <v>0</v>
      </c>
      <c r="AB222" s="14">
        <f t="shared" si="72"/>
        <v>64644.351464435145</v>
      </c>
      <c r="AC222" s="14">
        <f t="shared" si="72"/>
        <v>66583.682008368196</v>
      </c>
      <c r="AD222" s="14">
        <f t="shared" si="72"/>
        <v>68581.192468619251</v>
      </c>
      <c r="AE222" s="14">
        <f t="shared" si="72"/>
        <v>70638.628242677834</v>
      </c>
      <c r="AF222" s="14">
        <f t="shared" si="72"/>
        <v>72757.787089958161</v>
      </c>
      <c r="AG222" s="14">
        <f t="shared" si="72"/>
        <v>74940.520702656911</v>
      </c>
      <c r="AH222" s="14">
        <f t="shared" si="72"/>
        <v>77188.736323736623</v>
      </c>
      <c r="AI222" s="14">
        <f t="shared" si="72"/>
        <v>79504.398413448725</v>
      </c>
      <c r="AJ222" s="14">
        <f t="shared" si="72"/>
        <v>81889.530365852188</v>
      </c>
      <c r="AK222" s="14">
        <f t="shared" si="72"/>
        <v>84346.216276827749</v>
      </c>
      <c r="AL222" s="14">
        <f t="shared" si="72"/>
        <v>86876.602765132586</v>
      </c>
      <c r="AM222" s="14">
        <f t="shared" si="72"/>
        <v>89482.90084808656</v>
      </c>
      <c r="AN222" s="14">
        <f t="shared" si="72"/>
        <v>92167.387873529166</v>
      </c>
      <c r="AO222" s="14">
        <f t="shared" si="72"/>
        <v>94932.409509735051</v>
      </c>
      <c r="AP222" s="14">
        <f t="shared" si="72"/>
        <v>97780.381795027104</v>
      </c>
      <c r="AQ222" s="14">
        <f t="shared" si="72"/>
        <v>100713.79324887793</v>
      </c>
      <c r="AR222" s="14">
        <f t="shared" si="72"/>
        <v>103735.20704634427</v>
      </c>
      <c r="AS222" s="14">
        <f t="shared" si="72"/>
        <v>106847.26325773459</v>
      </c>
      <c r="AT222" s="14">
        <f t="shared" si="72"/>
        <v>110052.68115546663</v>
      </c>
      <c r="AU222" s="14">
        <f t="shared" si="72"/>
        <v>113354.26159013066</v>
      </c>
      <c r="AV222" s="14">
        <f t="shared" si="72"/>
        <v>116754.88943783457</v>
      </c>
      <c r="AW222" s="14">
        <f t="shared" si="72"/>
        <v>120257.53612096963</v>
      </c>
      <c r="AX222" s="14">
        <f t="shared" si="72"/>
        <v>123865.26220459871</v>
      </c>
      <c r="AY222" s="14">
        <f t="shared" si="72"/>
        <v>127581.22007073669</v>
      </c>
      <c r="AZ222" s="14">
        <f t="shared" si="72"/>
        <v>131408.65667285878</v>
      </c>
      <c r="BA222" s="14">
        <f t="shared" si="72"/>
        <v>135350.91637304454</v>
      </c>
      <c r="BB222" s="14">
        <f t="shared" si="72"/>
        <v>139411.44386423589</v>
      </c>
      <c r="BC222" s="14">
        <f t="shared" si="72"/>
        <v>143593.78718016297</v>
      </c>
      <c r="BD222" s="14">
        <f t="shared" si="72"/>
        <v>147901.60079556785</v>
      </c>
      <c r="BE222" s="14">
        <f t="shared" si="72"/>
        <v>152338.64881943489</v>
      </c>
      <c r="BG222" s="14">
        <f>SUMIFS($AA222:$BE222,$AA$2:$BE$2,"&gt;="&amp;BG$2,$AA$3:$BE$3,"&lt;="&amp;BG$3)</f>
        <v>0</v>
      </c>
      <c r="BH222" s="14">
        <f t="shared" ref="BH222:BM222" si="73">SUMIFS($AA222:$BE222,$AA$2:$BE$2,"&gt;="&amp;BH$2,$AA$3:$BE$3,"&lt;="&amp;BH$3)</f>
        <v>343205.64127405855</v>
      </c>
      <c r="BI222" s="14">
        <f t="shared" si="73"/>
        <v>397869.40208252217</v>
      </c>
      <c r="BJ222" s="14">
        <f t="shared" si="73"/>
        <v>461239.68279151048</v>
      </c>
      <c r="BK222" s="14">
        <f t="shared" si="73"/>
        <v>534703.20629855408</v>
      </c>
      <c r="BL222" s="14">
        <f t="shared" si="73"/>
        <v>619867.56450699829</v>
      </c>
      <c r="BM222" s="14">
        <f t="shared" si="73"/>
        <v>718596.39703244623</v>
      </c>
    </row>
    <row r="223" spans="1:65">
      <c r="F223" s="18"/>
      <c r="G223" s="17"/>
    </row>
    <row r="224" spans="1:65" ht="14" thickBot="1">
      <c r="A224" s="25"/>
      <c r="B224" s="25"/>
      <c r="C224" s="25"/>
      <c r="D224" s="25"/>
      <c r="E224" s="25" t="s">
        <v>402</v>
      </c>
      <c r="F224" s="25" t="s">
        <v>232</v>
      </c>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25"/>
      <c r="AG224" s="25"/>
      <c r="AH224" s="25"/>
      <c r="AI224" s="25"/>
      <c r="AJ224" s="25"/>
      <c r="AK224" s="25"/>
      <c r="AL224" s="25"/>
      <c r="AM224" s="25"/>
      <c r="AN224" s="25"/>
      <c r="AO224" s="25"/>
      <c r="AP224" s="25"/>
      <c r="AQ224" s="25"/>
      <c r="AR224" s="25"/>
      <c r="AS224" s="25"/>
      <c r="AT224" s="25"/>
      <c r="AU224" s="25"/>
      <c r="AV224" s="25"/>
      <c r="AW224" s="25"/>
      <c r="AX224" s="25"/>
      <c r="AY224" s="25"/>
      <c r="AZ224" s="25"/>
      <c r="BA224" s="25"/>
      <c r="BB224" s="25"/>
      <c r="BC224" s="25"/>
      <c r="BD224" s="25"/>
      <c r="BE224" s="25"/>
      <c r="BF224" s="25"/>
      <c r="BG224" s="25"/>
      <c r="BH224" s="25"/>
      <c r="BI224" s="25"/>
      <c r="BJ224" s="25"/>
      <c r="BK224" s="25"/>
      <c r="BL224" s="25"/>
      <c r="BM224" s="25"/>
    </row>
    <row r="225" spans="6:65">
      <c r="F225" s="18"/>
      <c r="G225" s="17"/>
    </row>
    <row r="226" spans="6:65" ht="13">
      <c r="F226" s="26" t="s">
        <v>174</v>
      </c>
      <c r="G226" s="17"/>
    </row>
    <row r="227" spans="6:65">
      <c r="F227" s="18"/>
      <c r="G227" s="17"/>
    </row>
    <row r="228" spans="6:65">
      <c r="F228" s="40" t="s">
        <v>103</v>
      </c>
      <c r="G228" s="17" t="str">
        <f>cstConstantUnit</f>
        <v>£ 2022/23</v>
      </c>
      <c r="K228" s="9" cm="1">
        <f t="array" ref="K228">INDEX(iOptions!$M$94:$O$94,1,ActiveCostScenarioIndex)</f>
        <v>1500</v>
      </c>
      <c r="AA228" s="39"/>
      <c r="AB228" s="39"/>
      <c r="AC228" s="39"/>
      <c r="AD228" s="39"/>
      <c r="AE228" s="39"/>
      <c r="AF228" s="39"/>
      <c r="AG228" s="39"/>
      <c r="AH228" s="39"/>
      <c r="AI228" s="39"/>
      <c r="AJ228" s="39"/>
      <c r="AK228" s="39"/>
      <c r="AL228" s="39"/>
      <c r="AM228" s="39"/>
      <c r="AN228" s="39"/>
      <c r="AO228" s="39"/>
      <c r="AP228" s="39"/>
      <c r="AQ228" s="39"/>
      <c r="AR228" s="39"/>
      <c r="AS228" s="39"/>
      <c r="AT228" s="39"/>
      <c r="AU228" s="39"/>
      <c r="AV228" s="39"/>
      <c r="AW228" s="39"/>
      <c r="AX228" s="39"/>
      <c r="AY228" s="39"/>
      <c r="AZ228" s="39"/>
      <c r="BA228" s="39"/>
      <c r="BB228" s="39"/>
      <c r="BC228" s="39"/>
      <c r="BD228" s="39"/>
      <c r="BE228" s="39"/>
      <c r="BG228" s="39"/>
      <c r="BH228" s="39"/>
      <c r="BI228" s="39"/>
      <c r="BJ228" s="39"/>
      <c r="BK228" s="39"/>
      <c r="BL228" s="39"/>
      <c r="BM228" s="39"/>
    </row>
    <row r="229" spans="6:65">
      <c r="F229" s="40" t="s">
        <v>104</v>
      </c>
      <c r="G229" s="17" t="str">
        <f>cstPercent</f>
        <v>%</v>
      </c>
      <c r="K229" s="11">
        <f>iOptions!N95</f>
        <v>0.5</v>
      </c>
      <c r="AA229" s="39"/>
      <c r="AB229" s="39"/>
      <c r="AC229" s="39"/>
      <c r="AD229" s="39"/>
      <c r="AE229" s="39"/>
      <c r="AF229" s="39"/>
      <c r="AG229" s="39"/>
      <c r="AH229" s="39"/>
      <c r="AI229" s="39"/>
      <c r="AJ229" s="39"/>
      <c r="AK229" s="39"/>
      <c r="AL229" s="39"/>
      <c r="AM229" s="39"/>
      <c r="AN229" s="39"/>
      <c r="AO229" s="39"/>
      <c r="AP229" s="39"/>
      <c r="AQ229" s="39"/>
      <c r="AR229" s="39"/>
      <c r="AS229" s="39"/>
      <c r="AT229" s="39"/>
      <c r="AU229" s="39"/>
      <c r="AV229" s="39"/>
      <c r="AW229" s="39"/>
      <c r="AX229" s="39"/>
      <c r="AY229" s="39"/>
      <c r="AZ229" s="39"/>
      <c r="BA229" s="39"/>
      <c r="BB229" s="39"/>
      <c r="BC229" s="39"/>
      <c r="BD229" s="39"/>
      <c r="BE229" s="39"/>
      <c r="BG229" s="39"/>
      <c r="BH229" s="39"/>
      <c r="BI229" s="39"/>
      <c r="BJ229" s="39"/>
      <c r="BK229" s="39"/>
      <c r="BL229" s="39"/>
      <c r="BM229" s="39"/>
    </row>
    <row r="230" spans="6:65">
      <c r="F230" s="40" t="s">
        <v>105</v>
      </c>
      <c r="G230" s="17" t="str">
        <f>cstConstantUnit</f>
        <v>£ 2022/23</v>
      </c>
      <c r="K230" s="9">
        <f>iOptions!N96</f>
        <v>3</v>
      </c>
      <c r="AA230" s="39"/>
      <c r="AB230" s="39"/>
      <c r="AC230" s="39"/>
      <c r="AD230" s="39"/>
      <c r="AE230" s="39"/>
      <c r="AF230" s="39"/>
      <c r="AG230" s="39"/>
      <c r="AH230" s="39"/>
      <c r="AI230" s="39"/>
      <c r="AJ230" s="39"/>
      <c r="AK230" s="39"/>
      <c r="AL230" s="39"/>
      <c r="AM230" s="39"/>
      <c r="AN230" s="39"/>
      <c r="AO230" s="39"/>
      <c r="AP230" s="39"/>
      <c r="AQ230" s="39"/>
      <c r="AR230" s="39"/>
      <c r="AS230" s="39"/>
      <c r="AT230" s="39"/>
      <c r="AU230" s="39"/>
      <c r="AV230" s="39"/>
      <c r="AW230" s="39"/>
      <c r="AX230" s="39"/>
      <c r="AY230" s="39"/>
      <c r="AZ230" s="39"/>
      <c r="BA230" s="39"/>
      <c r="BB230" s="39"/>
      <c r="BC230" s="39"/>
      <c r="BD230" s="39"/>
      <c r="BE230" s="39"/>
      <c r="BG230" s="39"/>
      <c r="BH230" s="39"/>
      <c r="BI230" s="39"/>
      <c r="BJ230" s="39"/>
      <c r="BK230" s="39"/>
      <c r="BL230" s="39"/>
      <c r="BM230" s="39"/>
    </row>
    <row r="231" spans="6:65">
      <c r="AB231"/>
      <c r="AC231"/>
      <c r="AD231"/>
      <c r="AE231"/>
      <c r="AF231"/>
      <c r="AG231"/>
      <c r="AH231"/>
      <c r="AI231"/>
      <c r="AJ231"/>
      <c r="AK231"/>
      <c r="AL231"/>
      <c r="AM231"/>
      <c r="AN231"/>
      <c r="AO231"/>
      <c r="AP231"/>
      <c r="AQ231"/>
      <c r="AR231"/>
      <c r="AS231"/>
      <c r="AT231"/>
      <c r="AU231"/>
      <c r="AV231"/>
      <c r="AW231"/>
      <c r="AX231"/>
      <c r="AY231"/>
      <c r="AZ231"/>
      <c r="BA231"/>
      <c r="BB231"/>
      <c r="BC231"/>
      <c r="BD231"/>
      <c r="BE231"/>
    </row>
    <row r="232" spans="6:65">
      <c r="F232" s="18" t="s">
        <v>209</v>
      </c>
      <c r="G232" s="17" t="str">
        <f>cstConstantUnit</f>
        <v>£ 2022/23</v>
      </c>
      <c r="K232"/>
      <c r="AA232" s="10">
        <f>cVolumetrics!AA87</f>
        <v>0</v>
      </c>
      <c r="AB232" s="10">
        <f>cVolumetrics!AB87</f>
        <v>57.209205020920507</v>
      </c>
      <c r="AC232" s="10">
        <f>cVolumetrics!AC87</f>
        <v>57.209205020920507</v>
      </c>
      <c r="AD232" s="10">
        <f>cVolumetrics!AD87</f>
        <v>57.209205020920507</v>
      </c>
      <c r="AE232" s="10">
        <f>cVolumetrics!AE87</f>
        <v>57.209205020920507</v>
      </c>
      <c r="AF232" s="10">
        <f>cVolumetrics!AF87</f>
        <v>57.209205020920507</v>
      </c>
      <c r="AG232" s="10">
        <f>cVolumetrics!AG87</f>
        <v>57.209205020920507</v>
      </c>
      <c r="AH232" s="10">
        <f>cVolumetrics!AH87</f>
        <v>57.209205020920507</v>
      </c>
      <c r="AI232" s="10">
        <f>cVolumetrics!AI87</f>
        <v>57.209205020920507</v>
      </c>
      <c r="AJ232" s="10">
        <f>cVolumetrics!AJ87</f>
        <v>57.209205020920507</v>
      </c>
      <c r="AK232" s="10">
        <f>cVolumetrics!AK87</f>
        <v>57.209205020920507</v>
      </c>
      <c r="AL232" s="10">
        <f>cVolumetrics!AL87</f>
        <v>57.209205020920507</v>
      </c>
      <c r="AM232" s="10">
        <f>cVolumetrics!AM87</f>
        <v>57.209205020920507</v>
      </c>
      <c r="AN232" s="10">
        <f>cVolumetrics!AN87</f>
        <v>57.209205020920507</v>
      </c>
      <c r="AO232" s="10">
        <f>cVolumetrics!AO87</f>
        <v>57.209205020920507</v>
      </c>
      <c r="AP232" s="10">
        <f>cVolumetrics!AP87</f>
        <v>57.209205020920507</v>
      </c>
      <c r="AQ232" s="10">
        <f>cVolumetrics!AQ87</f>
        <v>57.209205020920507</v>
      </c>
      <c r="AR232" s="10">
        <f>cVolumetrics!AR87</f>
        <v>57.209205020920507</v>
      </c>
      <c r="AS232" s="10">
        <f>cVolumetrics!AS87</f>
        <v>57.209205020920507</v>
      </c>
      <c r="AT232" s="10">
        <f>cVolumetrics!AT87</f>
        <v>57.209205020920507</v>
      </c>
      <c r="AU232" s="10">
        <f>cVolumetrics!AU87</f>
        <v>57.209205020920507</v>
      </c>
      <c r="AV232" s="10">
        <f>cVolumetrics!AV87</f>
        <v>57.209205020920507</v>
      </c>
      <c r="AW232" s="10">
        <f>cVolumetrics!AW87</f>
        <v>57.209205020920507</v>
      </c>
      <c r="AX232" s="10">
        <f>cVolumetrics!AX87</f>
        <v>57.209205020920507</v>
      </c>
      <c r="AY232" s="10">
        <f>cVolumetrics!AY87</f>
        <v>57.209205020920507</v>
      </c>
      <c r="AZ232" s="10">
        <f>cVolumetrics!AZ87</f>
        <v>57.209205020920507</v>
      </c>
      <c r="BA232" s="10">
        <f>cVolumetrics!BA87</f>
        <v>57.209205020920507</v>
      </c>
      <c r="BB232" s="10">
        <f>cVolumetrics!BB87</f>
        <v>57.209205020920507</v>
      </c>
      <c r="BC232" s="10">
        <f>cVolumetrics!BC87</f>
        <v>57.209205020920507</v>
      </c>
      <c r="BD232" s="10">
        <f>cVolumetrics!BD87</f>
        <v>57.209205020920507</v>
      </c>
      <c r="BE232" s="10">
        <f>cVolumetrics!BE87</f>
        <v>57.209205020920507</v>
      </c>
      <c r="BG232" s="39"/>
      <c r="BH232" s="39"/>
      <c r="BI232" s="39"/>
      <c r="BJ232" s="39"/>
      <c r="BK232" s="39"/>
      <c r="BL232" s="39"/>
      <c r="BM232" s="39"/>
    </row>
    <row r="234" spans="6:65" ht="13">
      <c r="F234" s="26" t="s">
        <v>327</v>
      </c>
    </row>
    <row r="235" spans="6:65">
      <c r="F235" s="18"/>
      <c r="G235" s="17"/>
    </row>
    <row r="236" spans="6:65">
      <c r="F236" s="18" t="s">
        <v>303</v>
      </c>
      <c r="G236" s="17" t="str">
        <f>cstFlag</f>
        <v>Flag</v>
      </c>
      <c r="AA236" s="14">
        <f t="shared" ref="AA236:BE236" si="74">IF(MOD(AA$5,$K230)=$K$24,1,0)</f>
        <v>0</v>
      </c>
      <c r="AB236" s="14">
        <f t="shared" si="74"/>
        <v>1</v>
      </c>
      <c r="AC236" s="14">
        <f t="shared" si="74"/>
        <v>0</v>
      </c>
      <c r="AD236" s="14">
        <f t="shared" si="74"/>
        <v>0</v>
      </c>
      <c r="AE236" s="14">
        <f t="shared" si="74"/>
        <v>1</v>
      </c>
      <c r="AF236" s="14">
        <f t="shared" si="74"/>
        <v>0</v>
      </c>
      <c r="AG236" s="14">
        <f t="shared" si="74"/>
        <v>0</v>
      </c>
      <c r="AH236" s="14">
        <f t="shared" si="74"/>
        <v>1</v>
      </c>
      <c r="AI236" s="14">
        <f t="shared" si="74"/>
        <v>0</v>
      </c>
      <c r="AJ236" s="14">
        <f t="shared" si="74"/>
        <v>0</v>
      </c>
      <c r="AK236" s="14">
        <f t="shared" si="74"/>
        <v>1</v>
      </c>
      <c r="AL236" s="14">
        <f t="shared" si="74"/>
        <v>0</v>
      </c>
      <c r="AM236" s="14">
        <f t="shared" si="74"/>
        <v>0</v>
      </c>
      <c r="AN236" s="14">
        <f t="shared" si="74"/>
        <v>1</v>
      </c>
      <c r="AO236" s="14">
        <f t="shared" si="74"/>
        <v>0</v>
      </c>
      <c r="AP236" s="14">
        <f t="shared" si="74"/>
        <v>0</v>
      </c>
      <c r="AQ236" s="14">
        <f t="shared" si="74"/>
        <v>1</v>
      </c>
      <c r="AR236" s="14">
        <f t="shared" si="74"/>
        <v>0</v>
      </c>
      <c r="AS236" s="14">
        <f t="shared" si="74"/>
        <v>0</v>
      </c>
      <c r="AT236" s="14">
        <f t="shared" si="74"/>
        <v>1</v>
      </c>
      <c r="AU236" s="14">
        <f t="shared" si="74"/>
        <v>0</v>
      </c>
      <c r="AV236" s="14">
        <f t="shared" si="74"/>
        <v>0</v>
      </c>
      <c r="AW236" s="14">
        <f t="shared" si="74"/>
        <v>1</v>
      </c>
      <c r="AX236" s="14">
        <f t="shared" si="74"/>
        <v>0</v>
      </c>
      <c r="AY236" s="14">
        <f t="shared" si="74"/>
        <v>0</v>
      </c>
      <c r="AZ236" s="14">
        <f t="shared" si="74"/>
        <v>1</v>
      </c>
      <c r="BA236" s="14">
        <f t="shared" si="74"/>
        <v>0</v>
      </c>
      <c r="BB236" s="14">
        <f t="shared" si="74"/>
        <v>0</v>
      </c>
      <c r="BC236" s="14">
        <f t="shared" si="74"/>
        <v>1</v>
      </c>
      <c r="BD236" s="14">
        <f t="shared" si="74"/>
        <v>0</v>
      </c>
      <c r="BE236" s="14">
        <f t="shared" si="74"/>
        <v>0</v>
      </c>
      <c r="BG236" s="39"/>
      <c r="BH236" s="39"/>
      <c r="BI236" s="39"/>
      <c r="BJ236" s="39"/>
      <c r="BK236" s="39"/>
      <c r="BL236" s="39"/>
      <c r="BM236" s="39"/>
    </row>
    <row r="237" spans="6:65" customFormat="1"/>
    <row r="238" spans="6:65">
      <c r="F238" s="40" t="s">
        <v>370</v>
      </c>
      <c r="G238" s="17" t="str">
        <f>cstConstantUnit</f>
        <v>£ 2022/23</v>
      </c>
      <c r="AA238" s="14">
        <f t="shared" ref="AA238:BE238" si="75">IF(AA$22=1,$K$228,0)*AA232</f>
        <v>0</v>
      </c>
      <c r="AB238" s="14">
        <f t="shared" si="75"/>
        <v>85813.807531380764</v>
      </c>
      <c r="AC238" s="14">
        <f t="shared" si="75"/>
        <v>0</v>
      </c>
      <c r="AD238" s="14">
        <f t="shared" si="75"/>
        <v>0</v>
      </c>
      <c r="AE238" s="14">
        <f t="shared" si="75"/>
        <v>0</v>
      </c>
      <c r="AF238" s="14">
        <f t="shared" si="75"/>
        <v>0</v>
      </c>
      <c r="AG238" s="14">
        <f t="shared" si="75"/>
        <v>0</v>
      </c>
      <c r="AH238" s="14">
        <f t="shared" si="75"/>
        <v>0</v>
      </c>
      <c r="AI238" s="14">
        <f t="shared" si="75"/>
        <v>0</v>
      </c>
      <c r="AJ238" s="14">
        <f t="shared" si="75"/>
        <v>0</v>
      </c>
      <c r="AK238" s="14">
        <f t="shared" si="75"/>
        <v>0</v>
      </c>
      <c r="AL238" s="14">
        <f t="shared" si="75"/>
        <v>0</v>
      </c>
      <c r="AM238" s="14">
        <f t="shared" si="75"/>
        <v>0</v>
      </c>
      <c r="AN238" s="14">
        <f t="shared" si="75"/>
        <v>0</v>
      </c>
      <c r="AO238" s="14">
        <f t="shared" si="75"/>
        <v>0</v>
      </c>
      <c r="AP238" s="14">
        <f t="shared" si="75"/>
        <v>0</v>
      </c>
      <c r="AQ238" s="14">
        <f t="shared" si="75"/>
        <v>0</v>
      </c>
      <c r="AR238" s="14">
        <f t="shared" si="75"/>
        <v>0</v>
      </c>
      <c r="AS238" s="14">
        <f t="shared" si="75"/>
        <v>0</v>
      </c>
      <c r="AT238" s="14">
        <f t="shared" si="75"/>
        <v>0</v>
      </c>
      <c r="AU238" s="14">
        <f t="shared" si="75"/>
        <v>0</v>
      </c>
      <c r="AV238" s="14">
        <f t="shared" si="75"/>
        <v>0</v>
      </c>
      <c r="AW238" s="14">
        <f t="shared" si="75"/>
        <v>0</v>
      </c>
      <c r="AX238" s="14">
        <f t="shared" si="75"/>
        <v>0</v>
      </c>
      <c r="AY238" s="14">
        <f t="shared" si="75"/>
        <v>0</v>
      </c>
      <c r="AZ238" s="14">
        <f t="shared" si="75"/>
        <v>0</v>
      </c>
      <c r="BA238" s="14">
        <f t="shared" si="75"/>
        <v>0</v>
      </c>
      <c r="BB238" s="14">
        <f t="shared" si="75"/>
        <v>0</v>
      </c>
      <c r="BC238" s="14">
        <f t="shared" si="75"/>
        <v>0</v>
      </c>
      <c r="BD238" s="14">
        <f t="shared" si="75"/>
        <v>0</v>
      </c>
      <c r="BE238" s="14">
        <f t="shared" si="75"/>
        <v>0</v>
      </c>
      <c r="BG238" s="14">
        <f t="shared" ref="BG238:BM238" si="76">SUMIFS($AA238:$BE238,$AA$2:$BE$2,"&gt;="&amp;BG$2,$AA$3:$BE$3,"&lt;="&amp;BG$3)</f>
        <v>0</v>
      </c>
      <c r="BH238" s="14">
        <f t="shared" si="76"/>
        <v>85813.807531380764</v>
      </c>
      <c r="BI238" s="14">
        <f t="shared" si="76"/>
        <v>0</v>
      </c>
      <c r="BJ238" s="14">
        <f t="shared" si="76"/>
        <v>0</v>
      </c>
      <c r="BK238" s="14">
        <f t="shared" si="76"/>
        <v>0</v>
      </c>
      <c r="BL238" s="14">
        <f t="shared" si="76"/>
        <v>0</v>
      </c>
      <c r="BM238" s="14">
        <f t="shared" si="76"/>
        <v>0</v>
      </c>
    </row>
    <row r="240" spans="6:65">
      <c r="F240" s="40" t="s">
        <v>371</v>
      </c>
      <c r="G240" s="17" t="str">
        <f>cstConstantUnit</f>
        <v>£ 2022/23</v>
      </c>
      <c r="AA240" s="14">
        <f t="shared" ref="AA240:BE240" si="77">IF(AA$22=1,0,AA$20*AA236*$K$228*$K$229)*AA232</f>
        <v>0</v>
      </c>
      <c r="AB240" s="14">
        <f t="shared" si="77"/>
        <v>0</v>
      </c>
      <c r="AC240" s="14">
        <f t="shared" si="77"/>
        <v>0</v>
      </c>
      <c r="AD240" s="14">
        <f t="shared" si="77"/>
        <v>0</v>
      </c>
      <c r="AE240" s="14">
        <f t="shared" si="77"/>
        <v>42906.903765690382</v>
      </c>
      <c r="AF240" s="14">
        <f t="shared" si="77"/>
        <v>0</v>
      </c>
      <c r="AG240" s="14">
        <f t="shared" si="77"/>
        <v>0</v>
      </c>
      <c r="AH240" s="14">
        <f t="shared" si="77"/>
        <v>42906.903765690382</v>
      </c>
      <c r="AI240" s="14">
        <f t="shared" si="77"/>
        <v>0</v>
      </c>
      <c r="AJ240" s="14">
        <f t="shared" si="77"/>
        <v>0</v>
      </c>
      <c r="AK240" s="14">
        <f t="shared" si="77"/>
        <v>42906.903765690382</v>
      </c>
      <c r="AL240" s="14">
        <f t="shared" si="77"/>
        <v>0</v>
      </c>
      <c r="AM240" s="14">
        <f t="shared" si="77"/>
        <v>0</v>
      </c>
      <c r="AN240" s="14">
        <f t="shared" si="77"/>
        <v>42906.903765690382</v>
      </c>
      <c r="AO240" s="14">
        <f t="shared" si="77"/>
        <v>0</v>
      </c>
      <c r="AP240" s="14">
        <f t="shared" si="77"/>
        <v>0</v>
      </c>
      <c r="AQ240" s="14">
        <f t="shared" si="77"/>
        <v>42906.903765690382</v>
      </c>
      <c r="AR240" s="14">
        <f t="shared" si="77"/>
        <v>0</v>
      </c>
      <c r="AS240" s="14">
        <f t="shared" si="77"/>
        <v>0</v>
      </c>
      <c r="AT240" s="14">
        <f t="shared" si="77"/>
        <v>42906.903765690382</v>
      </c>
      <c r="AU240" s="14">
        <f t="shared" si="77"/>
        <v>0</v>
      </c>
      <c r="AV240" s="14">
        <f t="shared" si="77"/>
        <v>0</v>
      </c>
      <c r="AW240" s="14">
        <f t="shared" si="77"/>
        <v>42906.903765690382</v>
      </c>
      <c r="AX240" s="14">
        <f t="shared" si="77"/>
        <v>0</v>
      </c>
      <c r="AY240" s="14">
        <f t="shared" si="77"/>
        <v>0</v>
      </c>
      <c r="AZ240" s="14">
        <f t="shared" si="77"/>
        <v>42906.903765690382</v>
      </c>
      <c r="BA240" s="14">
        <f t="shared" si="77"/>
        <v>0</v>
      </c>
      <c r="BB240" s="14">
        <f t="shared" si="77"/>
        <v>0</v>
      </c>
      <c r="BC240" s="14">
        <f t="shared" si="77"/>
        <v>42906.903765690382</v>
      </c>
      <c r="BD240" s="14">
        <f t="shared" si="77"/>
        <v>0</v>
      </c>
      <c r="BE240" s="14">
        <f t="shared" si="77"/>
        <v>0</v>
      </c>
      <c r="BG240" s="14">
        <f t="shared" ref="BG240:BM240" si="78">SUMIFS($AA240:$BE240,$AA$2:$BE$2,"&gt;="&amp;BG$2,$AA$3:$BE$3,"&lt;="&amp;BG$3)</f>
        <v>0</v>
      </c>
      <c r="BH240" s="14">
        <f t="shared" si="78"/>
        <v>42906.903765690382</v>
      </c>
      <c r="BI240" s="14">
        <f t="shared" si="78"/>
        <v>85813.807531380764</v>
      </c>
      <c r="BJ240" s="14">
        <f t="shared" si="78"/>
        <v>42906.903765690382</v>
      </c>
      <c r="BK240" s="14">
        <f t="shared" si="78"/>
        <v>85813.807531380764</v>
      </c>
      <c r="BL240" s="14">
        <f t="shared" si="78"/>
        <v>85813.807531380764</v>
      </c>
      <c r="BM240" s="14">
        <f t="shared" si="78"/>
        <v>42906.903765690382</v>
      </c>
    </row>
    <row r="242" spans="1:65">
      <c r="F242" s="118" t="s">
        <v>232</v>
      </c>
      <c r="G242" s="86" t="str">
        <f>cstConstantUnit</f>
        <v>£ 2022/23</v>
      </c>
      <c r="AA242" s="87">
        <f>SUM(AA238,AA240)</f>
        <v>0</v>
      </c>
      <c r="AB242" s="87">
        <f t="shared" ref="AB242:BE242" si="79">SUM(AB238,AB240)</f>
        <v>85813.807531380764</v>
      </c>
      <c r="AC242" s="87">
        <f t="shared" si="79"/>
        <v>0</v>
      </c>
      <c r="AD242" s="87">
        <f t="shared" si="79"/>
        <v>0</v>
      </c>
      <c r="AE242" s="87">
        <f t="shared" si="79"/>
        <v>42906.903765690382</v>
      </c>
      <c r="AF242" s="87">
        <f t="shared" si="79"/>
        <v>0</v>
      </c>
      <c r="AG242" s="87">
        <f t="shared" si="79"/>
        <v>0</v>
      </c>
      <c r="AH242" s="87">
        <f t="shared" si="79"/>
        <v>42906.903765690382</v>
      </c>
      <c r="AI242" s="87">
        <f t="shared" si="79"/>
        <v>0</v>
      </c>
      <c r="AJ242" s="87">
        <f t="shared" si="79"/>
        <v>0</v>
      </c>
      <c r="AK242" s="87">
        <f t="shared" si="79"/>
        <v>42906.903765690382</v>
      </c>
      <c r="AL242" s="87">
        <f t="shared" si="79"/>
        <v>0</v>
      </c>
      <c r="AM242" s="87">
        <f t="shared" si="79"/>
        <v>0</v>
      </c>
      <c r="AN242" s="87">
        <f t="shared" si="79"/>
        <v>42906.903765690382</v>
      </c>
      <c r="AO242" s="87">
        <f t="shared" si="79"/>
        <v>0</v>
      </c>
      <c r="AP242" s="87">
        <f t="shared" si="79"/>
        <v>0</v>
      </c>
      <c r="AQ242" s="87">
        <f t="shared" si="79"/>
        <v>42906.903765690382</v>
      </c>
      <c r="AR242" s="87">
        <f t="shared" si="79"/>
        <v>0</v>
      </c>
      <c r="AS242" s="87">
        <f t="shared" si="79"/>
        <v>0</v>
      </c>
      <c r="AT242" s="87">
        <f t="shared" si="79"/>
        <v>42906.903765690382</v>
      </c>
      <c r="AU242" s="87">
        <f t="shared" si="79"/>
        <v>0</v>
      </c>
      <c r="AV242" s="87">
        <f t="shared" si="79"/>
        <v>0</v>
      </c>
      <c r="AW242" s="87">
        <f t="shared" si="79"/>
        <v>42906.903765690382</v>
      </c>
      <c r="AX242" s="87">
        <f t="shared" si="79"/>
        <v>0</v>
      </c>
      <c r="AY242" s="87">
        <f t="shared" si="79"/>
        <v>0</v>
      </c>
      <c r="AZ242" s="87">
        <f t="shared" si="79"/>
        <v>42906.903765690382</v>
      </c>
      <c r="BA242" s="87">
        <f t="shared" si="79"/>
        <v>0</v>
      </c>
      <c r="BB242" s="87">
        <f t="shared" si="79"/>
        <v>0</v>
      </c>
      <c r="BC242" s="87">
        <f t="shared" si="79"/>
        <v>42906.903765690382</v>
      </c>
      <c r="BD242" s="87">
        <f t="shared" si="79"/>
        <v>0</v>
      </c>
      <c r="BE242" s="87">
        <f t="shared" si="79"/>
        <v>0</v>
      </c>
      <c r="BG242" s="87">
        <f>SUMIFS($AA242:$BE242,$AA$2:$BE$2,"&gt;="&amp;BG$2,$AA$3:$BE$3,"&lt;="&amp;BG$3)</f>
        <v>0</v>
      </c>
      <c r="BH242" s="87">
        <f t="shared" ref="BH242:BM242" si="80">SUMIFS($AA242:$BE242,$AA$2:$BE$2,"&gt;="&amp;BH$2,$AA$3:$BE$3,"&lt;="&amp;BH$3)</f>
        <v>128720.71129707115</v>
      </c>
      <c r="BI242" s="87">
        <f t="shared" si="80"/>
        <v>85813.807531380764</v>
      </c>
      <c r="BJ242" s="87">
        <f t="shared" si="80"/>
        <v>42906.903765690382</v>
      </c>
      <c r="BK242" s="87">
        <f t="shared" si="80"/>
        <v>85813.807531380764</v>
      </c>
      <c r="BL242" s="87">
        <f t="shared" si="80"/>
        <v>85813.807531380764</v>
      </c>
      <c r="BM242" s="87">
        <f t="shared" si="80"/>
        <v>42906.903765690382</v>
      </c>
    </row>
    <row r="243" spans="1:65">
      <c r="F243" s="18"/>
      <c r="G243" s="17"/>
    </row>
    <row r="244" spans="1:65" ht="13">
      <c r="F244" s="26" t="s">
        <v>218</v>
      </c>
    </row>
    <row r="245" spans="1:65">
      <c r="F245" s="18"/>
      <c r="G245" s="17"/>
    </row>
    <row r="246" spans="1:65">
      <c r="F246" s="18" t="s">
        <v>232</v>
      </c>
      <c r="G246" s="17" t="str">
        <f>cstNominalUnit</f>
        <v>£ Nominal</v>
      </c>
      <c r="I246" s="22" t="str">
        <f>iOptions!Q94</f>
        <v>Other Inflation</v>
      </c>
      <c r="AA246" s="14">
        <f t="shared" ref="AA246:BE246" si="81">AA242*_xlfn.IFNA(INDEX(AA$34:AA$38,MATCH($I246,$F$34:$F$38,0)),0)</f>
        <v>0</v>
      </c>
      <c r="AB246" s="14">
        <f t="shared" si="81"/>
        <v>88388.221757322186</v>
      </c>
      <c r="AC246" s="14">
        <f t="shared" si="81"/>
        <v>0</v>
      </c>
      <c r="AD246" s="14">
        <f t="shared" si="81"/>
        <v>0</v>
      </c>
      <c r="AE246" s="14">
        <f t="shared" si="81"/>
        <v>48292.098198106709</v>
      </c>
      <c r="AF246" s="14">
        <f t="shared" si="81"/>
        <v>0</v>
      </c>
      <c r="AG246" s="14">
        <f t="shared" si="81"/>
        <v>0</v>
      </c>
      <c r="AH246" s="14">
        <f t="shared" si="81"/>
        <v>52770.079587722546</v>
      </c>
      <c r="AI246" s="14">
        <f t="shared" si="81"/>
        <v>0</v>
      </c>
      <c r="AJ246" s="14">
        <f t="shared" si="81"/>
        <v>0</v>
      </c>
      <c r="AK246" s="14">
        <f t="shared" si="81"/>
        <v>57663.290757653303</v>
      </c>
      <c r="AL246" s="14">
        <f t="shared" si="81"/>
        <v>0</v>
      </c>
      <c r="AM246" s="14">
        <f t="shared" si="81"/>
        <v>0</v>
      </c>
      <c r="AN246" s="14">
        <f t="shared" si="81"/>
        <v>63010.234719738226</v>
      </c>
      <c r="AO246" s="14">
        <f t="shared" si="81"/>
        <v>0</v>
      </c>
      <c r="AP246" s="14">
        <f t="shared" si="81"/>
        <v>0</v>
      </c>
      <c r="AQ246" s="14">
        <f t="shared" si="81"/>
        <v>68852.984754595411</v>
      </c>
      <c r="AR246" s="14">
        <f t="shared" si="81"/>
        <v>0</v>
      </c>
      <c r="AS246" s="14">
        <f t="shared" si="81"/>
        <v>0</v>
      </c>
      <c r="AT246" s="14">
        <f t="shared" si="81"/>
        <v>75237.515471934777</v>
      </c>
      <c r="AU246" s="14">
        <f t="shared" si="81"/>
        <v>0</v>
      </c>
      <c r="AV246" s="14">
        <f t="shared" si="81"/>
        <v>0</v>
      </c>
      <c r="AW246" s="14">
        <f t="shared" si="81"/>
        <v>82214.064569100898</v>
      </c>
      <c r="AX246" s="14">
        <f t="shared" si="81"/>
        <v>0</v>
      </c>
      <c r="AY246" s="14">
        <f t="shared" si="81"/>
        <v>0</v>
      </c>
      <c r="AZ246" s="14">
        <f t="shared" si="81"/>
        <v>89837.528134399909</v>
      </c>
      <c r="BA246" s="14">
        <f t="shared" si="81"/>
        <v>0</v>
      </c>
      <c r="BB246" s="14">
        <f t="shared" si="81"/>
        <v>0</v>
      </c>
      <c r="BC246" s="14">
        <f t="shared" si="81"/>
        <v>98167.892605718429</v>
      </c>
      <c r="BD246" s="14">
        <f t="shared" si="81"/>
        <v>0</v>
      </c>
      <c r="BE246" s="14">
        <f t="shared" si="81"/>
        <v>0</v>
      </c>
      <c r="BG246" s="14">
        <f>SUMIFS($AA246:$BE246,$AA$2:$BE$2,"&gt;="&amp;BG$2,$AA$3:$BE$3,"&lt;="&amp;BG$3)</f>
        <v>0</v>
      </c>
      <c r="BH246" s="14">
        <f t="shared" ref="BH246:BM246" si="82">SUMIFS($AA246:$BE246,$AA$2:$BE$2,"&gt;="&amp;BH$2,$AA$3:$BE$3,"&lt;="&amp;BH$3)</f>
        <v>136680.31995542889</v>
      </c>
      <c r="BI246" s="14">
        <f t="shared" si="82"/>
        <v>110433.37034537585</v>
      </c>
      <c r="BJ246" s="14">
        <f t="shared" si="82"/>
        <v>63010.234719738226</v>
      </c>
      <c r="BK246" s="14">
        <f t="shared" si="82"/>
        <v>144090.50022653019</v>
      </c>
      <c r="BL246" s="14">
        <f t="shared" si="82"/>
        <v>172051.59270350082</v>
      </c>
      <c r="BM246" s="14">
        <f t="shared" si="82"/>
        <v>98167.892605718429</v>
      </c>
    </row>
    <row r="247" spans="1:65">
      <c r="F247" s="18"/>
      <c r="G247" s="17"/>
    </row>
    <row r="248" spans="1:65" ht="14" thickBot="1">
      <c r="A248" s="25"/>
      <c r="B248" s="25"/>
      <c r="C248" s="25"/>
      <c r="D248" s="25"/>
      <c r="E248" s="25" t="s">
        <v>403</v>
      </c>
      <c r="F248" s="25" t="s">
        <v>242</v>
      </c>
      <c r="G248" s="25"/>
      <c r="H248" s="25"/>
      <c r="I248" s="25"/>
      <c r="J248" s="25"/>
      <c r="K248" s="25"/>
      <c r="L248" s="25"/>
      <c r="M248" s="25"/>
      <c r="N248" s="25"/>
      <c r="O248" s="25"/>
      <c r="P248" s="25"/>
      <c r="Q248" s="25"/>
      <c r="R248" s="25"/>
      <c r="S248" s="25"/>
      <c r="T248" s="25"/>
      <c r="U248" s="25"/>
      <c r="V248" s="25"/>
      <c r="W248" s="25"/>
      <c r="X248" s="25"/>
      <c r="Y248" s="25"/>
      <c r="Z248" s="25"/>
      <c r="AA248" s="25"/>
      <c r="AB248" s="25"/>
      <c r="AC248" s="25"/>
      <c r="AD248" s="25"/>
      <c r="AE248" s="25"/>
      <c r="AF248" s="25"/>
      <c r="AG248" s="25"/>
      <c r="AH248" s="25"/>
      <c r="AI248" s="25"/>
      <c r="AJ248" s="25"/>
      <c r="AK248" s="25"/>
      <c r="AL248" s="25"/>
      <c r="AM248" s="25"/>
      <c r="AN248" s="25"/>
      <c r="AO248" s="25"/>
      <c r="AP248" s="25"/>
      <c r="AQ248" s="25"/>
      <c r="AR248" s="25"/>
      <c r="AS248" s="25"/>
      <c r="AT248" s="25"/>
      <c r="AU248" s="25"/>
      <c r="AV248" s="25"/>
      <c r="AW248" s="25"/>
      <c r="AX248" s="25"/>
      <c r="AY248" s="25"/>
      <c r="AZ248" s="25"/>
      <c r="BA248" s="25"/>
      <c r="BB248" s="25"/>
      <c r="BC248" s="25"/>
      <c r="BD248" s="25"/>
      <c r="BE248" s="25"/>
      <c r="BF248" s="25"/>
      <c r="BG248" s="25"/>
      <c r="BH248" s="25"/>
      <c r="BI248" s="25"/>
      <c r="BJ248" s="25"/>
      <c r="BK248" s="25"/>
      <c r="BL248" s="25"/>
      <c r="BM248" s="25"/>
    </row>
    <row r="249" spans="1:65">
      <c r="F249" s="18"/>
      <c r="G249" s="17"/>
    </row>
    <row r="250" spans="1:65" ht="13">
      <c r="F250" s="26" t="s">
        <v>174</v>
      </c>
      <c r="G250" s="17"/>
    </row>
    <row r="251" spans="1:65">
      <c r="F251" s="18"/>
      <c r="G251" s="17"/>
    </row>
    <row r="252" spans="1:65">
      <c r="F252" s="40" t="s">
        <v>334</v>
      </c>
      <c r="G252" s="17" t="str">
        <f>cstConstantUnit</f>
        <v>£ 2022/23</v>
      </c>
      <c r="K252" s="9" cm="1">
        <f t="array" ref="K252">INDEX(iOptions!$M$90:$O$90,1,ActiveCostScenarioIndex)</f>
        <v>400</v>
      </c>
      <c r="AA252" s="39"/>
      <c r="AB252" s="39"/>
      <c r="AC252" s="39"/>
      <c r="AD252" s="39"/>
      <c r="AE252" s="39"/>
      <c r="AF252" s="39"/>
      <c r="AG252" s="39"/>
      <c r="AH252" s="39"/>
      <c r="AI252" s="39"/>
      <c r="AJ252" s="39"/>
      <c r="AK252" s="39"/>
      <c r="AL252" s="39"/>
      <c r="AM252" s="39"/>
      <c r="AN252" s="39"/>
      <c r="AO252" s="39"/>
      <c r="AP252" s="39"/>
      <c r="AQ252" s="39"/>
      <c r="AR252" s="39"/>
      <c r="AS252" s="39"/>
      <c r="AT252" s="39"/>
      <c r="AU252" s="39"/>
      <c r="AV252" s="39"/>
      <c r="AW252" s="39"/>
      <c r="AX252" s="39"/>
      <c r="AY252" s="39"/>
      <c r="AZ252" s="39"/>
      <c r="BA252" s="39"/>
      <c r="BB252" s="39"/>
      <c r="BC252" s="39"/>
      <c r="BD252" s="39"/>
      <c r="BE252" s="39"/>
      <c r="BG252" s="39"/>
      <c r="BH252" s="39"/>
      <c r="BI252" s="39"/>
      <c r="BJ252" s="39"/>
      <c r="BK252" s="39"/>
      <c r="BL252" s="39"/>
      <c r="BM252" s="39"/>
    </row>
    <row r="254" spans="1:65">
      <c r="F254" s="18" t="s">
        <v>209</v>
      </c>
      <c r="G254" s="17" t="str">
        <f>cstConstantUnit</f>
        <v>£ 2022/23</v>
      </c>
      <c r="AA254" s="10">
        <f>cVolumetrics!AA87</f>
        <v>0</v>
      </c>
      <c r="AB254" s="10">
        <f>cVolumetrics!AB87</f>
        <v>57.209205020920507</v>
      </c>
      <c r="AC254" s="10">
        <f>cVolumetrics!AC87</f>
        <v>57.209205020920507</v>
      </c>
      <c r="AD254" s="10">
        <f>cVolumetrics!AD87</f>
        <v>57.209205020920507</v>
      </c>
      <c r="AE254" s="10">
        <f>cVolumetrics!AE87</f>
        <v>57.209205020920507</v>
      </c>
      <c r="AF254" s="10">
        <f>cVolumetrics!AF87</f>
        <v>57.209205020920507</v>
      </c>
      <c r="AG254" s="10">
        <f>cVolumetrics!AG87</f>
        <v>57.209205020920507</v>
      </c>
      <c r="AH254" s="10">
        <f>cVolumetrics!AH87</f>
        <v>57.209205020920507</v>
      </c>
      <c r="AI254" s="10">
        <f>cVolumetrics!AI87</f>
        <v>57.209205020920507</v>
      </c>
      <c r="AJ254" s="10">
        <f>cVolumetrics!AJ87</f>
        <v>57.209205020920507</v>
      </c>
      <c r="AK254" s="10">
        <f>cVolumetrics!AK87</f>
        <v>57.209205020920507</v>
      </c>
      <c r="AL254" s="10">
        <f>cVolumetrics!AL87</f>
        <v>57.209205020920507</v>
      </c>
      <c r="AM254" s="10">
        <f>cVolumetrics!AM87</f>
        <v>57.209205020920507</v>
      </c>
      <c r="AN254" s="10">
        <f>cVolumetrics!AN87</f>
        <v>57.209205020920507</v>
      </c>
      <c r="AO254" s="10">
        <f>cVolumetrics!AO87</f>
        <v>57.209205020920507</v>
      </c>
      <c r="AP254" s="10">
        <f>cVolumetrics!AP87</f>
        <v>57.209205020920507</v>
      </c>
      <c r="AQ254" s="10">
        <f>cVolumetrics!AQ87</f>
        <v>57.209205020920507</v>
      </c>
      <c r="AR254" s="10">
        <f>cVolumetrics!AR87</f>
        <v>57.209205020920507</v>
      </c>
      <c r="AS254" s="10">
        <f>cVolumetrics!AS87</f>
        <v>57.209205020920507</v>
      </c>
      <c r="AT254" s="10">
        <f>cVolumetrics!AT87</f>
        <v>57.209205020920507</v>
      </c>
      <c r="AU254" s="10">
        <f>cVolumetrics!AU87</f>
        <v>57.209205020920507</v>
      </c>
      <c r="AV254" s="10">
        <f>cVolumetrics!AV87</f>
        <v>57.209205020920507</v>
      </c>
      <c r="AW254" s="10">
        <f>cVolumetrics!AW87</f>
        <v>57.209205020920507</v>
      </c>
      <c r="AX254" s="10">
        <f>cVolumetrics!AX87</f>
        <v>57.209205020920507</v>
      </c>
      <c r="AY254" s="10">
        <f>cVolumetrics!AY87</f>
        <v>57.209205020920507</v>
      </c>
      <c r="AZ254" s="10">
        <f>cVolumetrics!AZ87</f>
        <v>57.209205020920507</v>
      </c>
      <c r="BA254" s="10">
        <f>cVolumetrics!BA87</f>
        <v>57.209205020920507</v>
      </c>
      <c r="BB254" s="10">
        <f>cVolumetrics!BB87</f>
        <v>57.209205020920507</v>
      </c>
      <c r="BC254" s="10">
        <f>cVolumetrics!BC87</f>
        <v>57.209205020920507</v>
      </c>
      <c r="BD254" s="10">
        <f>cVolumetrics!BD87</f>
        <v>57.209205020920507</v>
      </c>
      <c r="BE254" s="10">
        <f>cVolumetrics!BE87</f>
        <v>57.209205020920507</v>
      </c>
      <c r="BG254" s="39"/>
      <c r="BH254" s="39"/>
      <c r="BI254" s="39"/>
      <c r="BJ254" s="39"/>
      <c r="BK254" s="39"/>
      <c r="BL254" s="39"/>
      <c r="BM254" s="39"/>
    </row>
    <row r="256" spans="1:65" ht="13">
      <c r="F256" s="26" t="s">
        <v>327</v>
      </c>
    </row>
    <row r="257" spans="1:65">
      <c r="F257" s="18"/>
      <c r="G257" s="17"/>
    </row>
    <row r="258" spans="1:65">
      <c r="F258" s="18" t="s">
        <v>242</v>
      </c>
      <c r="G258" s="17" t="str">
        <f>cstConstantUnit</f>
        <v>£ 2022/23</v>
      </c>
      <c r="AA258" s="14">
        <f>$K252*AA254</f>
        <v>0</v>
      </c>
      <c r="AB258" s="14">
        <f t="shared" ref="AB258:BE258" si="83">$K252*AB254</f>
        <v>22883.682008368203</v>
      </c>
      <c r="AC258" s="14">
        <f t="shared" si="83"/>
        <v>22883.682008368203</v>
      </c>
      <c r="AD258" s="14">
        <f t="shared" si="83"/>
        <v>22883.682008368203</v>
      </c>
      <c r="AE258" s="14">
        <f t="shared" si="83"/>
        <v>22883.682008368203</v>
      </c>
      <c r="AF258" s="14">
        <f t="shared" si="83"/>
        <v>22883.682008368203</v>
      </c>
      <c r="AG258" s="14">
        <f t="shared" si="83"/>
        <v>22883.682008368203</v>
      </c>
      <c r="AH258" s="14">
        <f t="shared" si="83"/>
        <v>22883.682008368203</v>
      </c>
      <c r="AI258" s="14">
        <f t="shared" si="83"/>
        <v>22883.682008368203</v>
      </c>
      <c r="AJ258" s="14">
        <f t="shared" si="83"/>
        <v>22883.682008368203</v>
      </c>
      <c r="AK258" s="14">
        <f t="shared" si="83"/>
        <v>22883.682008368203</v>
      </c>
      <c r="AL258" s="14">
        <f t="shared" si="83"/>
        <v>22883.682008368203</v>
      </c>
      <c r="AM258" s="14">
        <f t="shared" si="83"/>
        <v>22883.682008368203</v>
      </c>
      <c r="AN258" s="14">
        <f t="shared" si="83"/>
        <v>22883.682008368203</v>
      </c>
      <c r="AO258" s="14">
        <f t="shared" si="83"/>
        <v>22883.682008368203</v>
      </c>
      <c r="AP258" s="14">
        <f t="shared" si="83"/>
        <v>22883.682008368203</v>
      </c>
      <c r="AQ258" s="14">
        <f t="shared" si="83"/>
        <v>22883.682008368203</v>
      </c>
      <c r="AR258" s="14">
        <f t="shared" si="83"/>
        <v>22883.682008368203</v>
      </c>
      <c r="AS258" s="14">
        <f t="shared" si="83"/>
        <v>22883.682008368203</v>
      </c>
      <c r="AT258" s="14">
        <f t="shared" si="83"/>
        <v>22883.682008368203</v>
      </c>
      <c r="AU258" s="14">
        <f t="shared" si="83"/>
        <v>22883.682008368203</v>
      </c>
      <c r="AV258" s="14">
        <f t="shared" si="83"/>
        <v>22883.682008368203</v>
      </c>
      <c r="AW258" s="14">
        <f t="shared" si="83"/>
        <v>22883.682008368203</v>
      </c>
      <c r="AX258" s="14">
        <f t="shared" si="83"/>
        <v>22883.682008368203</v>
      </c>
      <c r="AY258" s="14">
        <f t="shared" si="83"/>
        <v>22883.682008368203</v>
      </c>
      <c r="AZ258" s="14">
        <f t="shared" si="83"/>
        <v>22883.682008368203</v>
      </c>
      <c r="BA258" s="14">
        <f t="shared" si="83"/>
        <v>22883.682008368203</v>
      </c>
      <c r="BB258" s="14">
        <f t="shared" si="83"/>
        <v>22883.682008368203</v>
      </c>
      <c r="BC258" s="14">
        <f t="shared" si="83"/>
        <v>22883.682008368203</v>
      </c>
      <c r="BD258" s="14">
        <f t="shared" si="83"/>
        <v>22883.682008368203</v>
      </c>
      <c r="BE258" s="14">
        <f t="shared" si="83"/>
        <v>22883.682008368203</v>
      </c>
      <c r="BG258" s="14">
        <f>SUMIFS($AA258:$BE258,$AA$2:$BE$2,"&gt;="&amp;BG$2,$AA$3:$BE$3,"&lt;="&amp;BG$3)</f>
        <v>0</v>
      </c>
      <c r="BH258" s="14">
        <f t="shared" ref="BH258:BM258" si="84">SUMIFS($AA258:$BE258,$AA$2:$BE$2,"&gt;="&amp;BH$2,$AA$3:$BE$3,"&lt;="&amp;BH$3)</f>
        <v>114418.41004184101</v>
      </c>
      <c r="BI258" s="14">
        <f t="shared" si="84"/>
        <v>114418.41004184101</v>
      </c>
      <c r="BJ258" s="14">
        <f t="shared" si="84"/>
        <v>114418.41004184101</v>
      </c>
      <c r="BK258" s="14">
        <f t="shared" si="84"/>
        <v>114418.41004184101</v>
      </c>
      <c r="BL258" s="14">
        <f t="shared" si="84"/>
        <v>114418.41004184101</v>
      </c>
      <c r="BM258" s="14">
        <f t="shared" si="84"/>
        <v>114418.41004184101</v>
      </c>
    </row>
    <row r="259" spans="1:65">
      <c r="F259" s="18"/>
      <c r="G259" s="17"/>
    </row>
    <row r="260" spans="1:65" ht="13">
      <c r="F260" s="26" t="s">
        <v>218</v>
      </c>
    </row>
    <row r="261" spans="1:65">
      <c r="F261" s="18"/>
      <c r="G261" s="17"/>
      <c r="BG261"/>
      <c r="BH261"/>
      <c r="BI261"/>
      <c r="BJ261"/>
      <c r="BK261"/>
      <c r="BL261"/>
      <c r="BM261"/>
    </row>
    <row r="262" spans="1:65">
      <c r="F262" s="18" t="s">
        <v>242</v>
      </c>
      <c r="G262" s="17" t="str">
        <f>cstNominalUnit</f>
        <v>£ Nominal</v>
      </c>
      <c r="I262" s="22" t="str">
        <f>iOptions!Q90</f>
        <v>Other Inflation</v>
      </c>
      <c r="AA262" s="14">
        <f t="shared" ref="AA262:BE262" si="85">AA258*_xlfn.IFNA(INDEX(AA$34:AA$38,MATCH($I262,$F$34:$F$38,0)),0)</f>
        <v>0</v>
      </c>
      <c r="AB262" s="14">
        <f t="shared" si="85"/>
        <v>23570.192468619251</v>
      </c>
      <c r="AC262" s="14">
        <f t="shared" si="85"/>
        <v>24277.298242677825</v>
      </c>
      <c r="AD262" s="14">
        <f t="shared" si="85"/>
        <v>25005.61718995816</v>
      </c>
      <c r="AE262" s="14">
        <f t="shared" si="85"/>
        <v>25755.785705656908</v>
      </c>
      <c r="AF262" s="14">
        <f t="shared" si="85"/>
        <v>26528.459276826616</v>
      </c>
      <c r="AG262" s="14">
        <f t="shared" si="85"/>
        <v>27324.313055131413</v>
      </c>
      <c r="AH262" s="14">
        <f t="shared" si="85"/>
        <v>28144.042446785359</v>
      </c>
      <c r="AI262" s="14">
        <f t="shared" si="85"/>
        <v>28988.363720188921</v>
      </c>
      <c r="AJ262" s="14">
        <f t="shared" si="85"/>
        <v>29858.014631794591</v>
      </c>
      <c r="AK262" s="14">
        <f t="shared" si="85"/>
        <v>30753.755070748426</v>
      </c>
      <c r="AL262" s="14">
        <f t="shared" si="85"/>
        <v>31676.36772287088</v>
      </c>
      <c r="AM262" s="14">
        <f t="shared" si="85"/>
        <v>32626.658754557007</v>
      </c>
      <c r="AN262" s="14">
        <f t="shared" si="85"/>
        <v>33605.458517193721</v>
      </c>
      <c r="AO262" s="14">
        <f t="shared" si="85"/>
        <v>34613.622272709537</v>
      </c>
      <c r="AP262" s="14">
        <f t="shared" si="85"/>
        <v>35652.030940890822</v>
      </c>
      <c r="AQ262" s="14">
        <f t="shared" si="85"/>
        <v>36721.591869117547</v>
      </c>
      <c r="AR262" s="14">
        <f t="shared" si="85"/>
        <v>37823.239625191076</v>
      </c>
      <c r="AS262" s="14">
        <f t="shared" si="85"/>
        <v>38957.936813946806</v>
      </c>
      <c r="AT262" s="14">
        <f t="shared" si="85"/>
        <v>40126.674918365214</v>
      </c>
      <c r="AU262" s="14">
        <f t="shared" si="85"/>
        <v>41330.475165916178</v>
      </c>
      <c r="AV262" s="14">
        <f t="shared" si="85"/>
        <v>42570.389420893662</v>
      </c>
      <c r="AW262" s="14">
        <f t="shared" si="85"/>
        <v>43847.501103520473</v>
      </c>
      <c r="AX262" s="14">
        <f t="shared" si="85"/>
        <v>45162.926136626091</v>
      </c>
      <c r="AY262" s="14">
        <f t="shared" si="85"/>
        <v>46517.813920724875</v>
      </c>
      <c r="AZ262" s="14">
        <f t="shared" si="85"/>
        <v>47913.348338346623</v>
      </c>
      <c r="BA262" s="14">
        <f t="shared" si="85"/>
        <v>49350.748788497025</v>
      </c>
      <c r="BB262" s="14">
        <f t="shared" si="85"/>
        <v>50831.271252151935</v>
      </c>
      <c r="BC262" s="14">
        <f t="shared" si="85"/>
        <v>52356.209389716496</v>
      </c>
      <c r="BD262" s="14">
        <f t="shared" si="85"/>
        <v>53926.89567140799</v>
      </c>
      <c r="BE262" s="14">
        <f t="shared" si="85"/>
        <v>55544.702541550228</v>
      </c>
      <c r="BG262" s="14">
        <f>SUMIFS($AA262:$BE262,$AA$2:$BE$2,"&gt;="&amp;BG$2,$AA$3:$BE$3,"&lt;="&amp;BG$3)</f>
        <v>0</v>
      </c>
      <c r="BH262" s="14">
        <f t="shared" ref="BH262:BM262" si="86">SUMIFS($AA262:$BE262,$AA$2:$BE$2,"&gt;="&amp;BH$2,$AA$3:$BE$3,"&lt;="&amp;BH$3)</f>
        <v>125137.35288373876</v>
      </c>
      <c r="BI262" s="14">
        <f t="shared" si="86"/>
        <v>145068.4889246487</v>
      </c>
      <c r="BJ262" s="14">
        <f t="shared" si="86"/>
        <v>168174.13820822199</v>
      </c>
      <c r="BK262" s="14">
        <f t="shared" si="86"/>
        <v>194959.91839253684</v>
      </c>
      <c r="BL262" s="14">
        <f t="shared" si="86"/>
        <v>226011.97892011172</v>
      </c>
      <c r="BM262" s="14">
        <f t="shared" si="86"/>
        <v>262009.82764332369</v>
      </c>
    </row>
    <row r="263" spans="1:65">
      <c r="F263" s="18"/>
      <c r="G263" s="17"/>
    </row>
    <row r="264" spans="1:65" ht="14" thickBot="1">
      <c r="A264" s="25"/>
      <c r="B264" s="25"/>
      <c r="C264" s="25"/>
      <c r="D264" s="25"/>
      <c r="E264" s="25" t="s">
        <v>404</v>
      </c>
      <c r="F264" s="25" t="s">
        <v>243</v>
      </c>
      <c r="G264" s="25"/>
      <c r="H264" s="25"/>
      <c r="I264" s="25"/>
      <c r="J264" s="25"/>
      <c r="K264" s="25"/>
      <c r="L264" s="25"/>
      <c r="M264" s="25"/>
      <c r="N264" s="25"/>
      <c r="O264" s="25"/>
      <c r="P264" s="25"/>
      <c r="Q264" s="25"/>
      <c r="R264" s="25"/>
      <c r="S264" s="25"/>
      <c r="T264" s="25"/>
      <c r="U264" s="25"/>
      <c r="V264" s="25"/>
      <c r="W264" s="25"/>
      <c r="X264" s="25"/>
      <c r="Y264" s="25"/>
      <c r="Z264" s="25"/>
      <c r="AA264" s="25"/>
      <c r="AB264" s="25"/>
      <c r="AC264" s="25"/>
      <c r="AD264" s="25"/>
      <c r="AE264" s="25"/>
      <c r="AF264" s="25"/>
      <c r="AG264" s="25"/>
      <c r="AH264" s="25"/>
      <c r="AI264" s="25"/>
      <c r="AJ264" s="25"/>
      <c r="AK264" s="25"/>
      <c r="AL264" s="25"/>
      <c r="AM264" s="25"/>
      <c r="AN264" s="25"/>
      <c r="AO264" s="25"/>
      <c r="AP264" s="25"/>
      <c r="AQ264" s="25"/>
      <c r="AR264" s="25"/>
      <c r="AS264" s="25"/>
      <c r="AT264" s="25"/>
      <c r="AU264" s="25"/>
      <c r="AV264" s="25"/>
      <c r="AW264" s="25"/>
      <c r="AX264" s="25"/>
      <c r="AY264" s="25"/>
      <c r="AZ264" s="25"/>
      <c r="BA264" s="25"/>
      <c r="BB264" s="25"/>
      <c r="BC264" s="25"/>
      <c r="BD264" s="25"/>
      <c r="BE264" s="25"/>
      <c r="BF264" s="25"/>
      <c r="BG264" s="25"/>
      <c r="BH264" s="25"/>
      <c r="BI264" s="25"/>
      <c r="BJ264" s="25"/>
      <c r="BK264" s="25"/>
      <c r="BL264" s="25"/>
      <c r="BM264" s="25"/>
    </row>
    <row r="265" spans="1:65">
      <c r="F265" s="18"/>
      <c r="G265" s="17"/>
    </row>
    <row r="266" spans="1:65" ht="13">
      <c r="F266" s="26" t="s">
        <v>174</v>
      </c>
      <c r="G266" s="17"/>
    </row>
    <row r="267" spans="1:65">
      <c r="F267" s="18"/>
      <c r="G267" s="17"/>
    </row>
    <row r="268" spans="1:65">
      <c r="F268" s="18" t="s">
        <v>114</v>
      </c>
      <c r="G268" s="17" t="str">
        <f>cstConstantUnit</f>
        <v>£ 2022/23</v>
      </c>
      <c r="K268" s="9" cm="1">
        <f t="array" ref="K268">INDEX(iOptions!$M$100:$O$100,1,ActiveCostScenarioIndex)</f>
        <v>200</v>
      </c>
      <c r="AA268" s="39"/>
      <c r="AB268" s="39"/>
      <c r="AC268" s="39"/>
      <c r="AD268" s="39"/>
      <c r="AE268" s="39"/>
      <c r="AF268" s="39"/>
      <c r="AG268" s="39"/>
      <c r="AH268" s="39"/>
      <c r="AI268" s="39"/>
      <c r="AJ268" s="39"/>
      <c r="AK268" s="39"/>
      <c r="AL268" s="39"/>
      <c r="AM268" s="39"/>
      <c r="AN268" s="39"/>
      <c r="AO268" s="39"/>
      <c r="AP268" s="39"/>
      <c r="AQ268" s="39"/>
      <c r="AR268" s="39"/>
      <c r="AS268" s="39"/>
      <c r="AT268" s="39"/>
      <c r="AU268" s="39"/>
      <c r="AV268" s="39"/>
      <c r="AW268" s="39"/>
      <c r="AX268" s="39"/>
      <c r="AY268" s="39"/>
      <c r="AZ268" s="39"/>
      <c r="BA268" s="39"/>
      <c r="BB268" s="39"/>
      <c r="BC268" s="39"/>
      <c r="BD268" s="39"/>
      <c r="BE268" s="39"/>
      <c r="BG268" s="39"/>
      <c r="BH268" s="39"/>
      <c r="BI268" s="39"/>
      <c r="BJ268" s="39"/>
      <c r="BK268" s="39"/>
      <c r="BL268" s="39"/>
      <c r="BM268" s="39"/>
    </row>
    <row r="270" spans="1:65">
      <c r="F270" s="18" t="s">
        <v>209</v>
      </c>
      <c r="G270" s="17" t="str">
        <f>cstConstantUnit</f>
        <v>£ 2022/23</v>
      </c>
      <c r="AA270" s="10">
        <f>cVolumetrics!AA87</f>
        <v>0</v>
      </c>
      <c r="AB270" s="10">
        <f>cVolumetrics!AB87</f>
        <v>57.209205020920507</v>
      </c>
      <c r="AC270" s="10">
        <f>cVolumetrics!AC87</f>
        <v>57.209205020920507</v>
      </c>
      <c r="AD270" s="10">
        <f>cVolumetrics!AD87</f>
        <v>57.209205020920507</v>
      </c>
      <c r="AE270" s="10">
        <f>cVolumetrics!AE87</f>
        <v>57.209205020920507</v>
      </c>
      <c r="AF270" s="10">
        <f>cVolumetrics!AF87</f>
        <v>57.209205020920507</v>
      </c>
      <c r="AG270" s="10">
        <f>cVolumetrics!AG87</f>
        <v>57.209205020920507</v>
      </c>
      <c r="AH270" s="10">
        <f>cVolumetrics!AH87</f>
        <v>57.209205020920507</v>
      </c>
      <c r="AI270" s="10">
        <f>cVolumetrics!AI87</f>
        <v>57.209205020920507</v>
      </c>
      <c r="AJ270" s="10">
        <f>cVolumetrics!AJ87</f>
        <v>57.209205020920507</v>
      </c>
      <c r="AK270" s="10">
        <f>cVolumetrics!AK87</f>
        <v>57.209205020920507</v>
      </c>
      <c r="AL270" s="10">
        <f>cVolumetrics!AL87</f>
        <v>57.209205020920507</v>
      </c>
      <c r="AM270" s="10">
        <f>cVolumetrics!AM87</f>
        <v>57.209205020920507</v>
      </c>
      <c r="AN270" s="10">
        <f>cVolumetrics!AN87</f>
        <v>57.209205020920507</v>
      </c>
      <c r="AO270" s="10">
        <f>cVolumetrics!AO87</f>
        <v>57.209205020920507</v>
      </c>
      <c r="AP270" s="10">
        <f>cVolumetrics!AP87</f>
        <v>57.209205020920507</v>
      </c>
      <c r="AQ270" s="10">
        <f>cVolumetrics!AQ87</f>
        <v>57.209205020920507</v>
      </c>
      <c r="AR270" s="10">
        <f>cVolumetrics!AR87</f>
        <v>57.209205020920507</v>
      </c>
      <c r="AS270" s="10">
        <f>cVolumetrics!AS87</f>
        <v>57.209205020920507</v>
      </c>
      <c r="AT270" s="10">
        <f>cVolumetrics!AT87</f>
        <v>57.209205020920507</v>
      </c>
      <c r="AU270" s="10">
        <f>cVolumetrics!AU87</f>
        <v>57.209205020920507</v>
      </c>
      <c r="AV270" s="10">
        <f>cVolumetrics!AV87</f>
        <v>57.209205020920507</v>
      </c>
      <c r="AW270" s="10">
        <f>cVolumetrics!AW87</f>
        <v>57.209205020920507</v>
      </c>
      <c r="AX270" s="10">
        <f>cVolumetrics!AX87</f>
        <v>57.209205020920507</v>
      </c>
      <c r="AY270" s="10">
        <f>cVolumetrics!AY87</f>
        <v>57.209205020920507</v>
      </c>
      <c r="AZ270" s="10">
        <f>cVolumetrics!AZ87</f>
        <v>57.209205020920507</v>
      </c>
      <c r="BA270" s="10">
        <f>cVolumetrics!BA87</f>
        <v>57.209205020920507</v>
      </c>
      <c r="BB270" s="10">
        <f>cVolumetrics!BB87</f>
        <v>57.209205020920507</v>
      </c>
      <c r="BC270" s="10">
        <f>cVolumetrics!BC87</f>
        <v>57.209205020920507</v>
      </c>
      <c r="BD270" s="10">
        <f>cVolumetrics!BD87</f>
        <v>57.209205020920507</v>
      </c>
      <c r="BE270" s="10">
        <f>cVolumetrics!BE87</f>
        <v>57.209205020920507</v>
      </c>
      <c r="BG270" s="39"/>
      <c r="BH270" s="39"/>
      <c r="BI270" s="39"/>
      <c r="BJ270" s="39"/>
      <c r="BK270" s="39"/>
      <c r="BL270" s="39"/>
      <c r="BM270" s="39"/>
    </row>
    <row r="272" spans="1:65" ht="13">
      <c r="F272" s="26" t="s">
        <v>327</v>
      </c>
    </row>
    <row r="273" spans="1:65">
      <c r="F273" s="18"/>
      <c r="G273" s="17"/>
    </row>
    <row r="274" spans="1:65">
      <c r="F274" s="18" t="s">
        <v>243</v>
      </c>
      <c r="G274" s="17" t="str">
        <f>cstConstantUnit</f>
        <v>£ 2022/23</v>
      </c>
      <c r="AA274" s="14">
        <f>$K268*AA270</f>
        <v>0</v>
      </c>
      <c r="AB274" s="14">
        <f t="shared" ref="AB274:BE274" si="87">$K268*AB270</f>
        <v>11441.841004184102</v>
      </c>
      <c r="AC274" s="14">
        <f t="shared" si="87"/>
        <v>11441.841004184102</v>
      </c>
      <c r="AD274" s="14">
        <f t="shared" si="87"/>
        <v>11441.841004184102</v>
      </c>
      <c r="AE274" s="14">
        <f t="shared" si="87"/>
        <v>11441.841004184102</v>
      </c>
      <c r="AF274" s="14">
        <f t="shared" si="87"/>
        <v>11441.841004184102</v>
      </c>
      <c r="AG274" s="14">
        <f t="shared" si="87"/>
        <v>11441.841004184102</v>
      </c>
      <c r="AH274" s="14">
        <f t="shared" si="87"/>
        <v>11441.841004184102</v>
      </c>
      <c r="AI274" s="14">
        <f t="shared" si="87"/>
        <v>11441.841004184102</v>
      </c>
      <c r="AJ274" s="14">
        <f t="shared" si="87"/>
        <v>11441.841004184102</v>
      </c>
      <c r="AK274" s="14">
        <f t="shared" si="87"/>
        <v>11441.841004184102</v>
      </c>
      <c r="AL274" s="14">
        <f t="shared" si="87"/>
        <v>11441.841004184102</v>
      </c>
      <c r="AM274" s="14">
        <f t="shared" si="87"/>
        <v>11441.841004184102</v>
      </c>
      <c r="AN274" s="14">
        <f t="shared" si="87"/>
        <v>11441.841004184102</v>
      </c>
      <c r="AO274" s="14">
        <f t="shared" si="87"/>
        <v>11441.841004184102</v>
      </c>
      <c r="AP274" s="14">
        <f t="shared" si="87"/>
        <v>11441.841004184102</v>
      </c>
      <c r="AQ274" s="14">
        <f t="shared" si="87"/>
        <v>11441.841004184102</v>
      </c>
      <c r="AR274" s="14">
        <f t="shared" si="87"/>
        <v>11441.841004184102</v>
      </c>
      <c r="AS274" s="14">
        <f t="shared" si="87"/>
        <v>11441.841004184102</v>
      </c>
      <c r="AT274" s="14">
        <f t="shared" si="87"/>
        <v>11441.841004184102</v>
      </c>
      <c r="AU274" s="14">
        <f t="shared" si="87"/>
        <v>11441.841004184102</v>
      </c>
      <c r="AV274" s="14">
        <f t="shared" si="87"/>
        <v>11441.841004184102</v>
      </c>
      <c r="AW274" s="14">
        <f t="shared" si="87"/>
        <v>11441.841004184102</v>
      </c>
      <c r="AX274" s="14">
        <f t="shared" si="87"/>
        <v>11441.841004184102</v>
      </c>
      <c r="AY274" s="14">
        <f t="shared" si="87"/>
        <v>11441.841004184102</v>
      </c>
      <c r="AZ274" s="14">
        <f t="shared" si="87"/>
        <v>11441.841004184102</v>
      </c>
      <c r="BA274" s="14">
        <f t="shared" si="87"/>
        <v>11441.841004184102</v>
      </c>
      <c r="BB274" s="14">
        <f t="shared" si="87"/>
        <v>11441.841004184102</v>
      </c>
      <c r="BC274" s="14">
        <f t="shared" si="87"/>
        <v>11441.841004184102</v>
      </c>
      <c r="BD274" s="14">
        <f t="shared" si="87"/>
        <v>11441.841004184102</v>
      </c>
      <c r="BE274" s="14">
        <f t="shared" si="87"/>
        <v>11441.841004184102</v>
      </c>
      <c r="BG274" s="14">
        <f>SUMIFS($AA274:$BE274,$AA$2:$BE$2,"&gt;="&amp;BG$2,$AA$3:$BE$3,"&lt;="&amp;BG$3)</f>
        <v>0</v>
      </c>
      <c r="BH274" s="14">
        <f t="shared" ref="BH274:BM274" si="88">SUMIFS($AA274:$BE274,$AA$2:$BE$2,"&gt;="&amp;BH$2,$AA$3:$BE$3,"&lt;="&amp;BH$3)</f>
        <v>57209.205020920504</v>
      </c>
      <c r="BI274" s="14">
        <f t="shared" si="88"/>
        <v>57209.205020920504</v>
      </c>
      <c r="BJ274" s="14">
        <f t="shared" si="88"/>
        <v>57209.205020920504</v>
      </c>
      <c r="BK274" s="14">
        <f t="shared" si="88"/>
        <v>57209.205020920504</v>
      </c>
      <c r="BL274" s="14">
        <f t="shared" si="88"/>
        <v>57209.205020920504</v>
      </c>
      <c r="BM274" s="14">
        <f t="shared" si="88"/>
        <v>57209.205020920504</v>
      </c>
    </row>
    <row r="275" spans="1:65">
      <c r="F275" s="18"/>
      <c r="G275" s="17"/>
    </row>
    <row r="276" spans="1:65" ht="13">
      <c r="F276" s="26" t="s">
        <v>218</v>
      </c>
    </row>
    <row r="277" spans="1:65">
      <c r="F277" s="18"/>
      <c r="G277" s="17"/>
    </row>
    <row r="278" spans="1:65">
      <c r="F278" s="18" t="s">
        <v>243</v>
      </c>
      <c r="G278" s="17" t="str">
        <f>cstNominalUnit</f>
        <v>£ Nominal</v>
      </c>
      <c r="I278" s="22" t="str">
        <f>iOptions!Q100</f>
        <v>Other Inflation</v>
      </c>
      <c r="AA278" s="14">
        <f t="shared" ref="AA278:BE278" si="89">AA274*_xlfn.IFNA(INDEX(AA$34:AA$38,MATCH($I278,$F$34:$F$38,0)),0)</f>
        <v>0</v>
      </c>
      <c r="AB278" s="14">
        <f t="shared" si="89"/>
        <v>11785.096234309625</v>
      </c>
      <c r="AC278" s="14">
        <f t="shared" si="89"/>
        <v>12138.649121338913</v>
      </c>
      <c r="AD278" s="14">
        <f t="shared" si="89"/>
        <v>12502.80859497908</v>
      </c>
      <c r="AE278" s="14">
        <f t="shared" si="89"/>
        <v>12877.892852828454</v>
      </c>
      <c r="AF278" s="14">
        <f t="shared" si="89"/>
        <v>13264.229638413308</v>
      </c>
      <c r="AG278" s="14">
        <f t="shared" si="89"/>
        <v>13662.156527565707</v>
      </c>
      <c r="AH278" s="14">
        <f t="shared" si="89"/>
        <v>14072.02122339268</v>
      </c>
      <c r="AI278" s="14">
        <f t="shared" si="89"/>
        <v>14494.181860094461</v>
      </c>
      <c r="AJ278" s="14">
        <f t="shared" si="89"/>
        <v>14929.007315897295</v>
      </c>
      <c r="AK278" s="14">
        <f t="shared" si="89"/>
        <v>15376.877535374213</v>
      </c>
      <c r="AL278" s="14">
        <f t="shared" si="89"/>
        <v>15838.18386143544</v>
      </c>
      <c r="AM278" s="14">
        <f t="shared" si="89"/>
        <v>16313.329377278504</v>
      </c>
      <c r="AN278" s="14">
        <f t="shared" si="89"/>
        <v>16802.729258596861</v>
      </c>
      <c r="AO278" s="14">
        <f t="shared" si="89"/>
        <v>17306.811136354769</v>
      </c>
      <c r="AP278" s="14">
        <f t="shared" si="89"/>
        <v>17826.015470445411</v>
      </c>
      <c r="AQ278" s="14">
        <f t="shared" si="89"/>
        <v>18360.795934558773</v>
      </c>
      <c r="AR278" s="14">
        <f t="shared" si="89"/>
        <v>18911.619812595538</v>
      </c>
      <c r="AS278" s="14">
        <f t="shared" si="89"/>
        <v>19478.968406973403</v>
      </c>
      <c r="AT278" s="14">
        <f t="shared" si="89"/>
        <v>20063.337459182607</v>
      </c>
      <c r="AU278" s="14">
        <f t="shared" si="89"/>
        <v>20665.237582958089</v>
      </c>
      <c r="AV278" s="14">
        <f t="shared" si="89"/>
        <v>21285.194710446831</v>
      </c>
      <c r="AW278" s="14">
        <f t="shared" si="89"/>
        <v>21923.750551760237</v>
      </c>
      <c r="AX278" s="14">
        <f t="shared" si="89"/>
        <v>22581.463068313045</v>
      </c>
      <c r="AY278" s="14">
        <f t="shared" si="89"/>
        <v>23258.906960362438</v>
      </c>
      <c r="AZ278" s="14">
        <f t="shared" si="89"/>
        <v>23956.674169173311</v>
      </c>
      <c r="BA278" s="14">
        <f t="shared" si="89"/>
        <v>24675.374394248513</v>
      </c>
      <c r="BB278" s="14">
        <f t="shared" si="89"/>
        <v>25415.635626075968</v>
      </c>
      <c r="BC278" s="14">
        <f t="shared" si="89"/>
        <v>26178.104694858248</v>
      </c>
      <c r="BD278" s="14">
        <f t="shared" si="89"/>
        <v>26963.447835703995</v>
      </c>
      <c r="BE278" s="14">
        <f t="shared" si="89"/>
        <v>27772.351270775114</v>
      </c>
      <c r="BG278" s="14">
        <f>SUMIFS($AA278:$BE278,$AA$2:$BE$2,"&gt;="&amp;BG$2,$AA$3:$BE$3,"&lt;="&amp;BG$3)</f>
        <v>0</v>
      </c>
      <c r="BH278" s="14">
        <f t="shared" ref="BH278:BM278" si="90">SUMIFS($AA278:$BE278,$AA$2:$BE$2,"&gt;="&amp;BH$2,$AA$3:$BE$3,"&lt;="&amp;BH$3)</f>
        <v>62568.676441869378</v>
      </c>
      <c r="BI278" s="14">
        <f t="shared" si="90"/>
        <v>72534.24446232435</v>
      </c>
      <c r="BJ278" s="14">
        <f t="shared" si="90"/>
        <v>84087.069104110997</v>
      </c>
      <c r="BK278" s="14">
        <f t="shared" si="90"/>
        <v>97479.959196268421</v>
      </c>
      <c r="BL278" s="14">
        <f t="shared" si="90"/>
        <v>113005.98946005586</v>
      </c>
      <c r="BM278" s="14">
        <f t="shared" si="90"/>
        <v>131004.91382166184</v>
      </c>
    </row>
    <row r="279" spans="1:65">
      <c r="F279" s="18"/>
      <c r="G279" s="17"/>
    </row>
    <row r="280" spans="1:65" ht="14" thickBot="1">
      <c r="A280" s="25"/>
      <c r="B280" s="25"/>
      <c r="C280" s="25"/>
      <c r="D280" s="25"/>
      <c r="E280" s="25" t="s">
        <v>405</v>
      </c>
      <c r="F280" s="25" t="s">
        <v>309</v>
      </c>
      <c r="G280" s="25"/>
      <c r="H280" s="25"/>
      <c r="I280" s="25"/>
      <c r="J280" s="25"/>
      <c r="K280" s="25"/>
      <c r="L280" s="25"/>
      <c r="M280" s="25"/>
      <c r="N280" s="25"/>
      <c r="O280" s="25"/>
      <c r="P280" s="25"/>
      <c r="Q280" s="25"/>
      <c r="R280" s="25"/>
      <c r="S280" s="25"/>
      <c r="T280" s="25"/>
      <c r="U280" s="25"/>
      <c r="V280" s="25"/>
      <c r="W280" s="25"/>
      <c r="X280" s="25"/>
      <c r="Y280" s="25"/>
      <c r="Z280" s="25"/>
      <c r="AA280" s="25"/>
      <c r="AB280" s="25"/>
      <c r="AC280" s="25"/>
      <c r="AD280" s="25"/>
      <c r="AE280" s="25"/>
      <c r="AF280" s="25"/>
      <c r="AG280" s="25"/>
      <c r="AH280" s="25"/>
      <c r="AI280" s="25"/>
      <c r="AJ280" s="25"/>
      <c r="AK280" s="25"/>
      <c r="AL280" s="25"/>
      <c r="AM280" s="25"/>
      <c r="AN280" s="25"/>
      <c r="AO280" s="25"/>
      <c r="AP280" s="25"/>
      <c r="AQ280" s="25"/>
      <c r="AR280" s="25"/>
      <c r="AS280" s="25"/>
      <c r="AT280" s="25"/>
      <c r="AU280" s="25"/>
      <c r="AV280" s="25"/>
      <c r="AW280" s="25"/>
      <c r="AX280" s="25"/>
      <c r="AY280" s="25"/>
      <c r="AZ280" s="25"/>
      <c r="BA280" s="25"/>
      <c r="BB280" s="25"/>
      <c r="BC280" s="25"/>
      <c r="BD280" s="25"/>
      <c r="BE280" s="25"/>
      <c r="BF280" s="25"/>
      <c r="BG280" s="25"/>
      <c r="BH280" s="25"/>
      <c r="BI280" s="25"/>
      <c r="BJ280" s="25"/>
      <c r="BK280" s="25"/>
      <c r="BL280" s="25"/>
      <c r="BM280" s="25"/>
    </row>
    <row r="281" spans="1:65">
      <c r="F281" s="18"/>
      <c r="G281" s="17"/>
    </row>
    <row r="282" spans="1:65">
      <c r="F282" s="40" t="s">
        <v>99</v>
      </c>
      <c r="G282" s="17" t="str">
        <f t="shared" ref="G282:G291" si="91">cstNominalUnit</f>
        <v>£ Nominal</v>
      </c>
      <c r="AA282" s="14">
        <f>AA183</f>
        <v>0</v>
      </c>
      <c r="AB282" s="14">
        <f t="shared" ref="AB282:BE282" si="92">AB183</f>
        <v>206000</v>
      </c>
      <c r="AC282" s="14">
        <f t="shared" si="92"/>
        <v>0</v>
      </c>
      <c r="AD282" s="14">
        <f t="shared" si="92"/>
        <v>0</v>
      </c>
      <c r="AE282" s="14">
        <f t="shared" si="92"/>
        <v>0</v>
      </c>
      <c r="AF282" s="14">
        <f t="shared" si="92"/>
        <v>0</v>
      </c>
      <c r="AG282" s="14">
        <f t="shared" si="92"/>
        <v>0</v>
      </c>
      <c r="AH282" s="14">
        <f t="shared" si="92"/>
        <v>0</v>
      </c>
      <c r="AI282" s="14">
        <f t="shared" si="92"/>
        <v>0</v>
      </c>
      <c r="AJ282" s="14">
        <f t="shared" si="92"/>
        <v>0</v>
      </c>
      <c r="AK282" s="14">
        <f t="shared" si="92"/>
        <v>0</v>
      </c>
      <c r="AL282" s="14">
        <f t="shared" si="92"/>
        <v>0</v>
      </c>
      <c r="AM282" s="14">
        <f t="shared" si="92"/>
        <v>0</v>
      </c>
      <c r="AN282" s="14">
        <f t="shared" si="92"/>
        <v>0</v>
      </c>
      <c r="AO282" s="14">
        <f t="shared" si="92"/>
        <v>0</v>
      </c>
      <c r="AP282" s="14">
        <f t="shared" si="92"/>
        <v>0</v>
      </c>
      <c r="AQ282" s="14">
        <f t="shared" si="92"/>
        <v>0</v>
      </c>
      <c r="AR282" s="14">
        <f t="shared" si="92"/>
        <v>0</v>
      </c>
      <c r="AS282" s="14">
        <f t="shared" si="92"/>
        <v>0</v>
      </c>
      <c r="AT282" s="14">
        <f t="shared" si="92"/>
        <v>0</v>
      </c>
      <c r="AU282" s="14">
        <f t="shared" si="92"/>
        <v>0</v>
      </c>
      <c r="AV282" s="14">
        <f t="shared" si="92"/>
        <v>0</v>
      </c>
      <c r="AW282" s="14">
        <f t="shared" si="92"/>
        <v>0</v>
      </c>
      <c r="AX282" s="14">
        <f t="shared" si="92"/>
        <v>0</v>
      </c>
      <c r="AY282" s="14">
        <f t="shared" si="92"/>
        <v>0</v>
      </c>
      <c r="AZ282" s="14">
        <f t="shared" si="92"/>
        <v>0</v>
      </c>
      <c r="BA282" s="14">
        <f t="shared" si="92"/>
        <v>0</v>
      </c>
      <c r="BB282" s="14">
        <f t="shared" si="92"/>
        <v>0</v>
      </c>
      <c r="BC282" s="14">
        <f t="shared" si="92"/>
        <v>0</v>
      </c>
      <c r="BD282" s="14">
        <f t="shared" si="92"/>
        <v>0</v>
      </c>
      <c r="BE282" s="14">
        <f t="shared" si="92"/>
        <v>0</v>
      </c>
      <c r="BG282" s="14">
        <f t="shared" ref="BG282:BM291" si="93">SUMIFS($AA282:$BE282,$AA$2:$BE$2,"&gt;="&amp;BG$2,$AA$3:$BE$3,"&lt;="&amp;BG$3)</f>
        <v>0</v>
      </c>
      <c r="BH282" s="14">
        <f t="shared" si="93"/>
        <v>206000</v>
      </c>
      <c r="BI282" s="14">
        <f t="shared" si="93"/>
        <v>0</v>
      </c>
      <c r="BJ282" s="14">
        <f t="shared" si="93"/>
        <v>0</v>
      </c>
      <c r="BK282" s="14">
        <f t="shared" si="93"/>
        <v>0</v>
      </c>
      <c r="BL282" s="14">
        <f t="shared" si="93"/>
        <v>0</v>
      </c>
      <c r="BM282" s="14">
        <f t="shared" si="93"/>
        <v>0</v>
      </c>
    </row>
    <row r="283" spans="1:65">
      <c r="F283" s="40" t="s">
        <v>229</v>
      </c>
      <c r="G283" s="17" t="str">
        <f t="shared" si="91"/>
        <v>£ Nominal</v>
      </c>
      <c r="AA283" s="14">
        <f>AA185</f>
        <v>0</v>
      </c>
      <c r="AB283" s="14">
        <f t="shared" ref="AB283:BE283" si="94">AB185</f>
        <v>41200</v>
      </c>
      <c r="AC283" s="14">
        <f t="shared" si="94"/>
        <v>42436</v>
      </c>
      <c r="AD283" s="14">
        <f t="shared" si="94"/>
        <v>43709.08</v>
      </c>
      <c r="AE283" s="14">
        <f t="shared" si="94"/>
        <v>45020.352400000003</v>
      </c>
      <c r="AF283" s="14">
        <f t="shared" si="94"/>
        <v>46370.962972000001</v>
      </c>
      <c r="AG283" s="14">
        <f t="shared" si="94"/>
        <v>47762.091861160006</v>
      </c>
      <c r="AH283" s="14">
        <f t="shared" si="94"/>
        <v>49194.954616994808</v>
      </c>
      <c r="AI283" s="14">
        <f t="shared" si="94"/>
        <v>50670.803255504652</v>
      </c>
      <c r="AJ283" s="14">
        <f t="shared" si="94"/>
        <v>52190.927353169798</v>
      </c>
      <c r="AK283" s="14">
        <f t="shared" si="94"/>
        <v>53756.655173764892</v>
      </c>
      <c r="AL283" s="14">
        <f t="shared" si="94"/>
        <v>55369.354828977834</v>
      </c>
      <c r="AM283" s="14">
        <f t="shared" si="94"/>
        <v>57030.435473847174</v>
      </c>
      <c r="AN283" s="14">
        <f t="shared" si="94"/>
        <v>58741.348538062593</v>
      </c>
      <c r="AO283" s="14">
        <f t="shared" si="94"/>
        <v>60503.588994204474</v>
      </c>
      <c r="AP283" s="14">
        <f t="shared" si="94"/>
        <v>62318.696664030613</v>
      </c>
      <c r="AQ283" s="14">
        <f t="shared" si="94"/>
        <v>64188.257563951534</v>
      </c>
      <c r="AR283" s="14">
        <f t="shared" si="94"/>
        <v>66113.905290870083</v>
      </c>
      <c r="AS283" s="14">
        <f t="shared" si="94"/>
        <v>68097.322449596177</v>
      </c>
      <c r="AT283" s="14">
        <f t="shared" si="94"/>
        <v>70140.24212308407</v>
      </c>
      <c r="AU283" s="14">
        <f t="shared" si="94"/>
        <v>72244.4493867766</v>
      </c>
      <c r="AV283" s="14">
        <f t="shared" si="94"/>
        <v>74411.782868379902</v>
      </c>
      <c r="AW283" s="14">
        <f t="shared" si="94"/>
        <v>76644.136354431306</v>
      </c>
      <c r="AX283" s="14">
        <f t="shared" si="94"/>
        <v>78943.460445064251</v>
      </c>
      <c r="AY283" s="14">
        <f t="shared" si="94"/>
        <v>81311.76425841618</v>
      </c>
      <c r="AZ283" s="14">
        <f t="shared" si="94"/>
        <v>83751.11718616866</v>
      </c>
      <c r="BA283" s="14">
        <f t="shared" si="94"/>
        <v>86263.650701753722</v>
      </c>
      <c r="BB283" s="14">
        <f t="shared" si="94"/>
        <v>88851.560222806351</v>
      </c>
      <c r="BC283" s="14">
        <f t="shared" si="94"/>
        <v>91517.107029490537</v>
      </c>
      <c r="BD283" s="14">
        <f t="shared" si="94"/>
        <v>94262.620240375254</v>
      </c>
      <c r="BE283" s="14">
        <f t="shared" si="94"/>
        <v>97090.49884758651</v>
      </c>
      <c r="BG283" s="14">
        <f t="shared" si="93"/>
        <v>0</v>
      </c>
      <c r="BH283" s="14">
        <f t="shared" si="93"/>
        <v>218736.395372</v>
      </c>
      <c r="BI283" s="14">
        <f t="shared" si="93"/>
        <v>253575.43226059416</v>
      </c>
      <c r="BJ283" s="14">
        <f t="shared" si="93"/>
        <v>293963.42449912272</v>
      </c>
      <c r="BK283" s="14">
        <f t="shared" si="93"/>
        <v>340784.17681427847</v>
      </c>
      <c r="BL283" s="14">
        <f t="shared" si="93"/>
        <v>395062.26111246034</v>
      </c>
      <c r="BM283" s="14">
        <f t="shared" si="93"/>
        <v>457985.4370420124</v>
      </c>
    </row>
    <row r="284" spans="1:65">
      <c r="F284" s="40" t="s">
        <v>231</v>
      </c>
      <c r="G284" s="17" t="str">
        <f t="shared" si="91"/>
        <v>£ Nominal</v>
      </c>
      <c r="AA284" s="14">
        <f>AA187</f>
        <v>0</v>
      </c>
      <c r="AB284" s="14">
        <f t="shared" ref="AB284:BE284" si="95">AB187</f>
        <v>19393.305439330547</v>
      </c>
      <c r="AC284" s="14">
        <f t="shared" si="95"/>
        <v>19975.104602510462</v>
      </c>
      <c r="AD284" s="14">
        <f t="shared" si="95"/>
        <v>20574.357740585776</v>
      </c>
      <c r="AE284" s="14">
        <f t="shared" si="95"/>
        <v>21191.588472803352</v>
      </c>
      <c r="AF284" s="14">
        <f t="shared" si="95"/>
        <v>21827.336126987451</v>
      </c>
      <c r="AG284" s="14">
        <f t="shared" si="95"/>
        <v>22482.156210797079</v>
      </c>
      <c r="AH284" s="14">
        <f t="shared" si="95"/>
        <v>23156.620897120989</v>
      </c>
      <c r="AI284" s="14">
        <f t="shared" si="95"/>
        <v>23851.319524034621</v>
      </c>
      <c r="AJ284" s="14">
        <f t="shared" si="95"/>
        <v>24566.85910975566</v>
      </c>
      <c r="AK284" s="14">
        <f t="shared" si="95"/>
        <v>25303.864883048329</v>
      </c>
      <c r="AL284" s="14">
        <f t="shared" si="95"/>
        <v>26062.980829539782</v>
      </c>
      <c r="AM284" s="14">
        <f t="shared" si="95"/>
        <v>26844.870254425972</v>
      </c>
      <c r="AN284" s="14">
        <f t="shared" si="95"/>
        <v>27650.216362058756</v>
      </c>
      <c r="AO284" s="14">
        <f t="shared" si="95"/>
        <v>28479.72285292052</v>
      </c>
      <c r="AP284" s="14">
        <f t="shared" si="95"/>
        <v>29334.114538508136</v>
      </c>
      <c r="AQ284" s="14">
        <f t="shared" si="95"/>
        <v>30214.137974663383</v>
      </c>
      <c r="AR284" s="14">
        <f t="shared" si="95"/>
        <v>31120.562113903285</v>
      </c>
      <c r="AS284" s="14">
        <f t="shared" si="95"/>
        <v>32054.178977320382</v>
      </c>
      <c r="AT284" s="14">
        <f t="shared" si="95"/>
        <v>33015.804346639998</v>
      </c>
      <c r="AU284" s="14">
        <f t="shared" si="95"/>
        <v>34006.278477039203</v>
      </c>
      <c r="AV284" s="14">
        <f t="shared" si="95"/>
        <v>35026.466831350379</v>
      </c>
      <c r="AW284" s="14">
        <f t="shared" si="95"/>
        <v>36077.260836290894</v>
      </c>
      <c r="AX284" s="14">
        <f t="shared" si="95"/>
        <v>37159.578661379623</v>
      </c>
      <c r="AY284" s="14">
        <f t="shared" si="95"/>
        <v>38274.366021221009</v>
      </c>
      <c r="AZ284" s="14">
        <f t="shared" si="95"/>
        <v>39422.597001857641</v>
      </c>
      <c r="BA284" s="14">
        <f t="shared" si="95"/>
        <v>40605.274911913373</v>
      </c>
      <c r="BB284" s="14">
        <f t="shared" si="95"/>
        <v>41823.433159270775</v>
      </c>
      <c r="BC284" s="14">
        <f t="shared" si="95"/>
        <v>43078.136154048894</v>
      </c>
      <c r="BD284" s="14">
        <f t="shared" si="95"/>
        <v>44370.480238670367</v>
      </c>
      <c r="BE284" s="14">
        <f t="shared" si="95"/>
        <v>45701.594645830475</v>
      </c>
      <c r="BG284" s="14">
        <f t="shared" si="93"/>
        <v>0</v>
      </c>
      <c r="BH284" s="14">
        <f t="shared" si="93"/>
        <v>102961.69238221759</v>
      </c>
      <c r="BI284" s="14">
        <f t="shared" si="93"/>
        <v>119360.82062475668</v>
      </c>
      <c r="BJ284" s="14">
        <f t="shared" si="93"/>
        <v>138371.90483745316</v>
      </c>
      <c r="BK284" s="14">
        <f t="shared" si="93"/>
        <v>160410.96188956624</v>
      </c>
      <c r="BL284" s="14">
        <f t="shared" si="93"/>
        <v>185960.26935209957</v>
      </c>
      <c r="BM284" s="14">
        <f t="shared" si="93"/>
        <v>215578.91910973389</v>
      </c>
    </row>
    <row r="285" spans="1:65">
      <c r="F285" s="40" t="s">
        <v>232</v>
      </c>
      <c r="G285" s="17" t="str">
        <f t="shared" si="91"/>
        <v>£ Nominal</v>
      </c>
      <c r="AA285" s="14">
        <f>AA189</f>
        <v>0</v>
      </c>
      <c r="AB285" s="14">
        <f t="shared" ref="AB285:BE285" si="96">AB189</f>
        <v>25750</v>
      </c>
      <c r="AC285" s="14">
        <f t="shared" si="96"/>
        <v>0</v>
      </c>
      <c r="AD285" s="14">
        <f t="shared" si="96"/>
        <v>0</v>
      </c>
      <c r="AE285" s="14">
        <f t="shared" si="96"/>
        <v>0</v>
      </c>
      <c r="AF285" s="14">
        <f t="shared" si="96"/>
        <v>0</v>
      </c>
      <c r="AG285" s="14">
        <f t="shared" si="96"/>
        <v>14925.653706612502</v>
      </c>
      <c r="AH285" s="14">
        <f t="shared" si="96"/>
        <v>0</v>
      </c>
      <c r="AI285" s="14">
        <f t="shared" si="96"/>
        <v>0</v>
      </c>
      <c r="AJ285" s="14">
        <f t="shared" si="96"/>
        <v>0</v>
      </c>
      <c r="AK285" s="14">
        <f t="shared" si="96"/>
        <v>0</v>
      </c>
      <c r="AL285" s="14">
        <f t="shared" si="96"/>
        <v>17302.923384055575</v>
      </c>
      <c r="AM285" s="14">
        <f t="shared" si="96"/>
        <v>0</v>
      </c>
      <c r="AN285" s="14">
        <f t="shared" si="96"/>
        <v>0</v>
      </c>
      <c r="AO285" s="14">
        <f t="shared" si="96"/>
        <v>0</v>
      </c>
      <c r="AP285" s="14">
        <f t="shared" si="96"/>
        <v>0</v>
      </c>
      <c r="AQ285" s="14">
        <f t="shared" si="96"/>
        <v>20058.830488734857</v>
      </c>
      <c r="AR285" s="14">
        <f t="shared" si="96"/>
        <v>0</v>
      </c>
      <c r="AS285" s="14">
        <f t="shared" si="96"/>
        <v>0</v>
      </c>
      <c r="AT285" s="14">
        <f t="shared" si="96"/>
        <v>0</v>
      </c>
      <c r="AU285" s="14">
        <f t="shared" si="96"/>
        <v>0</v>
      </c>
      <c r="AV285" s="14">
        <f t="shared" si="96"/>
        <v>23253.682146368719</v>
      </c>
      <c r="AW285" s="14">
        <f t="shared" si="96"/>
        <v>0</v>
      </c>
      <c r="AX285" s="14">
        <f t="shared" si="96"/>
        <v>0</v>
      </c>
      <c r="AY285" s="14">
        <f t="shared" si="96"/>
        <v>0</v>
      </c>
      <c r="AZ285" s="14">
        <f t="shared" si="96"/>
        <v>0</v>
      </c>
      <c r="BA285" s="14">
        <f t="shared" si="96"/>
        <v>26957.390844298039</v>
      </c>
      <c r="BB285" s="14">
        <f t="shared" si="96"/>
        <v>0</v>
      </c>
      <c r="BC285" s="14">
        <f t="shared" si="96"/>
        <v>0</v>
      </c>
      <c r="BD285" s="14">
        <f t="shared" si="96"/>
        <v>0</v>
      </c>
      <c r="BE285" s="14">
        <f t="shared" si="96"/>
        <v>0</v>
      </c>
      <c r="BG285" s="14">
        <f t="shared" si="93"/>
        <v>0</v>
      </c>
      <c r="BH285" s="14">
        <f t="shared" si="93"/>
        <v>25750</v>
      </c>
      <c r="BI285" s="14">
        <f t="shared" si="93"/>
        <v>14925.653706612502</v>
      </c>
      <c r="BJ285" s="14">
        <f t="shared" si="93"/>
        <v>17302.923384055575</v>
      </c>
      <c r="BK285" s="14">
        <f t="shared" si="93"/>
        <v>20058.830488734857</v>
      </c>
      <c r="BL285" s="14">
        <f t="shared" si="93"/>
        <v>23253.682146368719</v>
      </c>
      <c r="BM285" s="14">
        <f t="shared" si="93"/>
        <v>26957.390844298039</v>
      </c>
    </row>
    <row r="286" spans="1:65">
      <c r="F286" s="40" t="s">
        <v>233</v>
      </c>
      <c r="G286" s="17" t="str">
        <f t="shared" si="91"/>
        <v>£ Nominal</v>
      </c>
      <c r="AA286" s="14">
        <f>AA191</f>
        <v>0</v>
      </c>
      <c r="AB286" s="14">
        <f t="shared" ref="AB286:BE286" si="97">AB191</f>
        <v>206000</v>
      </c>
      <c r="AC286" s="14">
        <f t="shared" si="97"/>
        <v>0</v>
      </c>
      <c r="AD286" s="14">
        <f t="shared" si="97"/>
        <v>0</v>
      </c>
      <c r="AE286" s="14">
        <f t="shared" si="97"/>
        <v>0</v>
      </c>
      <c r="AF286" s="14">
        <f t="shared" si="97"/>
        <v>0</v>
      </c>
      <c r="AG286" s="14">
        <f t="shared" si="97"/>
        <v>119405.22965290002</v>
      </c>
      <c r="AH286" s="14">
        <f t="shared" si="97"/>
        <v>0</v>
      </c>
      <c r="AI286" s="14">
        <f t="shared" si="97"/>
        <v>0</v>
      </c>
      <c r="AJ286" s="14">
        <f t="shared" si="97"/>
        <v>0</v>
      </c>
      <c r="AK286" s="14">
        <f t="shared" si="97"/>
        <v>0</v>
      </c>
      <c r="AL286" s="14">
        <f t="shared" si="97"/>
        <v>138423.3870724446</v>
      </c>
      <c r="AM286" s="14">
        <f t="shared" si="97"/>
        <v>0</v>
      </c>
      <c r="AN286" s="14">
        <f t="shared" si="97"/>
        <v>0</v>
      </c>
      <c r="AO286" s="14">
        <f t="shared" si="97"/>
        <v>0</v>
      </c>
      <c r="AP286" s="14">
        <f t="shared" si="97"/>
        <v>0</v>
      </c>
      <c r="AQ286" s="14">
        <f t="shared" si="97"/>
        <v>160470.64390987885</v>
      </c>
      <c r="AR286" s="14">
        <f t="shared" si="97"/>
        <v>0</v>
      </c>
      <c r="AS286" s="14">
        <f t="shared" si="97"/>
        <v>0</v>
      </c>
      <c r="AT286" s="14">
        <f t="shared" si="97"/>
        <v>0</v>
      </c>
      <c r="AU286" s="14">
        <f t="shared" si="97"/>
        <v>0</v>
      </c>
      <c r="AV286" s="14">
        <f t="shared" si="97"/>
        <v>186029.45717094975</v>
      </c>
      <c r="AW286" s="14">
        <f t="shared" si="97"/>
        <v>0</v>
      </c>
      <c r="AX286" s="14">
        <f t="shared" si="97"/>
        <v>0</v>
      </c>
      <c r="AY286" s="14">
        <f t="shared" si="97"/>
        <v>0</v>
      </c>
      <c r="AZ286" s="14">
        <f t="shared" si="97"/>
        <v>0</v>
      </c>
      <c r="BA286" s="14">
        <f t="shared" si="97"/>
        <v>215659.12675438431</v>
      </c>
      <c r="BB286" s="14">
        <f t="shared" si="97"/>
        <v>0</v>
      </c>
      <c r="BC286" s="14">
        <f t="shared" si="97"/>
        <v>0</v>
      </c>
      <c r="BD286" s="14">
        <f t="shared" si="97"/>
        <v>0</v>
      </c>
      <c r="BE286" s="14">
        <f t="shared" si="97"/>
        <v>0</v>
      </c>
      <c r="BG286" s="14">
        <f t="shared" si="93"/>
        <v>0</v>
      </c>
      <c r="BH286" s="14">
        <f t="shared" si="93"/>
        <v>206000</v>
      </c>
      <c r="BI286" s="14">
        <f t="shared" si="93"/>
        <v>119405.22965290002</v>
      </c>
      <c r="BJ286" s="14">
        <f t="shared" si="93"/>
        <v>138423.3870724446</v>
      </c>
      <c r="BK286" s="14">
        <f t="shared" si="93"/>
        <v>160470.64390987885</v>
      </c>
      <c r="BL286" s="14">
        <f t="shared" si="93"/>
        <v>186029.45717094975</v>
      </c>
      <c r="BM286" s="14">
        <f t="shared" si="93"/>
        <v>215659.12675438431</v>
      </c>
    </row>
    <row r="287" spans="1:65">
      <c r="F287" s="40" t="s">
        <v>241</v>
      </c>
      <c r="G287" s="17" t="str">
        <f t="shared" si="91"/>
        <v>£ Nominal</v>
      </c>
      <c r="AA287" s="14">
        <f>AA220</f>
        <v>0</v>
      </c>
      <c r="AB287" s="14">
        <f t="shared" ref="AB287:BE287" si="98">AB220</f>
        <v>41200</v>
      </c>
      <c r="AC287" s="14">
        <f t="shared" si="98"/>
        <v>0</v>
      </c>
      <c r="AD287" s="14">
        <f t="shared" si="98"/>
        <v>0</v>
      </c>
      <c r="AE287" s="14">
        <f t="shared" si="98"/>
        <v>0</v>
      </c>
      <c r="AF287" s="14">
        <f t="shared" si="98"/>
        <v>0</v>
      </c>
      <c r="AG287" s="14">
        <f t="shared" si="98"/>
        <v>23881.045930580003</v>
      </c>
      <c r="AH287" s="14">
        <f t="shared" si="98"/>
        <v>0</v>
      </c>
      <c r="AI287" s="14">
        <f t="shared" si="98"/>
        <v>0</v>
      </c>
      <c r="AJ287" s="14">
        <f t="shared" si="98"/>
        <v>0</v>
      </c>
      <c r="AK287" s="14">
        <f t="shared" si="98"/>
        <v>0</v>
      </c>
      <c r="AL287" s="14">
        <f t="shared" si="98"/>
        <v>27684.677414488917</v>
      </c>
      <c r="AM287" s="14">
        <f t="shared" si="98"/>
        <v>0</v>
      </c>
      <c r="AN287" s="14">
        <f t="shared" si="98"/>
        <v>0</v>
      </c>
      <c r="AO287" s="14">
        <f t="shared" si="98"/>
        <v>0</v>
      </c>
      <c r="AP287" s="14">
        <f t="shared" si="98"/>
        <v>0</v>
      </c>
      <c r="AQ287" s="14">
        <f t="shared" si="98"/>
        <v>32094.128781975767</v>
      </c>
      <c r="AR287" s="14">
        <f t="shared" si="98"/>
        <v>0</v>
      </c>
      <c r="AS287" s="14">
        <f t="shared" si="98"/>
        <v>0</v>
      </c>
      <c r="AT287" s="14">
        <f t="shared" si="98"/>
        <v>0</v>
      </c>
      <c r="AU287" s="14">
        <f t="shared" si="98"/>
        <v>0</v>
      </c>
      <c r="AV287" s="14">
        <f t="shared" si="98"/>
        <v>37205.891434189951</v>
      </c>
      <c r="AW287" s="14">
        <f t="shared" si="98"/>
        <v>0</v>
      </c>
      <c r="AX287" s="14">
        <f t="shared" si="98"/>
        <v>0</v>
      </c>
      <c r="AY287" s="14">
        <f t="shared" si="98"/>
        <v>0</v>
      </c>
      <c r="AZ287" s="14">
        <f t="shared" si="98"/>
        <v>0</v>
      </c>
      <c r="BA287" s="14">
        <f t="shared" si="98"/>
        <v>43131.825350876861</v>
      </c>
      <c r="BB287" s="14">
        <f t="shared" si="98"/>
        <v>0</v>
      </c>
      <c r="BC287" s="14">
        <f t="shared" si="98"/>
        <v>0</v>
      </c>
      <c r="BD287" s="14">
        <f t="shared" si="98"/>
        <v>0</v>
      </c>
      <c r="BE287" s="14">
        <f t="shared" si="98"/>
        <v>0</v>
      </c>
      <c r="BG287" s="14">
        <f t="shared" si="93"/>
        <v>0</v>
      </c>
      <c r="BH287" s="14">
        <f t="shared" si="93"/>
        <v>41200</v>
      </c>
      <c r="BI287" s="14">
        <f t="shared" si="93"/>
        <v>23881.045930580003</v>
      </c>
      <c r="BJ287" s="14">
        <f t="shared" si="93"/>
        <v>27684.677414488917</v>
      </c>
      <c r="BK287" s="14">
        <f t="shared" si="93"/>
        <v>32094.128781975767</v>
      </c>
      <c r="BL287" s="14">
        <f t="shared" si="93"/>
        <v>37205.891434189951</v>
      </c>
      <c r="BM287" s="14">
        <f t="shared" si="93"/>
        <v>43131.825350876861</v>
      </c>
    </row>
    <row r="288" spans="1:65">
      <c r="F288" s="40" t="s">
        <v>240</v>
      </c>
      <c r="G288" s="17" t="str">
        <f t="shared" si="91"/>
        <v>£ Nominal</v>
      </c>
      <c r="AA288" s="14">
        <f>AA222</f>
        <v>0</v>
      </c>
      <c r="AB288" s="14">
        <f t="shared" ref="AB288:BE288" si="99">AB222</f>
        <v>64644.351464435145</v>
      </c>
      <c r="AC288" s="14">
        <f t="shared" si="99"/>
        <v>66583.682008368196</v>
      </c>
      <c r="AD288" s="14">
        <f t="shared" si="99"/>
        <v>68581.192468619251</v>
      </c>
      <c r="AE288" s="14">
        <f t="shared" si="99"/>
        <v>70638.628242677834</v>
      </c>
      <c r="AF288" s="14">
        <f t="shared" si="99"/>
        <v>72757.787089958161</v>
      </c>
      <c r="AG288" s="14">
        <f t="shared" si="99"/>
        <v>74940.520702656911</v>
      </c>
      <c r="AH288" s="14">
        <f t="shared" si="99"/>
        <v>77188.736323736623</v>
      </c>
      <c r="AI288" s="14">
        <f t="shared" si="99"/>
        <v>79504.398413448725</v>
      </c>
      <c r="AJ288" s="14">
        <f t="shared" si="99"/>
        <v>81889.530365852188</v>
      </c>
      <c r="AK288" s="14">
        <f t="shared" si="99"/>
        <v>84346.216276827749</v>
      </c>
      <c r="AL288" s="14">
        <f t="shared" si="99"/>
        <v>86876.602765132586</v>
      </c>
      <c r="AM288" s="14">
        <f t="shared" si="99"/>
        <v>89482.90084808656</v>
      </c>
      <c r="AN288" s="14">
        <f t="shared" si="99"/>
        <v>92167.387873529166</v>
      </c>
      <c r="AO288" s="14">
        <f t="shared" si="99"/>
        <v>94932.409509735051</v>
      </c>
      <c r="AP288" s="14">
        <f t="shared" si="99"/>
        <v>97780.381795027104</v>
      </c>
      <c r="AQ288" s="14">
        <f t="shared" si="99"/>
        <v>100713.79324887793</v>
      </c>
      <c r="AR288" s="14">
        <f t="shared" si="99"/>
        <v>103735.20704634427</v>
      </c>
      <c r="AS288" s="14">
        <f t="shared" si="99"/>
        <v>106847.26325773459</v>
      </c>
      <c r="AT288" s="14">
        <f t="shared" si="99"/>
        <v>110052.68115546663</v>
      </c>
      <c r="AU288" s="14">
        <f t="shared" si="99"/>
        <v>113354.26159013066</v>
      </c>
      <c r="AV288" s="14">
        <f t="shared" si="99"/>
        <v>116754.88943783457</v>
      </c>
      <c r="AW288" s="14">
        <f t="shared" si="99"/>
        <v>120257.53612096963</v>
      </c>
      <c r="AX288" s="14">
        <f t="shared" si="99"/>
        <v>123865.26220459871</v>
      </c>
      <c r="AY288" s="14">
        <f t="shared" si="99"/>
        <v>127581.22007073669</v>
      </c>
      <c r="AZ288" s="14">
        <f t="shared" si="99"/>
        <v>131408.65667285878</v>
      </c>
      <c r="BA288" s="14">
        <f t="shared" si="99"/>
        <v>135350.91637304454</v>
      </c>
      <c r="BB288" s="14">
        <f t="shared" si="99"/>
        <v>139411.44386423589</v>
      </c>
      <c r="BC288" s="14">
        <f t="shared" si="99"/>
        <v>143593.78718016297</v>
      </c>
      <c r="BD288" s="14">
        <f t="shared" si="99"/>
        <v>147901.60079556785</v>
      </c>
      <c r="BE288" s="14">
        <f t="shared" si="99"/>
        <v>152338.64881943489</v>
      </c>
      <c r="BG288" s="14">
        <f t="shared" si="93"/>
        <v>0</v>
      </c>
      <c r="BH288" s="14">
        <f t="shared" si="93"/>
        <v>343205.64127405855</v>
      </c>
      <c r="BI288" s="14">
        <f t="shared" si="93"/>
        <v>397869.40208252217</v>
      </c>
      <c r="BJ288" s="14">
        <f t="shared" si="93"/>
        <v>461239.68279151048</v>
      </c>
      <c r="BK288" s="14">
        <f t="shared" si="93"/>
        <v>534703.20629855408</v>
      </c>
      <c r="BL288" s="14">
        <f t="shared" si="93"/>
        <v>619867.56450699829</v>
      </c>
      <c r="BM288" s="14">
        <f t="shared" si="93"/>
        <v>718596.39703244623</v>
      </c>
    </row>
    <row r="289" spans="1:66">
      <c r="F289" s="40" t="s">
        <v>232</v>
      </c>
      <c r="G289" s="17" t="str">
        <f t="shared" si="91"/>
        <v>£ Nominal</v>
      </c>
      <c r="AA289" s="14">
        <f>AA246</f>
        <v>0</v>
      </c>
      <c r="AB289" s="14">
        <f t="shared" ref="AB289:BE289" si="100">AB246</f>
        <v>88388.221757322186</v>
      </c>
      <c r="AC289" s="14">
        <f t="shared" si="100"/>
        <v>0</v>
      </c>
      <c r="AD289" s="14">
        <f t="shared" si="100"/>
        <v>0</v>
      </c>
      <c r="AE289" s="14">
        <f t="shared" si="100"/>
        <v>48292.098198106709</v>
      </c>
      <c r="AF289" s="14">
        <f t="shared" si="100"/>
        <v>0</v>
      </c>
      <c r="AG289" s="14">
        <f t="shared" si="100"/>
        <v>0</v>
      </c>
      <c r="AH289" s="14">
        <f t="shared" si="100"/>
        <v>52770.079587722546</v>
      </c>
      <c r="AI289" s="14">
        <f t="shared" si="100"/>
        <v>0</v>
      </c>
      <c r="AJ289" s="14">
        <f t="shared" si="100"/>
        <v>0</v>
      </c>
      <c r="AK289" s="14">
        <f t="shared" si="100"/>
        <v>57663.290757653303</v>
      </c>
      <c r="AL289" s="14">
        <f t="shared" si="100"/>
        <v>0</v>
      </c>
      <c r="AM289" s="14">
        <f t="shared" si="100"/>
        <v>0</v>
      </c>
      <c r="AN289" s="14">
        <f t="shared" si="100"/>
        <v>63010.234719738226</v>
      </c>
      <c r="AO289" s="14">
        <f t="shared" si="100"/>
        <v>0</v>
      </c>
      <c r="AP289" s="14">
        <f t="shared" si="100"/>
        <v>0</v>
      </c>
      <c r="AQ289" s="14">
        <f t="shared" si="100"/>
        <v>68852.984754595411</v>
      </c>
      <c r="AR289" s="14">
        <f t="shared" si="100"/>
        <v>0</v>
      </c>
      <c r="AS289" s="14">
        <f t="shared" si="100"/>
        <v>0</v>
      </c>
      <c r="AT289" s="14">
        <f t="shared" si="100"/>
        <v>75237.515471934777</v>
      </c>
      <c r="AU289" s="14">
        <f t="shared" si="100"/>
        <v>0</v>
      </c>
      <c r="AV289" s="14">
        <f t="shared" si="100"/>
        <v>0</v>
      </c>
      <c r="AW289" s="14">
        <f t="shared" si="100"/>
        <v>82214.064569100898</v>
      </c>
      <c r="AX289" s="14">
        <f t="shared" si="100"/>
        <v>0</v>
      </c>
      <c r="AY289" s="14">
        <f t="shared" si="100"/>
        <v>0</v>
      </c>
      <c r="AZ289" s="14">
        <f t="shared" si="100"/>
        <v>89837.528134399909</v>
      </c>
      <c r="BA289" s="14">
        <f t="shared" si="100"/>
        <v>0</v>
      </c>
      <c r="BB289" s="14">
        <f t="shared" si="100"/>
        <v>0</v>
      </c>
      <c r="BC289" s="14">
        <f t="shared" si="100"/>
        <v>98167.892605718429</v>
      </c>
      <c r="BD289" s="14">
        <f t="shared" si="100"/>
        <v>0</v>
      </c>
      <c r="BE289" s="14">
        <f t="shared" si="100"/>
        <v>0</v>
      </c>
      <c r="BG289" s="14">
        <f t="shared" si="93"/>
        <v>0</v>
      </c>
      <c r="BH289" s="14">
        <f t="shared" si="93"/>
        <v>136680.31995542889</v>
      </c>
      <c r="BI289" s="14">
        <f t="shared" si="93"/>
        <v>110433.37034537585</v>
      </c>
      <c r="BJ289" s="14">
        <f t="shared" si="93"/>
        <v>63010.234719738226</v>
      </c>
      <c r="BK289" s="14">
        <f t="shared" si="93"/>
        <v>144090.50022653019</v>
      </c>
      <c r="BL289" s="14">
        <f t="shared" si="93"/>
        <v>172051.59270350082</v>
      </c>
      <c r="BM289" s="14">
        <f t="shared" si="93"/>
        <v>98167.892605718429</v>
      </c>
    </row>
    <row r="290" spans="1:66">
      <c r="F290" s="40" t="s">
        <v>242</v>
      </c>
      <c r="G290" s="17" t="str">
        <f t="shared" si="91"/>
        <v>£ Nominal</v>
      </c>
      <c r="AA290" s="14">
        <f>AA262</f>
        <v>0</v>
      </c>
      <c r="AB290" s="14">
        <f t="shared" ref="AB290:BE290" si="101">AB262</f>
        <v>23570.192468619251</v>
      </c>
      <c r="AC290" s="14">
        <f t="shared" si="101"/>
        <v>24277.298242677825</v>
      </c>
      <c r="AD290" s="14">
        <f t="shared" si="101"/>
        <v>25005.61718995816</v>
      </c>
      <c r="AE290" s="14">
        <f t="shared" si="101"/>
        <v>25755.785705656908</v>
      </c>
      <c r="AF290" s="14">
        <f t="shared" si="101"/>
        <v>26528.459276826616</v>
      </c>
      <c r="AG290" s="14">
        <f t="shared" si="101"/>
        <v>27324.313055131413</v>
      </c>
      <c r="AH290" s="14">
        <f t="shared" si="101"/>
        <v>28144.042446785359</v>
      </c>
      <c r="AI290" s="14">
        <f t="shared" si="101"/>
        <v>28988.363720188921</v>
      </c>
      <c r="AJ290" s="14">
        <f t="shared" si="101"/>
        <v>29858.014631794591</v>
      </c>
      <c r="AK290" s="14">
        <f t="shared" si="101"/>
        <v>30753.755070748426</v>
      </c>
      <c r="AL290" s="14">
        <f t="shared" si="101"/>
        <v>31676.36772287088</v>
      </c>
      <c r="AM290" s="14">
        <f t="shared" si="101"/>
        <v>32626.658754557007</v>
      </c>
      <c r="AN290" s="14">
        <f t="shared" si="101"/>
        <v>33605.458517193721</v>
      </c>
      <c r="AO290" s="14">
        <f t="shared" si="101"/>
        <v>34613.622272709537</v>
      </c>
      <c r="AP290" s="14">
        <f t="shared" si="101"/>
        <v>35652.030940890822</v>
      </c>
      <c r="AQ290" s="14">
        <f t="shared" si="101"/>
        <v>36721.591869117547</v>
      </c>
      <c r="AR290" s="14">
        <f t="shared" si="101"/>
        <v>37823.239625191076</v>
      </c>
      <c r="AS290" s="14">
        <f t="shared" si="101"/>
        <v>38957.936813946806</v>
      </c>
      <c r="AT290" s="14">
        <f t="shared" si="101"/>
        <v>40126.674918365214</v>
      </c>
      <c r="AU290" s="14">
        <f t="shared" si="101"/>
        <v>41330.475165916178</v>
      </c>
      <c r="AV290" s="14">
        <f t="shared" si="101"/>
        <v>42570.389420893662</v>
      </c>
      <c r="AW290" s="14">
        <f t="shared" si="101"/>
        <v>43847.501103520473</v>
      </c>
      <c r="AX290" s="14">
        <f t="shared" si="101"/>
        <v>45162.926136626091</v>
      </c>
      <c r="AY290" s="14">
        <f t="shared" si="101"/>
        <v>46517.813920724875</v>
      </c>
      <c r="AZ290" s="14">
        <f t="shared" si="101"/>
        <v>47913.348338346623</v>
      </c>
      <c r="BA290" s="14">
        <f t="shared" si="101"/>
        <v>49350.748788497025</v>
      </c>
      <c r="BB290" s="14">
        <f t="shared" si="101"/>
        <v>50831.271252151935</v>
      </c>
      <c r="BC290" s="14">
        <f t="shared" si="101"/>
        <v>52356.209389716496</v>
      </c>
      <c r="BD290" s="14">
        <f t="shared" si="101"/>
        <v>53926.89567140799</v>
      </c>
      <c r="BE290" s="14">
        <f t="shared" si="101"/>
        <v>55544.702541550228</v>
      </c>
      <c r="BG290" s="14">
        <f t="shared" si="93"/>
        <v>0</v>
      </c>
      <c r="BH290" s="14">
        <f t="shared" si="93"/>
        <v>125137.35288373876</v>
      </c>
      <c r="BI290" s="14">
        <f t="shared" si="93"/>
        <v>145068.4889246487</v>
      </c>
      <c r="BJ290" s="14">
        <f t="shared" si="93"/>
        <v>168174.13820822199</v>
      </c>
      <c r="BK290" s="14">
        <f t="shared" si="93"/>
        <v>194959.91839253684</v>
      </c>
      <c r="BL290" s="14">
        <f t="shared" si="93"/>
        <v>226011.97892011172</v>
      </c>
      <c r="BM290" s="14">
        <f t="shared" si="93"/>
        <v>262009.82764332369</v>
      </c>
    </row>
    <row r="291" spans="1:66">
      <c r="F291" s="40" t="s">
        <v>243</v>
      </c>
      <c r="G291" s="17" t="str">
        <f t="shared" si="91"/>
        <v>£ Nominal</v>
      </c>
      <c r="AA291" s="14">
        <f>AA278</f>
        <v>0</v>
      </c>
      <c r="AB291" s="14">
        <f t="shared" ref="AB291:BE291" si="102">AB278</f>
        <v>11785.096234309625</v>
      </c>
      <c r="AC291" s="14">
        <f t="shared" si="102"/>
        <v>12138.649121338913</v>
      </c>
      <c r="AD291" s="14">
        <f t="shared" si="102"/>
        <v>12502.80859497908</v>
      </c>
      <c r="AE291" s="14">
        <f t="shared" si="102"/>
        <v>12877.892852828454</v>
      </c>
      <c r="AF291" s="14">
        <f t="shared" si="102"/>
        <v>13264.229638413308</v>
      </c>
      <c r="AG291" s="14">
        <f t="shared" si="102"/>
        <v>13662.156527565707</v>
      </c>
      <c r="AH291" s="14">
        <f t="shared" si="102"/>
        <v>14072.02122339268</v>
      </c>
      <c r="AI291" s="14">
        <f t="shared" si="102"/>
        <v>14494.181860094461</v>
      </c>
      <c r="AJ291" s="14">
        <f t="shared" si="102"/>
        <v>14929.007315897295</v>
      </c>
      <c r="AK291" s="14">
        <f t="shared" si="102"/>
        <v>15376.877535374213</v>
      </c>
      <c r="AL291" s="14">
        <f t="shared" si="102"/>
        <v>15838.18386143544</v>
      </c>
      <c r="AM291" s="14">
        <f t="shared" si="102"/>
        <v>16313.329377278504</v>
      </c>
      <c r="AN291" s="14">
        <f t="shared" si="102"/>
        <v>16802.729258596861</v>
      </c>
      <c r="AO291" s="14">
        <f t="shared" si="102"/>
        <v>17306.811136354769</v>
      </c>
      <c r="AP291" s="14">
        <f t="shared" si="102"/>
        <v>17826.015470445411</v>
      </c>
      <c r="AQ291" s="14">
        <f t="shared" si="102"/>
        <v>18360.795934558773</v>
      </c>
      <c r="AR291" s="14">
        <f t="shared" si="102"/>
        <v>18911.619812595538</v>
      </c>
      <c r="AS291" s="14">
        <f t="shared" si="102"/>
        <v>19478.968406973403</v>
      </c>
      <c r="AT291" s="14">
        <f t="shared" si="102"/>
        <v>20063.337459182607</v>
      </c>
      <c r="AU291" s="14">
        <f t="shared" si="102"/>
        <v>20665.237582958089</v>
      </c>
      <c r="AV291" s="14">
        <f t="shared" si="102"/>
        <v>21285.194710446831</v>
      </c>
      <c r="AW291" s="14">
        <f t="shared" si="102"/>
        <v>21923.750551760237</v>
      </c>
      <c r="AX291" s="14">
        <f t="shared" si="102"/>
        <v>22581.463068313045</v>
      </c>
      <c r="AY291" s="14">
        <f t="shared" si="102"/>
        <v>23258.906960362438</v>
      </c>
      <c r="AZ291" s="14">
        <f t="shared" si="102"/>
        <v>23956.674169173311</v>
      </c>
      <c r="BA291" s="14">
        <f t="shared" si="102"/>
        <v>24675.374394248513</v>
      </c>
      <c r="BB291" s="14">
        <f t="shared" si="102"/>
        <v>25415.635626075968</v>
      </c>
      <c r="BC291" s="14">
        <f t="shared" si="102"/>
        <v>26178.104694858248</v>
      </c>
      <c r="BD291" s="14">
        <f t="shared" si="102"/>
        <v>26963.447835703995</v>
      </c>
      <c r="BE291" s="14">
        <f t="shared" si="102"/>
        <v>27772.351270775114</v>
      </c>
      <c r="BG291" s="14">
        <f t="shared" si="93"/>
        <v>0</v>
      </c>
      <c r="BH291" s="14">
        <f t="shared" si="93"/>
        <v>62568.676441869378</v>
      </c>
      <c r="BI291" s="14">
        <f t="shared" si="93"/>
        <v>72534.24446232435</v>
      </c>
      <c r="BJ291" s="14">
        <f t="shared" si="93"/>
        <v>84087.069104110997</v>
      </c>
      <c r="BK291" s="14">
        <f t="shared" si="93"/>
        <v>97479.959196268421</v>
      </c>
      <c r="BL291" s="14">
        <f t="shared" si="93"/>
        <v>113005.98946005586</v>
      </c>
      <c r="BM291" s="14">
        <f t="shared" si="93"/>
        <v>131004.91382166184</v>
      </c>
    </row>
    <row r="292" spans="1:66">
      <c r="G292" s="17"/>
    </row>
    <row r="293" spans="1:66">
      <c r="F293" s="89" t="s">
        <v>308</v>
      </c>
      <c r="G293" s="90" t="str">
        <f>cstNominalUnit</f>
        <v>£ Nominal</v>
      </c>
      <c r="AA293" s="87">
        <f t="shared" ref="AA293:BE293" si="103">SUM(AA282:AA292)</f>
        <v>0</v>
      </c>
      <c r="AB293" s="87">
        <f t="shared" si="103"/>
        <v>727931.16736401664</v>
      </c>
      <c r="AC293" s="87">
        <f t="shared" si="103"/>
        <v>165410.73397489538</v>
      </c>
      <c r="AD293" s="87">
        <f t="shared" si="103"/>
        <v>170373.05599414228</v>
      </c>
      <c r="AE293" s="87">
        <f t="shared" si="103"/>
        <v>223776.34587207329</v>
      </c>
      <c r="AF293" s="87">
        <f t="shared" si="103"/>
        <v>180748.77510418557</v>
      </c>
      <c r="AG293" s="87">
        <f t="shared" si="103"/>
        <v>344383.16764740366</v>
      </c>
      <c r="AH293" s="87">
        <f t="shared" si="103"/>
        <v>244526.45509575302</v>
      </c>
      <c r="AI293" s="87">
        <f t="shared" si="103"/>
        <v>197509.06677327139</v>
      </c>
      <c r="AJ293" s="87">
        <f t="shared" si="103"/>
        <v>203434.33877646955</v>
      </c>
      <c r="AK293" s="87">
        <f t="shared" si="103"/>
        <v>267200.65969741694</v>
      </c>
      <c r="AL293" s="87">
        <f t="shared" si="103"/>
        <v>399234.47787894559</v>
      </c>
      <c r="AM293" s="87">
        <f t="shared" si="103"/>
        <v>222298.19470819522</v>
      </c>
      <c r="AN293" s="87">
        <f t="shared" si="103"/>
        <v>291977.37526917929</v>
      </c>
      <c r="AO293" s="87">
        <f t="shared" si="103"/>
        <v>235836.15476592435</v>
      </c>
      <c r="AP293" s="87">
        <f t="shared" si="103"/>
        <v>242911.2394089021</v>
      </c>
      <c r="AQ293" s="87">
        <f t="shared" si="103"/>
        <v>531675.16452635406</v>
      </c>
      <c r="AR293" s="87">
        <f t="shared" si="103"/>
        <v>257704.53388890426</v>
      </c>
      <c r="AS293" s="87">
        <f t="shared" si="103"/>
        <v>265435.66990557138</v>
      </c>
      <c r="AT293" s="87">
        <f t="shared" si="103"/>
        <v>348636.25547467323</v>
      </c>
      <c r="AU293" s="87">
        <f t="shared" si="103"/>
        <v>281600.70220282074</v>
      </c>
      <c r="AV293" s="87">
        <f t="shared" si="103"/>
        <v>536537.75402041385</v>
      </c>
      <c r="AW293" s="87">
        <f t="shared" si="103"/>
        <v>380964.24953607342</v>
      </c>
      <c r="AX293" s="87">
        <f t="shared" si="103"/>
        <v>307712.6905159817</v>
      </c>
      <c r="AY293" s="87">
        <f t="shared" si="103"/>
        <v>316944.07123146125</v>
      </c>
      <c r="AZ293" s="87">
        <f t="shared" si="103"/>
        <v>416289.92150280491</v>
      </c>
      <c r="BA293" s="87">
        <f t="shared" si="103"/>
        <v>621994.30811901635</v>
      </c>
      <c r="BB293" s="87">
        <f t="shared" si="103"/>
        <v>346333.34412454092</v>
      </c>
      <c r="BC293" s="87">
        <f t="shared" si="103"/>
        <v>454891.23705399554</v>
      </c>
      <c r="BD293" s="87">
        <f t="shared" si="103"/>
        <v>367425.0447817255</v>
      </c>
      <c r="BE293" s="87">
        <f t="shared" si="103"/>
        <v>378447.79612517724</v>
      </c>
      <c r="BG293" s="87">
        <f t="shared" ref="BG293:BM293" si="104">SUMIFS($AA293:$BE293,$AA$2:$BE$2,"&gt;="&amp;BG$2,$AA$3:$BE$3,"&lt;="&amp;BG$3)</f>
        <v>0</v>
      </c>
      <c r="BH293" s="87">
        <f t="shared" si="104"/>
        <v>1468240.0783093132</v>
      </c>
      <c r="BI293" s="87">
        <f t="shared" si="104"/>
        <v>1257053.6879903148</v>
      </c>
      <c r="BJ293" s="87">
        <f t="shared" si="104"/>
        <v>1392257.4420311467</v>
      </c>
      <c r="BK293" s="87">
        <f t="shared" si="104"/>
        <v>1685052.3259983235</v>
      </c>
      <c r="BL293" s="87">
        <f t="shared" si="104"/>
        <v>1958448.6868067351</v>
      </c>
      <c r="BM293" s="87">
        <f t="shared" si="104"/>
        <v>2169091.7302044556</v>
      </c>
    </row>
    <row r="294" spans="1:66">
      <c r="F294" s="91"/>
      <c r="G294" s="92"/>
      <c r="AA294" s="93"/>
      <c r="AB294" s="93"/>
      <c r="AC294" s="93"/>
      <c r="AD294" s="93"/>
      <c r="AE294" s="93"/>
      <c r="AF294" s="93"/>
      <c r="AG294" s="93"/>
      <c r="AH294" s="93"/>
      <c r="AI294" s="93"/>
      <c r="AJ294" s="93"/>
      <c r="AK294" s="93"/>
      <c r="AL294" s="93"/>
      <c r="AM294" s="93"/>
      <c r="AN294" s="93"/>
      <c r="AO294" s="93"/>
      <c r="AP294" s="93"/>
      <c r="AQ294" s="93"/>
      <c r="AR294" s="93"/>
      <c r="AS294" s="93"/>
      <c r="AT294" s="93"/>
      <c r="AU294" s="93"/>
      <c r="AV294" s="93"/>
      <c r="AW294" s="93"/>
      <c r="AX294" s="93"/>
      <c r="AY294" s="93"/>
      <c r="AZ294" s="93"/>
      <c r="BA294" s="93"/>
      <c r="BB294" s="93"/>
      <c r="BC294" s="93"/>
      <c r="BD294" s="93"/>
      <c r="BE294" s="93"/>
      <c r="BG294" s="93"/>
      <c r="BH294" s="93"/>
      <c r="BI294" s="93"/>
      <c r="BJ294" s="93"/>
      <c r="BK294" s="93"/>
      <c r="BL294" s="93"/>
      <c r="BM294" s="93"/>
    </row>
    <row r="295" spans="1:66">
      <c r="A295" s="19">
        <f>SUM(C295:BM295)</f>
        <v>0</v>
      </c>
      <c r="F295" s="94" t="s">
        <v>329</v>
      </c>
      <c r="G295" s="17"/>
      <c r="BG295" s="19">
        <f t="shared" ref="BG295:BM295" si="105">IF(ABS(SUM(BG282:BG292)-BG293)&lt;eTol,0,1)</f>
        <v>0</v>
      </c>
      <c r="BH295" s="19">
        <f t="shared" si="105"/>
        <v>0</v>
      </c>
      <c r="BI295" s="19">
        <f t="shared" si="105"/>
        <v>0</v>
      </c>
      <c r="BJ295" s="19">
        <f t="shared" si="105"/>
        <v>0</v>
      </c>
      <c r="BK295" s="19">
        <f t="shared" si="105"/>
        <v>0</v>
      </c>
      <c r="BL295" s="19">
        <f t="shared" si="105"/>
        <v>0</v>
      </c>
      <c r="BM295" s="19">
        <f t="shared" si="105"/>
        <v>0</v>
      </c>
    </row>
    <row r="296" spans="1:66">
      <c r="G296" s="17"/>
    </row>
    <row r="297" spans="1:66" ht="16">
      <c r="A297" s="24"/>
      <c r="B297" s="24"/>
      <c r="C297" s="24"/>
      <c r="D297" s="24">
        <v>7</v>
      </c>
      <c r="E297" s="24" t="s">
        <v>121</v>
      </c>
      <c r="F297" s="24"/>
      <c r="G297" s="24"/>
      <c r="H297" s="24"/>
      <c r="I297" s="24"/>
      <c r="J297" s="24"/>
      <c r="K297" s="24"/>
      <c r="L297" s="24"/>
      <c r="M297" s="24"/>
      <c r="N297" s="24"/>
      <c r="O297" s="24"/>
      <c r="P297" s="24"/>
      <c r="Q297" s="24"/>
      <c r="R297" s="24"/>
      <c r="S297" s="24"/>
      <c r="T297" s="24"/>
      <c r="U297" s="24"/>
      <c r="V297" s="24"/>
      <c r="W297" s="24"/>
      <c r="X297" s="24"/>
      <c r="Y297" s="24"/>
      <c r="Z297" s="24"/>
      <c r="AA297" s="24"/>
      <c r="AB297" s="24"/>
      <c r="AC297" s="24"/>
      <c r="AD297" s="24"/>
      <c r="AE297" s="24"/>
      <c r="AF297" s="24"/>
      <c r="AG297" s="24"/>
      <c r="AH297" s="24"/>
      <c r="AI297" s="24"/>
      <c r="AJ297" s="24"/>
      <c r="AK297" s="24"/>
      <c r="AL297" s="24"/>
      <c r="AM297" s="24"/>
      <c r="AN297" s="24"/>
      <c r="AO297" s="24"/>
      <c r="AP297" s="24"/>
      <c r="AQ297" s="24"/>
      <c r="AR297" s="24"/>
      <c r="AS297" s="24"/>
      <c r="AT297" s="24"/>
      <c r="AU297" s="24"/>
      <c r="AV297" s="24"/>
      <c r="AW297" s="24"/>
      <c r="AX297" s="24"/>
      <c r="AY297" s="24"/>
      <c r="AZ297" s="24"/>
      <c r="BA297" s="24"/>
      <c r="BB297" s="24"/>
      <c r="BC297" s="24"/>
      <c r="BD297" s="24"/>
      <c r="BE297" s="24"/>
      <c r="BF297" s="24"/>
      <c r="BG297" s="24"/>
      <c r="BH297" s="24"/>
      <c r="BI297" s="24"/>
      <c r="BJ297" s="24"/>
      <c r="BK297" s="24"/>
      <c r="BL297" s="24"/>
      <c r="BM297" s="24"/>
      <c r="BN297" s="24"/>
    </row>
    <row r="298" spans="1:66">
      <c r="F298" s="18"/>
      <c r="G298" s="17"/>
    </row>
    <row r="299" spans="1:66" ht="14" thickBot="1">
      <c r="A299" s="25"/>
      <c r="B299" s="25"/>
      <c r="C299" s="25"/>
      <c r="D299" s="25"/>
      <c r="E299" s="25" t="s">
        <v>406</v>
      </c>
      <c r="F299" s="25" t="s">
        <v>244</v>
      </c>
      <c r="G299" s="25"/>
      <c r="H299" s="25"/>
      <c r="I299" s="25"/>
      <c r="J299" s="25"/>
      <c r="K299" s="25"/>
      <c r="L299" s="25"/>
      <c r="M299" s="25"/>
      <c r="N299" s="25"/>
      <c r="O299" s="25"/>
      <c r="P299" s="25"/>
      <c r="Q299" s="25"/>
      <c r="R299" s="25"/>
      <c r="S299" s="25"/>
      <c r="T299" s="25"/>
      <c r="U299" s="25"/>
      <c r="V299" s="25"/>
      <c r="W299" s="25"/>
      <c r="X299" s="25"/>
      <c r="Y299" s="25"/>
      <c r="Z299" s="25"/>
      <c r="AA299" s="25"/>
      <c r="AB299" s="25"/>
      <c r="AC299" s="25"/>
      <c r="AD299" s="25"/>
      <c r="AE299" s="25"/>
      <c r="AF299" s="25"/>
      <c r="AG299" s="25"/>
      <c r="AH299" s="25"/>
      <c r="AI299" s="25"/>
      <c r="AJ299" s="25"/>
      <c r="AK299" s="25"/>
      <c r="AL299" s="25"/>
      <c r="AM299" s="25"/>
      <c r="AN299" s="25"/>
      <c r="AO299" s="25"/>
      <c r="AP299" s="25"/>
      <c r="AQ299" s="25"/>
      <c r="AR299" s="25"/>
      <c r="AS299" s="25"/>
      <c r="AT299" s="25"/>
      <c r="AU299" s="25"/>
      <c r="AV299" s="25"/>
      <c r="AW299" s="25"/>
      <c r="AX299" s="25"/>
      <c r="AY299" s="25"/>
      <c r="AZ299" s="25"/>
      <c r="BA299" s="25"/>
      <c r="BB299" s="25"/>
      <c r="BC299" s="25"/>
      <c r="BD299" s="25"/>
      <c r="BE299" s="25"/>
      <c r="BF299" s="25"/>
      <c r="BG299" s="25"/>
      <c r="BH299" s="25"/>
      <c r="BI299" s="25"/>
      <c r="BJ299" s="25"/>
      <c r="BK299" s="25"/>
      <c r="BL299" s="25"/>
      <c r="BM299" s="25"/>
    </row>
    <row r="300" spans="1:66">
      <c r="F300" s="18"/>
      <c r="G300" s="17"/>
    </row>
    <row r="301" spans="1:66" ht="13">
      <c r="F301" s="26" t="s">
        <v>174</v>
      </c>
      <c r="G301" s="17"/>
    </row>
    <row r="302" spans="1:66">
      <c r="F302" s="18"/>
      <c r="G302" s="17"/>
    </row>
    <row r="303" spans="1:66">
      <c r="F303" s="18" t="s">
        <v>122</v>
      </c>
      <c r="G303" s="17" t="str">
        <f>cstConstantUnit</f>
        <v>£ 2022/23</v>
      </c>
      <c r="K303" s="9" cm="1">
        <f t="array" ref="K303">INDEX(iOptions!$M$123:$O$123,1,ActiveCostScenarioIndex)</f>
        <v>850</v>
      </c>
      <c r="AA303" s="39"/>
      <c r="AB303" s="39"/>
      <c r="AC303" s="39"/>
      <c r="AD303" s="39"/>
      <c r="AE303" s="39"/>
      <c r="AF303" s="39"/>
      <c r="AG303" s="39"/>
      <c r="AH303" s="39"/>
      <c r="AI303" s="39"/>
      <c r="AJ303" s="39"/>
      <c r="AK303" s="39"/>
      <c r="AL303" s="39"/>
      <c r="AM303" s="39"/>
      <c r="AN303" s="39"/>
      <c r="AO303" s="39"/>
      <c r="AP303" s="39"/>
      <c r="AQ303" s="39"/>
      <c r="AR303" s="39"/>
      <c r="AS303" s="39"/>
      <c r="AT303" s="39"/>
      <c r="AU303" s="39"/>
      <c r="AV303" s="39"/>
      <c r="AW303" s="39"/>
      <c r="AX303" s="39"/>
      <c r="AY303" s="39"/>
      <c r="AZ303" s="39"/>
      <c r="BA303" s="39"/>
      <c r="BB303" s="39"/>
      <c r="BC303" s="39"/>
      <c r="BD303" s="39"/>
      <c r="BE303" s="39"/>
      <c r="BG303" s="39"/>
      <c r="BH303" s="39"/>
      <c r="BI303" s="39"/>
      <c r="BJ303" s="39"/>
      <c r="BK303" s="39"/>
      <c r="BL303" s="39"/>
      <c r="BM303" s="39"/>
    </row>
    <row r="305" spans="1:66">
      <c r="F305" s="18" t="s">
        <v>209</v>
      </c>
      <c r="G305" s="17" t="str">
        <f>cstConstantUnit</f>
        <v>£ 2022/23</v>
      </c>
      <c r="AA305" s="10">
        <f>cVolumetrics!AA87</f>
        <v>0</v>
      </c>
      <c r="AB305" s="10">
        <f>cVolumetrics!AB87</f>
        <v>57.209205020920507</v>
      </c>
      <c r="AC305" s="10">
        <f>cVolumetrics!AC87</f>
        <v>57.209205020920507</v>
      </c>
      <c r="AD305" s="10">
        <f>cVolumetrics!AD87</f>
        <v>57.209205020920507</v>
      </c>
      <c r="AE305" s="10">
        <f>cVolumetrics!AE87</f>
        <v>57.209205020920507</v>
      </c>
      <c r="AF305" s="10">
        <f>cVolumetrics!AF87</f>
        <v>57.209205020920507</v>
      </c>
      <c r="AG305" s="10">
        <f>cVolumetrics!AG87</f>
        <v>57.209205020920507</v>
      </c>
      <c r="AH305" s="10">
        <f>cVolumetrics!AH87</f>
        <v>57.209205020920507</v>
      </c>
      <c r="AI305" s="10">
        <f>cVolumetrics!AI87</f>
        <v>57.209205020920507</v>
      </c>
      <c r="AJ305" s="10">
        <f>cVolumetrics!AJ87</f>
        <v>57.209205020920507</v>
      </c>
      <c r="AK305" s="10">
        <f>cVolumetrics!AK87</f>
        <v>57.209205020920507</v>
      </c>
      <c r="AL305" s="10">
        <f>cVolumetrics!AL87</f>
        <v>57.209205020920507</v>
      </c>
      <c r="AM305" s="10">
        <f>cVolumetrics!AM87</f>
        <v>57.209205020920507</v>
      </c>
      <c r="AN305" s="10">
        <f>cVolumetrics!AN87</f>
        <v>57.209205020920507</v>
      </c>
      <c r="AO305" s="10">
        <f>cVolumetrics!AO87</f>
        <v>57.209205020920507</v>
      </c>
      <c r="AP305" s="10">
        <f>cVolumetrics!AP87</f>
        <v>57.209205020920507</v>
      </c>
      <c r="AQ305" s="10">
        <f>cVolumetrics!AQ87</f>
        <v>57.209205020920507</v>
      </c>
      <c r="AR305" s="10">
        <f>cVolumetrics!AR87</f>
        <v>57.209205020920507</v>
      </c>
      <c r="AS305" s="10">
        <f>cVolumetrics!AS87</f>
        <v>57.209205020920507</v>
      </c>
      <c r="AT305" s="10">
        <f>cVolumetrics!AT87</f>
        <v>57.209205020920507</v>
      </c>
      <c r="AU305" s="10">
        <f>cVolumetrics!AU87</f>
        <v>57.209205020920507</v>
      </c>
      <c r="AV305" s="10">
        <f>cVolumetrics!AV87</f>
        <v>57.209205020920507</v>
      </c>
      <c r="AW305" s="10">
        <f>cVolumetrics!AW87</f>
        <v>57.209205020920507</v>
      </c>
      <c r="AX305" s="10">
        <f>cVolumetrics!AX87</f>
        <v>57.209205020920507</v>
      </c>
      <c r="AY305" s="10">
        <f>cVolumetrics!AY87</f>
        <v>57.209205020920507</v>
      </c>
      <c r="AZ305" s="10">
        <f>cVolumetrics!AZ87</f>
        <v>57.209205020920507</v>
      </c>
      <c r="BA305" s="10">
        <f>cVolumetrics!BA87</f>
        <v>57.209205020920507</v>
      </c>
      <c r="BB305" s="10">
        <f>cVolumetrics!BB87</f>
        <v>57.209205020920507</v>
      </c>
      <c r="BC305" s="10">
        <f>cVolumetrics!BC87</f>
        <v>57.209205020920507</v>
      </c>
      <c r="BD305" s="10">
        <f>cVolumetrics!BD87</f>
        <v>57.209205020920507</v>
      </c>
      <c r="BE305" s="10">
        <f>cVolumetrics!BE87</f>
        <v>57.209205020920507</v>
      </c>
      <c r="BG305" s="39"/>
      <c r="BH305" s="39"/>
      <c r="BI305" s="39"/>
      <c r="BJ305" s="39"/>
      <c r="BK305" s="39"/>
      <c r="BL305" s="39"/>
      <c r="BM305" s="39"/>
    </row>
    <row r="307" spans="1:66" ht="13">
      <c r="F307" s="26" t="s">
        <v>327</v>
      </c>
    </row>
    <row r="308" spans="1:66">
      <c r="F308" s="18"/>
      <c r="G308" s="17"/>
    </row>
    <row r="309" spans="1:66">
      <c r="F309" s="18" t="s">
        <v>244</v>
      </c>
      <c r="G309" s="17" t="str">
        <f>cstConstantUnit</f>
        <v>£ 2022/23</v>
      </c>
      <c r="AA309" s="14">
        <f t="shared" ref="AA309:BE309" si="106">$K303*AA305*AA20</f>
        <v>0</v>
      </c>
      <c r="AB309" s="14">
        <f t="shared" si="106"/>
        <v>48627.824267782431</v>
      </c>
      <c r="AC309" s="14">
        <f t="shared" si="106"/>
        <v>48627.824267782431</v>
      </c>
      <c r="AD309" s="14">
        <f t="shared" si="106"/>
        <v>48627.824267782431</v>
      </c>
      <c r="AE309" s="14">
        <f t="shared" si="106"/>
        <v>48627.824267782431</v>
      </c>
      <c r="AF309" s="14">
        <f t="shared" si="106"/>
        <v>48627.824267782431</v>
      </c>
      <c r="AG309" s="14">
        <f t="shared" si="106"/>
        <v>48627.824267782431</v>
      </c>
      <c r="AH309" s="14">
        <f t="shared" si="106"/>
        <v>48627.824267782431</v>
      </c>
      <c r="AI309" s="14">
        <f t="shared" si="106"/>
        <v>48627.824267782431</v>
      </c>
      <c r="AJ309" s="14">
        <f t="shared" si="106"/>
        <v>48627.824267782431</v>
      </c>
      <c r="AK309" s="14">
        <f t="shared" si="106"/>
        <v>48627.824267782431</v>
      </c>
      <c r="AL309" s="14">
        <f t="shared" si="106"/>
        <v>48627.824267782431</v>
      </c>
      <c r="AM309" s="14">
        <f t="shared" si="106"/>
        <v>48627.824267782431</v>
      </c>
      <c r="AN309" s="14">
        <f t="shared" si="106"/>
        <v>48627.824267782431</v>
      </c>
      <c r="AO309" s="14">
        <f t="shared" si="106"/>
        <v>48627.824267782431</v>
      </c>
      <c r="AP309" s="14">
        <f t="shared" si="106"/>
        <v>48627.824267782431</v>
      </c>
      <c r="AQ309" s="14">
        <f t="shared" si="106"/>
        <v>48627.824267782431</v>
      </c>
      <c r="AR309" s="14">
        <f t="shared" si="106"/>
        <v>48627.824267782431</v>
      </c>
      <c r="AS309" s="14">
        <f t="shared" si="106"/>
        <v>48627.824267782431</v>
      </c>
      <c r="AT309" s="14">
        <f t="shared" si="106"/>
        <v>48627.824267782431</v>
      </c>
      <c r="AU309" s="14">
        <f t="shared" si="106"/>
        <v>48627.824267782431</v>
      </c>
      <c r="AV309" s="14">
        <f t="shared" si="106"/>
        <v>48627.824267782431</v>
      </c>
      <c r="AW309" s="14">
        <f t="shared" si="106"/>
        <v>48627.824267782431</v>
      </c>
      <c r="AX309" s="14">
        <f t="shared" si="106"/>
        <v>48627.824267782431</v>
      </c>
      <c r="AY309" s="14">
        <f t="shared" si="106"/>
        <v>48627.824267782431</v>
      </c>
      <c r="AZ309" s="14">
        <f t="shared" si="106"/>
        <v>48627.824267782431</v>
      </c>
      <c r="BA309" s="14">
        <f t="shared" si="106"/>
        <v>48627.824267782431</v>
      </c>
      <c r="BB309" s="14">
        <f t="shared" si="106"/>
        <v>48627.824267782431</v>
      </c>
      <c r="BC309" s="14">
        <f t="shared" si="106"/>
        <v>48627.824267782431</v>
      </c>
      <c r="BD309" s="14">
        <f t="shared" si="106"/>
        <v>48627.824267782431</v>
      </c>
      <c r="BE309" s="14">
        <f t="shared" si="106"/>
        <v>48627.824267782431</v>
      </c>
      <c r="BG309" s="14">
        <f>SUMIFS($AA309:$BE309,$AA$2:$BE$2,"&gt;="&amp;BG$2,$AA$3:$BE$3,"&lt;="&amp;BG$3)</f>
        <v>0</v>
      </c>
      <c r="BH309" s="14">
        <f t="shared" ref="BH309:BM309" si="107">SUMIFS($AA309:$BE309,$AA$2:$BE$2,"&gt;="&amp;BH$2,$AA$3:$BE$3,"&lt;="&amp;BH$3)</f>
        <v>243139.12133891217</v>
      </c>
      <c r="BI309" s="14">
        <f t="shared" si="107"/>
        <v>243139.12133891217</v>
      </c>
      <c r="BJ309" s="14">
        <f t="shared" si="107"/>
        <v>243139.12133891217</v>
      </c>
      <c r="BK309" s="14">
        <f t="shared" si="107"/>
        <v>243139.12133891217</v>
      </c>
      <c r="BL309" s="14">
        <f t="shared" si="107"/>
        <v>243139.12133891217</v>
      </c>
      <c r="BM309" s="14">
        <f t="shared" si="107"/>
        <v>243139.12133891217</v>
      </c>
    </row>
    <row r="310" spans="1:66">
      <c r="F310" s="18"/>
      <c r="G310" s="17"/>
    </row>
    <row r="311" spans="1:66" ht="13">
      <c r="F311" s="26" t="s">
        <v>218</v>
      </c>
    </row>
    <row r="312" spans="1:66">
      <c r="F312" s="18"/>
      <c r="G312" s="17"/>
    </row>
    <row r="313" spans="1:66">
      <c r="F313" s="18" t="s">
        <v>244</v>
      </c>
      <c r="G313" s="17" t="str">
        <f>cstNominalUnit</f>
        <v>£ Nominal</v>
      </c>
      <c r="I313" s="22" t="str">
        <f>iOptions!Q123</f>
        <v>Other Inflation</v>
      </c>
      <c r="AA313" s="14">
        <f t="shared" ref="AA313:BE313" si="108">AA309*_xlfn.IFNA(INDEX(AA$34:AA$38,MATCH($I313,$F$34:$F$38,0)),0)</f>
        <v>0</v>
      </c>
      <c r="AB313" s="14">
        <f t="shared" si="108"/>
        <v>50086.658995815902</v>
      </c>
      <c r="AC313" s="14">
        <f t="shared" si="108"/>
        <v>51589.258765690378</v>
      </c>
      <c r="AD313" s="14">
        <f t="shared" si="108"/>
        <v>53136.936528661092</v>
      </c>
      <c r="AE313" s="14">
        <f t="shared" si="108"/>
        <v>54731.044624520931</v>
      </c>
      <c r="AF313" s="14">
        <f t="shared" si="108"/>
        <v>56372.975963256555</v>
      </c>
      <c r="AG313" s="14">
        <f t="shared" si="108"/>
        <v>58064.165242154253</v>
      </c>
      <c r="AH313" s="14">
        <f t="shared" si="108"/>
        <v>59806.09019941889</v>
      </c>
      <c r="AI313" s="14">
        <f t="shared" si="108"/>
        <v>61600.272905401456</v>
      </c>
      <c r="AJ313" s="14">
        <f t="shared" si="108"/>
        <v>63448.281092563499</v>
      </c>
      <c r="AK313" s="14">
        <f t="shared" si="108"/>
        <v>65351.729525340408</v>
      </c>
      <c r="AL313" s="14">
        <f t="shared" si="108"/>
        <v>67312.281411100616</v>
      </c>
      <c r="AM313" s="14">
        <f t="shared" si="108"/>
        <v>69331.649853433642</v>
      </c>
      <c r="AN313" s="14">
        <f t="shared" si="108"/>
        <v>71411.599349036653</v>
      </c>
      <c r="AO313" s="14">
        <f t="shared" si="108"/>
        <v>73553.947329507762</v>
      </c>
      <c r="AP313" s="14">
        <f t="shared" si="108"/>
        <v>75760.56574939299</v>
      </c>
      <c r="AQ313" s="14">
        <f t="shared" si="108"/>
        <v>78033.38272187479</v>
      </c>
      <c r="AR313" s="14">
        <f t="shared" si="108"/>
        <v>80374.384203531037</v>
      </c>
      <c r="AS313" s="14">
        <f t="shared" si="108"/>
        <v>82785.615729636964</v>
      </c>
      <c r="AT313" s="14">
        <f t="shared" si="108"/>
        <v>85269.184201526077</v>
      </c>
      <c r="AU313" s="14">
        <f t="shared" si="108"/>
        <v>87827.259727571873</v>
      </c>
      <c r="AV313" s="14">
        <f t="shared" si="108"/>
        <v>90462.077519399027</v>
      </c>
      <c r="AW313" s="14">
        <f t="shared" si="108"/>
        <v>93175.939844981011</v>
      </c>
      <c r="AX313" s="14">
        <f t="shared" si="108"/>
        <v>95971.218040330437</v>
      </c>
      <c r="AY313" s="14">
        <f t="shared" si="108"/>
        <v>98850.354581540363</v>
      </c>
      <c r="AZ313" s="14">
        <f t="shared" si="108"/>
        <v>101815.86521898657</v>
      </c>
      <c r="BA313" s="14">
        <f t="shared" si="108"/>
        <v>104870.34117555617</v>
      </c>
      <c r="BB313" s="14">
        <f t="shared" si="108"/>
        <v>108016.45141082286</v>
      </c>
      <c r="BC313" s="14">
        <f t="shared" si="108"/>
        <v>111256.94495314754</v>
      </c>
      <c r="BD313" s="14">
        <f t="shared" si="108"/>
        <v>114594.65330174197</v>
      </c>
      <c r="BE313" s="14">
        <f t="shared" si="108"/>
        <v>118032.49290079423</v>
      </c>
      <c r="BG313" s="14">
        <f>SUMIFS($AA313:$BE313,$AA$2:$BE$2,"&gt;="&amp;BG$2,$AA$3:$BE$3,"&lt;="&amp;BG$3)</f>
        <v>0</v>
      </c>
      <c r="BH313" s="14">
        <f t="shared" ref="BH313:BM313" si="109">SUMIFS($AA313:$BE313,$AA$2:$BE$2,"&gt;="&amp;BH$2,$AA$3:$BE$3,"&lt;="&amp;BH$3)</f>
        <v>265916.87487794482</v>
      </c>
      <c r="BI313" s="14">
        <f t="shared" si="109"/>
        <v>308270.53896487853</v>
      </c>
      <c r="BJ313" s="14">
        <f t="shared" si="109"/>
        <v>357370.04369247158</v>
      </c>
      <c r="BK313" s="14">
        <f t="shared" si="109"/>
        <v>414289.82658414077</v>
      </c>
      <c r="BL313" s="14">
        <f t="shared" si="109"/>
        <v>480275.45520523743</v>
      </c>
      <c r="BM313" s="14">
        <f t="shared" si="109"/>
        <v>556770.88374206284</v>
      </c>
    </row>
    <row r="314" spans="1:66">
      <c r="F314" s="18"/>
      <c r="G314" s="17"/>
    </row>
    <row r="315" spans="1:66" ht="16">
      <c r="A315" s="24"/>
      <c r="B315" s="24"/>
      <c r="C315" s="24"/>
      <c r="D315" s="24">
        <v>8</v>
      </c>
      <c r="E315" s="24" t="s">
        <v>245</v>
      </c>
      <c r="F315" s="24"/>
      <c r="G315" s="24"/>
      <c r="H315" s="24"/>
      <c r="I315" s="24"/>
      <c r="J315" s="24"/>
      <c r="K315" s="24"/>
      <c r="L315" s="24"/>
      <c r="M315" s="24"/>
      <c r="N315" s="24"/>
      <c r="O315" s="24"/>
      <c r="P315" s="24"/>
      <c r="Q315" s="24"/>
      <c r="R315" s="24"/>
      <c r="S315" s="24"/>
      <c r="T315" s="24"/>
      <c r="U315" s="24"/>
      <c r="V315" s="24"/>
      <c r="W315" s="24"/>
      <c r="X315" s="24"/>
      <c r="Y315" s="24"/>
      <c r="Z315" s="24"/>
      <c r="AA315" s="24"/>
      <c r="AB315" s="24"/>
      <c r="AC315" s="24"/>
      <c r="AD315" s="24"/>
      <c r="AE315" s="24"/>
      <c r="AF315" s="24"/>
      <c r="AG315" s="24"/>
      <c r="AH315" s="24"/>
      <c r="AI315" s="24"/>
      <c r="AJ315" s="24"/>
      <c r="AK315" s="24"/>
      <c r="AL315" s="24"/>
      <c r="AM315" s="24"/>
      <c r="AN315" s="24"/>
      <c r="AO315" s="24"/>
      <c r="AP315" s="24"/>
      <c r="AQ315" s="24"/>
      <c r="AR315" s="24"/>
      <c r="AS315" s="24"/>
      <c r="AT315" s="24"/>
      <c r="AU315" s="24"/>
      <c r="AV315" s="24"/>
      <c r="AW315" s="24"/>
      <c r="AX315" s="24"/>
      <c r="AY315" s="24"/>
      <c r="AZ315" s="24"/>
      <c r="BA315" s="24"/>
      <c r="BB315" s="24"/>
      <c r="BC315" s="24"/>
      <c r="BD315" s="24"/>
      <c r="BE315" s="24"/>
      <c r="BF315" s="24"/>
      <c r="BG315" s="24"/>
      <c r="BH315" s="24"/>
      <c r="BI315" s="24"/>
      <c r="BJ315" s="24"/>
      <c r="BK315" s="24"/>
      <c r="BL315" s="24"/>
      <c r="BM315" s="24"/>
      <c r="BN315" s="24"/>
    </row>
    <row r="316" spans="1:66">
      <c r="F316" s="18"/>
      <c r="G316" s="17"/>
    </row>
    <row r="317" spans="1:66" ht="14" thickBot="1">
      <c r="A317" s="25"/>
      <c r="B317" s="25"/>
      <c r="C317" s="25"/>
      <c r="D317" s="25"/>
      <c r="E317" s="25" t="s">
        <v>407</v>
      </c>
      <c r="F317" s="25" t="s">
        <v>126</v>
      </c>
      <c r="G317" s="25"/>
      <c r="H317" s="25"/>
      <c r="I317" s="25"/>
      <c r="J317" s="25"/>
      <c r="K317" s="25"/>
      <c r="L317" s="25"/>
      <c r="M317" s="25"/>
      <c r="N317" s="25"/>
      <c r="O317" s="25"/>
      <c r="P317" s="25"/>
      <c r="Q317" s="25"/>
      <c r="R317" s="25"/>
      <c r="S317" s="25"/>
      <c r="T317" s="25"/>
      <c r="U317" s="25"/>
      <c r="V317" s="25"/>
      <c r="W317" s="25"/>
      <c r="X317" s="25"/>
      <c r="Y317" s="25"/>
      <c r="Z317" s="25"/>
      <c r="AA317" s="25"/>
      <c r="AB317" s="25"/>
      <c r="AC317" s="25"/>
      <c r="AD317" s="25"/>
      <c r="AE317" s="25"/>
      <c r="AF317" s="25"/>
      <c r="AG317" s="25"/>
      <c r="AH317" s="25"/>
      <c r="AI317" s="25"/>
      <c r="AJ317" s="25"/>
      <c r="AK317" s="25"/>
      <c r="AL317" s="25"/>
      <c r="AM317" s="25"/>
      <c r="AN317" s="25"/>
      <c r="AO317" s="25"/>
      <c r="AP317" s="25"/>
      <c r="AQ317" s="25"/>
      <c r="AR317" s="25"/>
      <c r="AS317" s="25"/>
      <c r="AT317" s="25"/>
      <c r="AU317" s="25"/>
      <c r="AV317" s="25"/>
      <c r="AW317" s="25"/>
      <c r="AX317" s="25"/>
      <c r="AY317" s="25"/>
      <c r="AZ317" s="25"/>
      <c r="BA317" s="25"/>
      <c r="BB317" s="25"/>
      <c r="BC317" s="25"/>
      <c r="BD317" s="25"/>
      <c r="BE317" s="25"/>
      <c r="BF317" s="25"/>
      <c r="BG317" s="25"/>
      <c r="BH317" s="25"/>
      <c r="BI317" s="25"/>
      <c r="BJ317" s="25"/>
      <c r="BK317" s="25"/>
      <c r="BL317" s="25"/>
      <c r="BM317" s="25"/>
    </row>
    <row r="318" spans="1:66">
      <c r="F318" s="18"/>
      <c r="G318" s="17"/>
    </row>
    <row r="319" spans="1:66" ht="13">
      <c r="F319" s="26" t="s">
        <v>174</v>
      </c>
      <c r="G319" s="17"/>
    </row>
    <row r="320" spans="1:66">
      <c r="F320" s="18"/>
      <c r="G320" s="17"/>
    </row>
    <row r="321" spans="6:65">
      <c r="F321" s="18" t="str">
        <f>iOptions!F141</f>
        <v>Substructure</v>
      </c>
      <c r="G321" s="17" t="str">
        <f t="shared" ref="G321:G345" si="110">cstConstantUnit&amp;" per "&amp;cstArea</f>
        <v>£ 2022/23 per m2</v>
      </c>
      <c r="K321" s="9" cm="1">
        <f t="array" ref="K321">INDEX(iOptions!$M141:$O141,1,ActiveCostScenarioIndex)</f>
        <v>137.80000000000001</v>
      </c>
      <c r="AA321" s="39"/>
      <c r="AB321" s="39"/>
      <c r="AC321" s="39"/>
      <c r="AD321" s="39"/>
      <c r="AE321" s="39"/>
      <c r="AF321" s="39"/>
      <c r="AG321" s="39"/>
      <c r="AH321" s="39"/>
      <c r="AI321" s="39"/>
      <c r="AJ321" s="39"/>
      <c r="AK321" s="39"/>
      <c r="AL321" s="39"/>
      <c r="AM321" s="39"/>
      <c r="AN321" s="39"/>
      <c r="AO321" s="39"/>
      <c r="AP321" s="39"/>
      <c r="AQ321" s="39"/>
      <c r="AR321" s="39"/>
      <c r="AS321" s="39"/>
      <c r="AT321" s="39"/>
      <c r="AU321" s="39"/>
      <c r="AV321" s="39"/>
      <c r="AW321" s="39"/>
      <c r="AX321" s="39"/>
      <c r="AY321" s="39"/>
      <c r="AZ321" s="39"/>
      <c r="BA321" s="39"/>
      <c r="BB321" s="39"/>
      <c r="BC321" s="39"/>
      <c r="BD321" s="39"/>
      <c r="BE321" s="39"/>
      <c r="BG321" s="39"/>
      <c r="BH321" s="39"/>
      <c r="BI321" s="39"/>
      <c r="BJ321" s="39"/>
      <c r="BK321" s="39"/>
      <c r="BL321" s="39"/>
      <c r="BM321" s="39"/>
    </row>
    <row r="322" spans="6:65">
      <c r="F322" s="18" t="str">
        <f>iOptions!F142</f>
        <v>Frame</v>
      </c>
      <c r="G322" s="17" t="str">
        <f t="shared" si="110"/>
        <v>£ 2022/23 per m2</v>
      </c>
      <c r="K322" s="9" cm="1">
        <f t="array" ref="K322">INDEX(iOptions!$M142:$O142,1,ActiveCostScenarioIndex)</f>
        <v>182</v>
      </c>
      <c r="AA322" s="39"/>
      <c r="AB322" s="39"/>
      <c r="AC322" s="39"/>
      <c r="AD322" s="39"/>
      <c r="AE322" s="39"/>
      <c r="AF322" s="39"/>
      <c r="AG322" s="39"/>
      <c r="AH322" s="39"/>
      <c r="AI322" s="39"/>
      <c r="AJ322" s="39"/>
      <c r="AK322" s="39"/>
      <c r="AL322" s="39"/>
      <c r="AM322" s="39"/>
      <c r="AN322" s="39"/>
      <c r="AO322" s="39"/>
      <c r="AP322" s="39"/>
      <c r="AQ322" s="39"/>
      <c r="AR322" s="39"/>
      <c r="AS322" s="39"/>
      <c r="AT322" s="39"/>
      <c r="AU322" s="39"/>
      <c r="AV322" s="39"/>
      <c r="AW322" s="39"/>
      <c r="AX322" s="39"/>
      <c r="AY322" s="39"/>
      <c r="AZ322" s="39"/>
      <c r="BA322" s="39"/>
      <c r="BB322" s="39"/>
      <c r="BC322" s="39"/>
      <c r="BD322" s="39"/>
      <c r="BE322" s="39"/>
      <c r="BG322" s="39"/>
      <c r="BH322" s="39"/>
      <c r="BI322" s="39"/>
      <c r="BJ322" s="39"/>
      <c r="BK322" s="39"/>
      <c r="BL322" s="39"/>
      <c r="BM322" s="39"/>
    </row>
    <row r="323" spans="6:65">
      <c r="F323" s="18" t="str">
        <f>iOptions!F143</f>
        <v>Upper Floors</v>
      </c>
      <c r="G323" s="17" t="str">
        <f t="shared" si="110"/>
        <v>£ 2022/23 per m2</v>
      </c>
      <c r="K323" s="9" cm="1">
        <f t="array" ref="K323">INDEX(iOptions!$M143:$O143,1,ActiveCostScenarioIndex)</f>
        <v>36.4</v>
      </c>
      <c r="AA323" s="39"/>
      <c r="AB323" s="39"/>
      <c r="AC323" s="39"/>
      <c r="AD323" s="39"/>
      <c r="AE323" s="39"/>
      <c r="AF323" s="39"/>
      <c r="AG323" s="39"/>
      <c r="AH323" s="39"/>
      <c r="AI323" s="39"/>
      <c r="AJ323" s="39"/>
      <c r="AK323" s="39"/>
      <c r="AL323" s="39"/>
      <c r="AM323" s="39"/>
      <c r="AN323" s="39"/>
      <c r="AO323" s="39"/>
      <c r="AP323" s="39"/>
      <c r="AQ323" s="39"/>
      <c r="AR323" s="39"/>
      <c r="AS323" s="39"/>
      <c r="AT323" s="39"/>
      <c r="AU323" s="39"/>
      <c r="AV323" s="39"/>
      <c r="AW323" s="39"/>
      <c r="AX323" s="39"/>
      <c r="AY323" s="39"/>
      <c r="AZ323" s="39"/>
      <c r="BA323" s="39"/>
      <c r="BB323" s="39"/>
      <c r="BC323" s="39"/>
      <c r="BD323" s="39"/>
      <c r="BE323" s="39"/>
      <c r="BG323" s="39"/>
      <c r="BH323" s="39"/>
      <c r="BI323" s="39"/>
      <c r="BJ323" s="39"/>
      <c r="BK323" s="39"/>
      <c r="BL323" s="39"/>
      <c r="BM323" s="39"/>
    </row>
    <row r="324" spans="6:65">
      <c r="F324" s="18" t="str">
        <f>iOptions!F144</f>
        <v>Roof</v>
      </c>
      <c r="G324" s="17" t="str">
        <f t="shared" si="110"/>
        <v>£ 2022/23 per m2</v>
      </c>
      <c r="K324" s="9" cm="1">
        <f t="array" ref="K324">INDEX(iOptions!$M144:$O144,1,ActiveCostScenarioIndex)</f>
        <v>149.5</v>
      </c>
      <c r="AA324" s="39"/>
      <c r="AB324" s="39"/>
      <c r="AC324" s="39"/>
      <c r="AD324" s="39"/>
      <c r="AE324" s="39"/>
      <c r="AF324" s="39"/>
      <c r="AG324" s="39"/>
      <c r="AH324" s="39"/>
      <c r="AI324" s="39"/>
      <c r="AJ324" s="39"/>
      <c r="AK324" s="39"/>
      <c r="AL324" s="39"/>
      <c r="AM324" s="39"/>
      <c r="AN324" s="39"/>
      <c r="AO324" s="39"/>
      <c r="AP324" s="39"/>
      <c r="AQ324" s="39"/>
      <c r="AR324" s="39"/>
      <c r="AS324" s="39"/>
      <c r="AT324" s="39"/>
      <c r="AU324" s="39"/>
      <c r="AV324" s="39"/>
      <c r="AW324" s="39"/>
      <c r="AX324" s="39"/>
      <c r="AY324" s="39"/>
      <c r="AZ324" s="39"/>
      <c r="BA324" s="39"/>
      <c r="BB324" s="39"/>
      <c r="BC324" s="39"/>
      <c r="BD324" s="39"/>
      <c r="BE324" s="39"/>
      <c r="BG324" s="39"/>
      <c r="BH324" s="39"/>
      <c r="BI324" s="39"/>
      <c r="BJ324" s="39"/>
      <c r="BK324" s="39"/>
      <c r="BL324" s="39"/>
      <c r="BM324" s="39"/>
    </row>
    <row r="325" spans="6:65">
      <c r="F325" s="18" t="str">
        <f>iOptions!F145</f>
        <v>Stairs</v>
      </c>
      <c r="G325" s="17" t="str">
        <f t="shared" si="110"/>
        <v>£ 2022/23 per m2</v>
      </c>
      <c r="K325" s="9" cm="1">
        <f t="array" ref="K325">INDEX(iOptions!$M145:$O145,1,ActiveCostScenarioIndex)</f>
        <v>15.600000000000001</v>
      </c>
      <c r="AA325" s="39"/>
      <c r="AB325" s="39"/>
      <c r="AC325" s="39"/>
      <c r="AD325" s="39"/>
      <c r="AE325" s="39"/>
      <c r="AF325" s="39"/>
      <c r="AG325" s="39"/>
      <c r="AH325" s="39"/>
      <c r="AI325" s="39"/>
      <c r="AJ325" s="39"/>
      <c r="AK325" s="39"/>
      <c r="AL325" s="39"/>
      <c r="AM325" s="39"/>
      <c r="AN325" s="39"/>
      <c r="AO325" s="39"/>
      <c r="AP325" s="39"/>
      <c r="AQ325" s="39"/>
      <c r="AR325" s="39"/>
      <c r="AS325" s="39"/>
      <c r="AT325" s="39"/>
      <c r="AU325" s="39"/>
      <c r="AV325" s="39"/>
      <c r="AW325" s="39"/>
      <c r="AX325" s="39"/>
      <c r="AY325" s="39"/>
      <c r="AZ325" s="39"/>
      <c r="BA325" s="39"/>
      <c r="BB325" s="39"/>
      <c r="BC325" s="39"/>
      <c r="BD325" s="39"/>
      <c r="BE325" s="39"/>
      <c r="BG325" s="39"/>
      <c r="BH325" s="39"/>
      <c r="BI325" s="39"/>
      <c r="BJ325" s="39"/>
      <c r="BK325" s="39"/>
      <c r="BL325" s="39"/>
      <c r="BM325" s="39"/>
    </row>
    <row r="326" spans="6:65">
      <c r="F326" s="18" t="str">
        <f>iOptions!F146</f>
        <v>Ext Walls, Windows &amp; Doors</v>
      </c>
      <c r="G326" s="17" t="str">
        <f t="shared" si="110"/>
        <v>£ 2022/23 per m2</v>
      </c>
      <c r="K326" s="9" cm="1">
        <f t="array" ref="K326">INDEX(iOptions!$M146:$O146,1,ActiveCostScenarioIndex)</f>
        <v>253.5</v>
      </c>
      <c r="AA326" s="39"/>
      <c r="AB326" s="39"/>
      <c r="AC326" s="39"/>
      <c r="AD326" s="39"/>
      <c r="AE326" s="39"/>
      <c r="AF326" s="39"/>
      <c r="AG326" s="39"/>
      <c r="AH326" s="39"/>
      <c r="AI326" s="39"/>
      <c r="AJ326" s="39"/>
      <c r="AK326" s="39"/>
      <c r="AL326" s="39"/>
      <c r="AM326" s="39"/>
      <c r="AN326" s="39"/>
      <c r="AO326" s="39"/>
      <c r="AP326" s="39"/>
      <c r="AQ326" s="39"/>
      <c r="AR326" s="39"/>
      <c r="AS326" s="39"/>
      <c r="AT326" s="39"/>
      <c r="AU326" s="39"/>
      <c r="AV326" s="39"/>
      <c r="AW326" s="39"/>
      <c r="AX326" s="39"/>
      <c r="AY326" s="39"/>
      <c r="AZ326" s="39"/>
      <c r="BA326" s="39"/>
      <c r="BB326" s="39"/>
      <c r="BC326" s="39"/>
      <c r="BD326" s="39"/>
      <c r="BE326" s="39"/>
      <c r="BG326" s="39"/>
      <c r="BH326" s="39"/>
      <c r="BI326" s="39"/>
      <c r="BJ326" s="39"/>
      <c r="BK326" s="39"/>
      <c r="BL326" s="39"/>
      <c r="BM326" s="39"/>
    </row>
    <row r="327" spans="6:65">
      <c r="F327" s="18" t="str">
        <f>iOptions!F147</f>
        <v>Int Walls &amp; Partitions</v>
      </c>
      <c r="G327" s="17" t="str">
        <f t="shared" si="110"/>
        <v>£ 2022/23 per m2</v>
      </c>
      <c r="K327" s="9" cm="1">
        <f t="array" ref="K327">INDEX(iOptions!$M147:$O147,1,ActiveCostScenarioIndex)</f>
        <v>123.5</v>
      </c>
      <c r="AA327" s="39"/>
      <c r="AB327" s="39"/>
      <c r="AC327" s="39"/>
      <c r="AD327" s="39"/>
      <c r="AE327" s="39"/>
      <c r="AF327" s="39"/>
      <c r="AG327" s="39"/>
      <c r="AH327" s="39"/>
      <c r="AI327" s="39"/>
      <c r="AJ327" s="39"/>
      <c r="AK327" s="39"/>
      <c r="AL327" s="39"/>
      <c r="AM327" s="39"/>
      <c r="AN327" s="39"/>
      <c r="AO327" s="39"/>
      <c r="AP327" s="39"/>
      <c r="AQ327" s="39"/>
      <c r="AR327" s="39"/>
      <c r="AS327" s="39"/>
      <c r="AT327" s="39"/>
      <c r="AU327" s="39"/>
      <c r="AV327" s="39"/>
      <c r="AW327" s="39"/>
      <c r="AX327" s="39"/>
      <c r="AY327" s="39"/>
      <c r="AZ327" s="39"/>
      <c r="BA327" s="39"/>
      <c r="BB327" s="39"/>
      <c r="BC327" s="39"/>
      <c r="BD327" s="39"/>
      <c r="BE327" s="39"/>
      <c r="BG327" s="39"/>
      <c r="BH327" s="39"/>
      <c r="BI327" s="39"/>
      <c r="BJ327" s="39"/>
      <c r="BK327" s="39"/>
      <c r="BL327" s="39"/>
      <c r="BM327" s="39"/>
    </row>
    <row r="328" spans="6:65">
      <c r="F328" s="18" t="str">
        <f>iOptions!F148</f>
        <v>Int Doors</v>
      </c>
      <c r="G328" s="17" t="str">
        <f t="shared" si="110"/>
        <v>£ 2022/23 per m2</v>
      </c>
      <c r="K328" s="9" cm="1">
        <f t="array" ref="K328">INDEX(iOptions!$M148:$O148,1,ActiveCostScenarioIndex)</f>
        <v>37.700000000000003</v>
      </c>
      <c r="AA328" s="39"/>
      <c r="AB328" s="39"/>
      <c r="AC328" s="39"/>
      <c r="AD328" s="39"/>
      <c r="AE328" s="39"/>
      <c r="AF328" s="39"/>
      <c r="AG328" s="39"/>
      <c r="AH328" s="39"/>
      <c r="AI328" s="39"/>
      <c r="AJ328" s="39"/>
      <c r="AK328" s="39"/>
      <c r="AL328" s="39"/>
      <c r="AM328" s="39"/>
      <c r="AN328" s="39"/>
      <c r="AO328" s="39"/>
      <c r="AP328" s="39"/>
      <c r="AQ328" s="39"/>
      <c r="AR328" s="39"/>
      <c r="AS328" s="39"/>
      <c r="AT328" s="39"/>
      <c r="AU328" s="39"/>
      <c r="AV328" s="39"/>
      <c r="AW328" s="39"/>
      <c r="AX328" s="39"/>
      <c r="AY328" s="39"/>
      <c r="AZ328" s="39"/>
      <c r="BA328" s="39"/>
      <c r="BB328" s="39"/>
      <c r="BC328" s="39"/>
      <c r="BD328" s="39"/>
      <c r="BE328" s="39"/>
      <c r="BG328" s="39"/>
      <c r="BH328" s="39"/>
      <c r="BI328" s="39"/>
      <c r="BJ328" s="39"/>
      <c r="BK328" s="39"/>
      <c r="BL328" s="39"/>
      <c r="BM328" s="39"/>
    </row>
    <row r="329" spans="6:65">
      <c r="F329" s="18" t="str">
        <f>iOptions!F149</f>
        <v>Wall Finishes</v>
      </c>
      <c r="G329" s="17" t="str">
        <f t="shared" si="110"/>
        <v>£ 2022/23 per m2</v>
      </c>
      <c r="K329" s="9" cm="1">
        <f t="array" ref="K329">INDEX(iOptions!$M149:$O149,1,ActiveCostScenarioIndex)</f>
        <v>40.300000000000004</v>
      </c>
      <c r="AA329" s="39"/>
      <c r="AB329" s="39"/>
      <c r="AC329" s="39"/>
      <c r="AD329" s="39"/>
      <c r="AE329" s="39"/>
      <c r="AF329" s="39"/>
      <c r="AG329" s="39"/>
      <c r="AH329" s="39"/>
      <c r="AI329" s="39"/>
      <c r="AJ329" s="39"/>
      <c r="AK329" s="39"/>
      <c r="AL329" s="39"/>
      <c r="AM329" s="39"/>
      <c r="AN329" s="39"/>
      <c r="AO329" s="39"/>
      <c r="AP329" s="39"/>
      <c r="AQ329" s="39"/>
      <c r="AR329" s="39"/>
      <c r="AS329" s="39"/>
      <c r="AT329" s="39"/>
      <c r="AU329" s="39"/>
      <c r="AV329" s="39"/>
      <c r="AW329" s="39"/>
      <c r="AX329" s="39"/>
      <c r="AY329" s="39"/>
      <c r="AZ329" s="39"/>
      <c r="BA329" s="39"/>
      <c r="BB329" s="39"/>
      <c r="BC329" s="39"/>
      <c r="BD329" s="39"/>
      <c r="BE329" s="39"/>
      <c r="BG329" s="39"/>
      <c r="BH329" s="39"/>
      <c r="BI329" s="39"/>
      <c r="BJ329" s="39"/>
      <c r="BK329" s="39"/>
      <c r="BL329" s="39"/>
      <c r="BM329" s="39"/>
    </row>
    <row r="330" spans="6:65">
      <c r="F330" s="18" t="str">
        <f>iOptions!F150</f>
        <v>Floor Finishes</v>
      </c>
      <c r="G330" s="17" t="str">
        <f t="shared" si="110"/>
        <v>£ 2022/23 per m2</v>
      </c>
      <c r="K330" s="9" cm="1">
        <f t="array" ref="K330">INDEX(iOptions!$M150:$O150,1,ActiveCostScenarioIndex)</f>
        <v>184.6</v>
      </c>
      <c r="AA330" s="39"/>
      <c r="AB330" s="39"/>
      <c r="AC330" s="39"/>
      <c r="AD330" s="39"/>
      <c r="AE330" s="39"/>
      <c r="AF330" s="39"/>
      <c r="AG330" s="39"/>
      <c r="AH330" s="39"/>
      <c r="AI330" s="39"/>
      <c r="AJ330" s="39"/>
      <c r="AK330" s="39"/>
      <c r="AL330" s="39"/>
      <c r="AM330" s="39"/>
      <c r="AN330" s="39"/>
      <c r="AO330" s="39"/>
      <c r="AP330" s="39"/>
      <c r="AQ330" s="39"/>
      <c r="AR330" s="39"/>
      <c r="AS330" s="39"/>
      <c r="AT330" s="39"/>
      <c r="AU330" s="39"/>
      <c r="AV330" s="39"/>
      <c r="AW330" s="39"/>
      <c r="AX330" s="39"/>
      <c r="AY330" s="39"/>
      <c r="AZ330" s="39"/>
      <c r="BA330" s="39"/>
      <c r="BB330" s="39"/>
      <c r="BC330" s="39"/>
      <c r="BD330" s="39"/>
      <c r="BE330" s="39"/>
      <c r="BG330" s="39"/>
      <c r="BH330" s="39"/>
      <c r="BI330" s="39"/>
      <c r="BJ330" s="39"/>
      <c r="BK330" s="39"/>
      <c r="BL330" s="39"/>
      <c r="BM330" s="39"/>
    </row>
    <row r="331" spans="6:65">
      <c r="F331" s="18" t="str">
        <f>iOptions!F151</f>
        <v>Ceiling Finishes</v>
      </c>
      <c r="G331" s="17" t="str">
        <f t="shared" si="110"/>
        <v>£ 2022/23 per m2</v>
      </c>
      <c r="K331" s="9" cm="1">
        <f t="array" ref="K331">INDEX(iOptions!$M151:$O151,1,ActiveCostScenarioIndex)</f>
        <v>35.1</v>
      </c>
      <c r="AA331" s="39"/>
      <c r="AB331" s="39"/>
      <c r="AC331" s="39"/>
      <c r="AD331" s="39"/>
      <c r="AE331" s="39"/>
      <c r="AF331" s="39"/>
      <c r="AG331" s="39"/>
      <c r="AH331" s="39"/>
      <c r="AI331" s="39"/>
      <c r="AJ331" s="39"/>
      <c r="AK331" s="39"/>
      <c r="AL331" s="39"/>
      <c r="AM331" s="39"/>
      <c r="AN331" s="39"/>
      <c r="AO331" s="39"/>
      <c r="AP331" s="39"/>
      <c r="AQ331" s="39"/>
      <c r="AR331" s="39"/>
      <c r="AS331" s="39"/>
      <c r="AT331" s="39"/>
      <c r="AU331" s="39"/>
      <c r="AV331" s="39"/>
      <c r="AW331" s="39"/>
      <c r="AX331" s="39"/>
      <c r="AY331" s="39"/>
      <c r="AZ331" s="39"/>
      <c r="BA331" s="39"/>
      <c r="BB331" s="39"/>
      <c r="BC331" s="39"/>
      <c r="BD331" s="39"/>
      <c r="BE331" s="39"/>
      <c r="BG331" s="39"/>
      <c r="BH331" s="39"/>
      <c r="BI331" s="39"/>
      <c r="BJ331" s="39"/>
      <c r="BK331" s="39"/>
      <c r="BL331" s="39"/>
      <c r="BM331" s="39"/>
    </row>
    <row r="332" spans="6:65">
      <c r="F332" s="18" t="str">
        <f>iOptions!F152</f>
        <v>Furniture &amp; Fittings</v>
      </c>
      <c r="G332" s="17" t="str">
        <f t="shared" si="110"/>
        <v>£ 2022/23 per m2</v>
      </c>
      <c r="K332" s="9" cm="1">
        <f t="array" ref="K332">INDEX(iOptions!$M152:$O152,1,ActiveCostScenarioIndex)</f>
        <v>89.7</v>
      </c>
      <c r="AA332" s="39"/>
      <c r="AB332" s="39"/>
      <c r="AC332" s="39"/>
      <c r="AD332" s="39"/>
      <c r="AE332" s="39"/>
      <c r="AF332" s="39"/>
      <c r="AG332" s="39"/>
      <c r="AH332" s="39"/>
      <c r="AI332" s="39"/>
      <c r="AJ332" s="39"/>
      <c r="AK332" s="39"/>
      <c r="AL332" s="39"/>
      <c r="AM332" s="39"/>
      <c r="AN332" s="39"/>
      <c r="AO332" s="39"/>
      <c r="AP332" s="39"/>
      <c r="AQ332" s="39"/>
      <c r="AR332" s="39"/>
      <c r="AS332" s="39"/>
      <c r="AT332" s="39"/>
      <c r="AU332" s="39"/>
      <c r="AV332" s="39"/>
      <c r="AW332" s="39"/>
      <c r="AX332" s="39"/>
      <c r="AY332" s="39"/>
      <c r="AZ332" s="39"/>
      <c r="BA332" s="39"/>
      <c r="BB332" s="39"/>
      <c r="BC332" s="39"/>
      <c r="BD332" s="39"/>
      <c r="BE332" s="39"/>
      <c r="BG332" s="39"/>
      <c r="BH332" s="39"/>
      <c r="BI332" s="39"/>
      <c r="BJ332" s="39"/>
      <c r="BK332" s="39"/>
      <c r="BL332" s="39"/>
      <c r="BM332" s="39"/>
    </row>
    <row r="333" spans="6:65">
      <c r="F333" s="18" t="str">
        <f>iOptions!F153</f>
        <v>Sanitary Fittings</v>
      </c>
      <c r="G333" s="17" t="str">
        <f t="shared" si="110"/>
        <v>£ 2022/23 per m2</v>
      </c>
      <c r="K333" s="9" cm="1">
        <f t="array" ref="K333">INDEX(iOptions!$M153:$O153,1,ActiveCostScenarioIndex)</f>
        <v>13</v>
      </c>
      <c r="AA333" s="39"/>
      <c r="AB333" s="39"/>
      <c r="AC333" s="39"/>
      <c r="AD333" s="39"/>
      <c r="AE333" s="39"/>
      <c r="AF333" s="39"/>
      <c r="AG333" s="39"/>
      <c r="AH333" s="39"/>
      <c r="AI333" s="39"/>
      <c r="AJ333" s="39"/>
      <c r="AK333" s="39"/>
      <c r="AL333" s="39"/>
      <c r="AM333" s="39"/>
      <c r="AN333" s="39"/>
      <c r="AO333" s="39"/>
      <c r="AP333" s="39"/>
      <c r="AQ333" s="39"/>
      <c r="AR333" s="39"/>
      <c r="AS333" s="39"/>
      <c r="AT333" s="39"/>
      <c r="AU333" s="39"/>
      <c r="AV333" s="39"/>
      <c r="AW333" s="39"/>
      <c r="AX333" s="39"/>
      <c r="AY333" s="39"/>
      <c r="AZ333" s="39"/>
      <c r="BA333" s="39"/>
      <c r="BB333" s="39"/>
      <c r="BC333" s="39"/>
      <c r="BD333" s="39"/>
      <c r="BE333" s="39"/>
      <c r="BG333" s="39"/>
      <c r="BH333" s="39"/>
      <c r="BI333" s="39"/>
      <c r="BJ333" s="39"/>
      <c r="BK333" s="39"/>
      <c r="BL333" s="39"/>
      <c r="BM333" s="39"/>
    </row>
    <row r="334" spans="6:65">
      <c r="F334" s="18" t="str">
        <f>iOptions!F154</f>
        <v>Services Equipment</v>
      </c>
      <c r="G334" s="17" t="str">
        <f t="shared" si="110"/>
        <v>£ 2022/23 per m2</v>
      </c>
      <c r="K334" s="9" cm="1">
        <f t="array" ref="K334">INDEX(iOptions!$M154:$O154,1,ActiveCostScenarioIndex)</f>
        <v>105.3</v>
      </c>
      <c r="AA334" s="39"/>
      <c r="AB334" s="39"/>
      <c r="AC334" s="39"/>
      <c r="AD334" s="39"/>
      <c r="AE334" s="39"/>
      <c r="AF334" s="39"/>
      <c r="AG334" s="39"/>
      <c r="AH334" s="39"/>
      <c r="AI334" s="39"/>
      <c r="AJ334" s="39"/>
      <c r="AK334" s="39"/>
      <c r="AL334" s="39"/>
      <c r="AM334" s="39"/>
      <c r="AN334" s="39"/>
      <c r="AO334" s="39"/>
      <c r="AP334" s="39"/>
      <c r="AQ334" s="39"/>
      <c r="AR334" s="39"/>
      <c r="AS334" s="39"/>
      <c r="AT334" s="39"/>
      <c r="AU334" s="39"/>
      <c r="AV334" s="39"/>
      <c r="AW334" s="39"/>
      <c r="AX334" s="39"/>
      <c r="AY334" s="39"/>
      <c r="AZ334" s="39"/>
      <c r="BA334" s="39"/>
      <c r="BB334" s="39"/>
      <c r="BC334" s="39"/>
      <c r="BD334" s="39"/>
      <c r="BE334" s="39"/>
      <c r="BG334" s="39"/>
      <c r="BH334" s="39"/>
      <c r="BI334" s="39"/>
      <c r="BJ334" s="39"/>
      <c r="BK334" s="39"/>
      <c r="BL334" s="39"/>
      <c r="BM334" s="39"/>
    </row>
    <row r="335" spans="6:65">
      <c r="F335" s="18" t="str">
        <f>iOptions!F155</f>
        <v>Disposal Installations</v>
      </c>
      <c r="G335" s="17" t="str">
        <f t="shared" si="110"/>
        <v>£ 2022/23 per m2</v>
      </c>
      <c r="K335" s="9" cm="1">
        <f t="array" ref="K335">INDEX(iOptions!$M155:$O155,1,ActiveCostScenarioIndex)</f>
        <v>20.8</v>
      </c>
      <c r="AA335" s="39"/>
      <c r="AB335" s="39"/>
      <c r="AC335" s="39"/>
      <c r="AD335" s="39"/>
      <c r="AE335" s="39"/>
      <c r="AF335" s="39"/>
      <c r="AG335" s="39"/>
      <c r="AH335" s="39"/>
      <c r="AI335" s="39"/>
      <c r="AJ335" s="39"/>
      <c r="AK335" s="39"/>
      <c r="AL335" s="39"/>
      <c r="AM335" s="39"/>
      <c r="AN335" s="39"/>
      <c r="AO335" s="39"/>
      <c r="AP335" s="39"/>
      <c r="AQ335" s="39"/>
      <c r="AR335" s="39"/>
      <c r="AS335" s="39"/>
      <c r="AT335" s="39"/>
      <c r="AU335" s="39"/>
      <c r="AV335" s="39"/>
      <c r="AW335" s="39"/>
      <c r="AX335" s="39"/>
      <c r="AY335" s="39"/>
      <c r="AZ335" s="39"/>
      <c r="BA335" s="39"/>
      <c r="BB335" s="39"/>
      <c r="BC335" s="39"/>
      <c r="BD335" s="39"/>
      <c r="BE335" s="39"/>
      <c r="BG335" s="39"/>
      <c r="BH335" s="39"/>
      <c r="BI335" s="39"/>
      <c r="BJ335" s="39"/>
      <c r="BK335" s="39"/>
      <c r="BL335" s="39"/>
      <c r="BM335" s="39"/>
    </row>
    <row r="336" spans="6:65">
      <c r="F336" s="18" t="str">
        <f>iOptions!F156</f>
        <v>Water Installations</v>
      </c>
      <c r="G336" s="17" t="str">
        <f t="shared" si="110"/>
        <v>£ 2022/23 per m2</v>
      </c>
      <c r="K336" s="9" cm="1">
        <f t="array" ref="K336">INDEX(iOptions!$M156:$O156,1,ActiveCostScenarioIndex)</f>
        <v>16.900000000000002</v>
      </c>
      <c r="AA336" s="39"/>
      <c r="AB336" s="39"/>
      <c r="AC336" s="39"/>
      <c r="AD336" s="39"/>
      <c r="AE336" s="39"/>
      <c r="AF336" s="39"/>
      <c r="AG336" s="39"/>
      <c r="AH336" s="39"/>
      <c r="AI336" s="39"/>
      <c r="AJ336" s="39"/>
      <c r="AK336" s="39"/>
      <c r="AL336" s="39"/>
      <c r="AM336" s="39"/>
      <c r="AN336" s="39"/>
      <c r="AO336" s="39"/>
      <c r="AP336" s="39"/>
      <c r="AQ336" s="39"/>
      <c r="AR336" s="39"/>
      <c r="AS336" s="39"/>
      <c r="AT336" s="39"/>
      <c r="AU336" s="39"/>
      <c r="AV336" s="39"/>
      <c r="AW336" s="39"/>
      <c r="AX336" s="39"/>
      <c r="AY336" s="39"/>
      <c r="AZ336" s="39"/>
      <c r="BA336" s="39"/>
      <c r="BB336" s="39"/>
      <c r="BC336" s="39"/>
      <c r="BD336" s="39"/>
      <c r="BE336" s="39"/>
      <c r="BG336" s="39"/>
      <c r="BH336" s="39"/>
      <c r="BI336" s="39"/>
      <c r="BJ336" s="39"/>
      <c r="BK336" s="39"/>
      <c r="BL336" s="39"/>
      <c r="BM336" s="39"/>
    </row>
    <row r="337" spans="6:65">
      <c r="F337" s="18" t="str">
        <f>iOptions!F157</f>
        <v>Space Heating &amp; Air Treatment</v>
      </c>
      <c r="G337" s="17" t="str">
        <f t="shared" si="110"/>
        <v>£ 2022/23 per m2</v>
      </c>
      <c r="K337" s="9" cm="1">
        <f t="array" ref="K337">INDEX(iOptions!$M157:$O157,1,ActiveCostScenarioIndex)</f>
        <v>579.80000000000007</v>
      </c>
      <c r="AA337" s="39"/>
      <c r="AB337" s="39"/>
      <c r="AC337" s="39"/>
      <c r="AD337" s="39"/>
      <c r="AE337" s="39"/>
      <c r="AF337" s="39"/>
      <c r="AG337" s="39"/>
      <c r="AH337" s="39"/>
      <c r="AI337" s="39"/>
      <c r="AJ337" s="39"/>
      <c r="AK337" s="39"/>
      <c r="AL337" s="39"/>
      <c r="AM337" s="39"/>
      <c r="AN337" s="39"/>
      <c r="AO337" s="39"/>
      <c r="AP337" s="39"/>
      <c r="AQ337" s="39"/>
      <c r="AR337" s="39"/>
      <c r="AS337" s="39"/>
      <c r="AT337" s="39"/>
      <c r="AU337" s="39"/>
      <c r="AV337" s="39"/>
      <c r="AW337" s="39"/>
      <c r="AX337" s="39"/>
      <c r="AY337" s="39"/>
      <c r="AZ337" s="39"/>
      <c r="BA337" s="39"/>
      <c r="BB337" s="39"/>
      <c r="BC337" s="39"/>
      <c r="BD337" s="39"/>
      <c r="BE337" s="39"/>
      <c r="BG337" s="39"/>
      <c r="BH337" s="39"/>
      <c r="BI337" s="39"/>
      <c r="BJ337" s="39"/>
      <c r="BK337" s="39"/>
      <c r="BL337" s="39"/>
      <c r="BM337" s="39"/>
    </row>
    <row r="338" spans="6:65">
      <c r="F338" s="18" t="str">
        <f>iOptions!F158</f>
        <v>Electrical Installations</v>
      </c>
      <c r="G338" s="17" t="str">
        <f t="shared" si="110"/>
        <v>£ 2022/23 per m2</v>
      </c>
      <c r="K338" s="9" cm="1">
        <f t="array" ref="K338">INDEX(iOptions!$M158:$O158,1,ActiveCostScenarioIndex)</f>
        <v>214.5</v>
      </c>
      <c r="AA338" s="39"/>
      <c r="AB338" s="39"/>
      <c r="AC338" s="39"/>
      <c r="AD338" s="39"/>
      <c r="AE338" s="39"/>
      <c r="AF338" s="39"/>
      <c r="AG338" s="39"/>
      <c r="AH338" s="39"/>
      <c r="AI338" s="39"/>
      <c r="AJ338" s="39"/>
      <c r="AK338" s="39"/>
      <c r="AL338" s="39"/>
      <c r="AM338" s="39"/>
      <c r="AN338" s="39"/>
      <c r="AO338" s="39"/>
      <c r="AP338" s="39"/>
      <c r="AQ338" s="39"/>
      <c r="AR338" s="39"/>
      <c r="AS338" s="39"/>
      <c r="AT338" s="39"/>
      <c r="AU338" s="39"/>
      <c r="AV338" s="39"/>
      <c r="AW338" s="39"/>
      <c r="AX338" s="39"/>
      <c r="AY338" s="39"/>
      <c r="AZ338" s="39"/>
      <c r="BA338" s="39"/>
      <c r="BB338" s="39"/>
      <c r="BC338" s="39"/>
      <c r="BD338" s="39"/>
      <c r="BE338" s="39"/>
      <c r="BG338" s="39"/>
      <c r="BH338" s="39"/>
      <c r="BI338" s="39"/>
      <c r="BJ338" s="39"/>
      <c r="BK338" s="39"/>
      <c r="BL338" s="39"/>
      <c r="BM338" s="39"/>
    </row>
    <row r="339" spans="6:65">
      <c r="F339" s="18" t="str">
        <f>iOptions!F159</f>
        <v>Lift Installations</v>
      </c>
      <c r="G339" s="17" t="str">
        <f t="shared" si="110"/>
        <v>£ 2022/23 per m2</v>
      </c>
      <c r="K339" s="9" cm="1">
        <f t="array" ref="K339">INDEX(iOptions!$M159:$O159,1,ActiveCostScenarioIndex)</f>
        <v>14.3</v>
      </c>
      <c r="AA339" s="39"/>
      <c r="AB339" s="39"/>
      <c r="AC339" s="39"/>
      <c r="AD339" s="39"/>
      <c r="AE339" s="39"/>
      <c r="AF339" s="39"/>
      <c r="AG339" s="39"/>
      <c r="AH339" s="39"/>
      <c r="AI339" s="39"/>
      <c r="AJ339" s="39"/>
      <c r="AK339" s="39"/>
      <c r="AL339" s="39"/>
      <c r="AM339" s="39"/>
      <c r="AN339" s="39"/>
      <c r="AO339" s="39"/>
      <c r="AP339" s="39"/>
      <c r="AQ339" s="39"/>
      <c r="AR339" s="39"/>
      <c r="AS339" s="39"/>
      <c r="AT339" s="39"/>
      <c r="AU339" s="39"/>
      <c r="AV339" s="39"/>
      <c r="AW339" s="39"/>
      <c r="AX339" s="39"/>
      <c r="AY339" s="39"/>
      <c r="AZ339" s="39"/>
      <c r="BA339" s="39"/>
      <c r="BB339" s="39"/>
      <c r="BC339" s="39"/>
      <c r="BD339" s="39"/>
      <c r="BE339" s="39"/>
      <c r="BG339" s="39"/>
      <c r="BH339" s="39"/>
      <c r="BI339" s="39"/>
      <c r="BJ339" s="39"/>
      <c r="BK339" s="39"/>
      <c r="BL339" s="39"/>
      <c r="BM339" s="39"/>
    </row>
    <row r="340" spans="6:65">
      <c r="F340" s="18" t="str">
        <f>iOptions!F160</f>
        <v>Protective Installations</v>
      </c>
      <c r="G340" s="17" t="str">
        <f t="shared" si="110"/>
        <v>£ 2022/23 per m2</v>
      </c>
      <c r="K340" s="9" cm="1">
        <f t="array" ref="K340">INDEX(iOptions!$M160:$O160,1,ActiveCostScenarioIndex)</f>
        <v>18.2</v>
      </c>
      <c r="AA340" s="39"/>
      <c r="AB340" s="39"/>
      <c r="AC340" s="39"/>
      <c r="AD340" s="39"/>
      <c r="AE340" s="39"/>
      <c r="AF340" s="39"/>
      <c r="AG340" s="39"/>
      <c r="AH340" s="39"/>
      <c r="AI340" s="39"/>
      <c r="AJ340" s="39"/>
      <c r="AK340" s="39"/>
      <c r="AL340" s="39"/>
      <c r="AM340" s="39"/>
      <c r="AN340" s="39"/>
      <c r="AO340" s="39"/>
      <c r="AP340" s="39"/>
      <c r="AQ340" s="39"/>
      <c r="AR340" s="39"/>
      <c r="AS340" s="39"/>
      <c r="AT340" s="39"/>
      <c r="AU340" s="39"/>
      <c r="AV340" s="39"/>
      <c r="AW340" s="39"/>
      <c r="AX340" s="39"/>
      <c r="AY340" s="39"/>
      <c r="AZ340" s="39"/>
      <c r="BA340" s="39"/>
      <c r="BB340" s="39"/>
      <c r="BC340" s="39"/>
      <c r="BD340" s="39"/>
      <c r="BE340" s="39"/>
      <c r="BG340" s="39"/>
      <c r="BH340" s="39"/>
      <c r="BI340" s="39"/>
      <c r="BJ340" s="39"/>
      <c r="BK340" s="39"/>
      <c r="BL340" s="39"/>
      <c r="BM340" s="39"/>
    </row>
    <row r="341" spans="6:65">
      <c r="F341" s="18" t="str">
        <f>iOptions!F161</f>
        <v>Communications Installations</v>
      </c>
      <c r="G341" s="17" t="str">
        <f t="shared" si="110"/>
        <v>£ 2022/23 per m2</v>
      </c>
      <c r="K341" s="9" cm="1">
        <f t="array" ref="K341">INDEX(iOptions!$M161:$O161,1,ActiveCostScenarioIndex)</f>
        <v>308.10000000000002</v>
      </c>
      <c r="AA341" s="39"/>
      <c r="AB341" s="39"/>
      <c r="AC341" s="39"/>
      <c r="AD341" s="39"/>
      <c r="AE341" s="39"/>
      <c r="AF341" s="39"/>
      <c r="AG341" s="39"/>
      <c r="AH341" s="39"/>
      <c r="AI341" s="39"/>
      <c r="AJ341" s="39"/>
      <c r="AK341" s="39"/>
      <c r="AL341" s="39"/>
      <c r="AM341" s="39"/>
      <c r="AN341" s="39"/>
      <c r="AO341" s="39"/>
      <c r="AP341" s="39"/>
      <c r="AQ341" s="39"/>
      <c r="AR341" s="39"/>
      <c r="AS341" s="39"/>
      <c r="AT341" s="39"/>
      <c r="AU341" s="39"/>
      <c r="AV341" s="39"/>
      <c r="AW341" s="39"/>
      <c r="AX341" s="39"/>
      <c r="AY341" s="39"/>
      <c r="AZ341" s="39"/>
      <c r="BA341" s="39"/>
      <c r="BB341" s="39"/>
      <c r="BC341" s="39"/>
      <c r="BD341" s="39"/>
      <c r="BE341" s="39"/>
      <c r="BG341" s="39"/>
      <c r="BH341" s="39"/>
      <c r="BI341" s="39"/>
      <c r="BJ341" s="39"/>
      <c r="BK341" s="39"/>
      <c r="BL341" s="39"/>
      <c r="BM341" s="39"/>
    </row>
    <row r="342" spans="6:65">
      <c r="F342" s="18" t="str">
        <f>iOptions!F162</f>
        <v>Special Installations</v>
      </c>
      <c r="G342" s="17" t="str">
        <f t="shared" si="110"/>
        <v>£ 2022/23 per m2</v>
      </c>
      <c r="K342" s="9" cm="1">
        <f t="array" ref="K342">INDEX(iOptions!$M162:$O162,1,ActiveCostScenarioIndex)</f>
        <v>83.2</v>
      </c>
      <c r="AA342" s="39"/>
      <c r="AB342" s="39"/>
      <c r="AC342" s="39"/>
      <c r="AD342" s="39"/>
      <c r="AE342" s="39"/>
      <c r="AF342" s="39"/>
      <c r="AG342" s="39"/>
      <c r="AH342" s="39"/>
      <c r="AI342" s="39"/>
      <c r="AJ342" s="39"/>
      <c r="AK342" s="39"/>
      <c r="AL342" s="39"/>
      <c r="AM342" s="39"/>
      <c r="AN342" s="39"/>
      <c r="AO342" s="39"/>
      <c r="AP342" s="39"/>
      <c r="AQ342" s="39"/>
      <c r="AR342" s="39"/>
      <c r="AS342" s="39"/>
      <c r="AT342" s="39"/>
      <c r="AU342" s="39"/>
      <c r="AV342" s="39"/>
      <c r="AW342" s="39"/>
      <c r="AX342" s="39"/>
      <c r="AY342" s="39"/>
      <c r="AZ342" s="39"/>
      <c r="BA342" s="39"/>
      <c r="BB342" s="39"/>
      <c r="BC342" s="39"/>
      <c r="BD342" s="39"/>
      <c r="BE342" s="39"/>
      <c r="BG342" s="39"/>
      <c r="BH342" s="39"/>
      <c r="BI342" s="39"/>
      <c r="BJ342" s="39"/>
      <c r="BK342" s="39"/>
      <c r="BL342" s="39"/>
      <c r="BM342" s="39"/>
    </row>
    <row r="343" spans="6:65">
      <c r="F343" s="18" t="str">
        <f>iOptions!F163</f>
        <v>Builders Work in Connection</v>
      </c>
      <c r="G343" s="17" t="str">
        <f t="shared" si="110"/>
        <v>£ 2022/23 per m2</v>
      </c>
      <c r="K343" s="9" cm="1">
        <f t="array" ref="K343">INDEX(iOptions!$M163:$O163,1,ActiveCostScenarioIndex)</f>
        <v>41.6</v>
      </c>
      <c r="AA343" s="39"/>
      <c r="AB343" s="39"/>
      <c r="AC343" s="39"/>
      <c r="AD343" s="39"/>
      <c r="AE343" s="39"/>
      <c r="AF343" s="39"/>
      <c r="AG343" s="39"/>
      <c r="AH343" s="39"/>
      <c r="AI343" s="39"/>
      <c r="AJ343" s="39"/>
      <c r="AK343" s="39"/>
      <c r="AL343" s="39"/>
      <c r="AM343" s="39"/>
      <c r="AN343" s="39"/>
      <c r="AO343" s="39"/>
      <c r="AP343" s="39"/>
      <c r="AQ343" s="39"/>
      <c r="AR343" s="39"/>
      <c r="AS343" s="39"/>
      <c r="AT343" s="39"/>
      <c r="AU343" s="39"/>
      <c r="AV343" s="39"/>
      <c r="AW343" s="39"/>
      <c r="AX343" s="39"/>
      <c r="AY343" s="39"/>
      <c r="AZ343" s="39"/>
      <c r="BA343" s="39"/>
      <c r="BB343" s="39"/>
      <c r="BC343" s="39"/>
      <c r="BD343" s="39"/>
      <c r="BE343" s="39"/>
      <c r="BG343" s="39"/>
      <c r="BH343" s="39"/>
      <c r="BI343" s="39"/>
      <c r="BJ343" s="39"/>
      <c r="BK343" s="39"/>
      <c r="BL343" s="39"/>
      <c r="BM343" s="39"/>
    </row>
    <row r="344" spans="6:65">
      <c r="F344" s="18" t="str">
        <f>iOptions!F164</f>
        <v>Preliminaries &amp; Contingencies</v>
      </c>
      <c r="G344" s="17" t="str">
        <f t="shared" si="110"/>
        <v>£ 2022/23 per m2</v>
      </c>
      <c r="K344" s="9" cm="1">
        <f t="array" ref="K344">INDEX(iOptions!$M164:$O164,1,ActiveCostScenarioIndex)</f>
        <v>404.3</v>
      </c>
      <c r="AA344" s="39"/>
      <c r="AB344" s="39"/>
      <c r="AC344" s="39"/>
      <c r="AD344" s="39"/>
      <c r="AE344" s="39"/>
      <c r="AF344" s="39"/>
      <c r="AG344" s="39"/>
      <c r="AH344" s="39"/>
      <c r="AI344" s="39"/>
      <c r="AJ344" s="39"/>
      <c r="AK344" s="39"/>
      <c r="AL344" s="39"/>
      <c r="AM344" s="39"/>
      <c r="AN344" s="39"/>
      <c r="AO344" s="39"/>
      <c r="AP344" s="39"/>
      <c r="AQ344" s="39"/>
      <c r="AR344" s="39"/>
      <c r="AS344" s="39"/>
      <c r="AT344" s="39"/>
      <c r="AU344" s="39"/>
      <c r="AV344" s="39"/>
      <c r="AW344" s="39"/>
      <c r="AX344" s="39"/>
      <c r="AY344" s="39"/>
      <c r="AZ344" s="39"/>
      <c r="BA344" s="39"/>
      <c r="BB344" s="39"/>
      <c r="BC344" s="39"/>
      <c r="BD344" s="39"/>
      <c r="BE344" s="39"/>
      <c r="BG344" s="39"/>
      <c r="BH344" s="39"/>
      <c r="BI344" s="39"/>
      <c r="BJ344" s="39"/>
      <c r="BK344" s="39"/>
      <c r="BL344" s="39"/>
      <c r="BM344" s="39"/>
    </row>
    <row r="345" spans="6:65">
      <c r="F345" s="18" t="str">
        <f>iOptions!F165</f>
        <v>Spare</v>
      </c>
      <c r="G345" s="17" t="str">
        <f t="shared" si="110"/>
        <v>£ 2022/23 per m2</v>
      </c>
      <c r="K345" s="9" cm="1">
        <f t="array" ref="K345">INDEX(iOptions!$M165:$O165,1,ActiveCostScenarioIndex)</f>
        <v>0</v>
      </c>
      <c r="AA345" s="39"/>
      <c r="AB345" s="39"/>
      <c r="AC345" s="39"/>
      <c r="AD345" s="39"/>
      <c r="AE345" s="39"/>
      <c r="AF345" s="39"/>
      <c r="AG345" s="39"/>
      <c r="AH345" s="39"/>
      <c r="AI345" s="39"/>
      <c r="AJ345" s="39"/>
      <c r="AK345" s="39"/>
      <c r="AL345" s="39"/>
      <c r="AM345" s="39"/>
      <c r="AN345" s="39"/>
      <c r="AO345" s="39"/>
      <c r="AP345" s="39"/>
      <c r="AQ345" s="39"/>
      <c r="AR345" s="39"/>
      <c r="AS345" s="39"/>
      <c r="AT345" s="39"/>
      <c r="AU345" s="39"/>
      <c r="AV345" s="39"/>
      <c r="AW345" s="39"/>
      <c r="AX345" s="39"/>
      <c r="AY345" s="39"/>
      <c r="AZ345" s="39"/>
      <c r="BA345" s="39"/>
      <c r="BB345" s="39"/>
      <c r="BC345" s="39"/>
      <c r="BD345" s="39"/>
      <c r="BE345" s="39"/>
      <c r="BG345" s="39"/>
      <c r="BH345" s="39"/>
      <c r="BI345" s="39"/>
      <c r="BJ345" s="39"/>
      <c r="BK345" s="39"/>
      <c r="BL345" s="39"/>
      <c r="BM345" s="39"/>
    </row>
    <row r="347" spans="6:65">
      <c r="F347" s="18" t="s">
        <v>123</v>
      </c>
      <c r="G347" s="17" t="str">
        <f>cstArea</f>
        <v>m2</v>
      </c>
      <c r="AA347" s="9">
        <f>cVolumetrics!AA99</f>
        <v>858.13807531380758</v>
      </c>
      <c r="AB347" s="9">
        <f>cVolumetrics!AB99</f>
        <v>858.13807531380758</v>
      </c>
      <c r="AC347" s="9">
        <f>cVolumetrics!AC99</f>
        <v>858.13807531380758</v>
      </c>
      <c r="AD347" s="9">
        <f>cVolumetrics!AD99</f>
        <v>858.13807531380758</v>
      </c>
      <c r="AE347" s="9">
        <f>cVolumetrics!AE99</f>
        <v>858.13807531380758</v>
      </c>
      <c r="AF347" s="9">
        <f>cVolumetrics!AF99</f>
        <v>858.13807531380758</v>
      </c>
      <c r="AG347" s="9">
        <f>cVolumetrics!AG99</f>
        <v>858.13807531380758</v>
      </c>
      <c r="AH347" s="9">
        <f>cVolumetrics!AH99</f>
        <v>858.13807531380758</v>
      </c>
      <c r="AI347" s="9">
        <f>cVolumetrics!AI99</f>
        <v>858.13807531380758</v>
      </c>
      <c r="AJ347" s="9">
        <f>cVolumetrics!AJ99</f>
        <v>858.13807531380758</v>
      </c>
      <c r="AK347" s="9">
        <f>cVolumetrics!AK99</f>
        <v>858.13807531380758</v>
      </c>
      <c r="AL347" s="9">
        <f>cVolumetrics!AL99</f>
        <v>858.13807531380758</v>
      </c>
      <c r="AM347" s="9">
        <f>cVolumetrics!AM99</f>
        <v>858.13807531380758</v>
      </c>
      <c r="AN347" s="9">
        <f>cVolumetrics!AN99</f>
        <v>858.13807531380758</v>
      </c>
      <c r="AO347" s="9">
        <f>cVolumetrics!AO99</f>
        <v>858.13807531380758</v>
      </c>
      <c r="AP347" s="9">
        <f>cVolumetrics!AP99</f>
        <v>858.13807531380758</v>
      </c>
      <c r="AQ347" s="9">
        <f>cVolumetrics!AQ99</f>
        <v>858.13807531380758</v>
      </c>
      <c r="AR347" s="9">
        <f>cVolumetrics!AR99</f>
        <v>858.13807531380758</v>
      </c>
      <c r="AS347" s="9">
        <f>cVolumetrics!AS99</f>
        <v>858.13807531380758</v>
      </c>
      <c r="AT347" s="9">
        <f>cVolumetrics!AT99</f>
        <v>858.13807531380758</v>
      </c>
      <c r="AU347" s="9">
        <f>cVolumetrics!AU99</f>
        <v>858.13807531380758</v>
      </c>
      <c r="AV347" s="9">
        <f>cVolumetrics!AV99</f>
        <v>858.13807531380758</v>
      </c>
      <c r="AW347" s="9">
        <f>cVolumetrics!AW99</f>
        <v>858.13807531380758</v>
      </c>
      <c r="AX347" s="9">
        <f>cVolumetrics!AX99</f>
        <v>858.13807531380758</v>
      </c>
      <c r="AY347" s="9">
        <f>cVolumetrics!AY99</f>
        <v>858.13807531380758</v>
      </c>
      <c r="AZ347" s="9">
        <f>cVolumetrics!AZ99</f>
        <v>858.13807531380758</v>
      </c>
      <c r="BA347" s="9">
        <f>cVolumetrics!BA99</f>
        <v>858.13807531380758</v>
      </c>
      <c r="BB347" s="9">
        <f>cVolumetrics!BB99</f>
        <v>858.13807531380758</v>
      </c>
      <c r="BC347" s="9">
        <f>cVolumetrics!BC99</f>
        <v>858.13807531380758</v>
      </c>
      <c r="BD347" s="9">
        <f>cVolumetrics!BD99</f>
        <v>858.13807531380758</v>
      </c>
      <c r="BE347" s="9">
        <f>cVolumetrics!BE99</f>
        <v>858.13807531380758</v>
      </c>
    </row>
    <row r="349" spans="6:65">
      <c r="F349" s="40" t="s">
        <v>150</v>
      </c>
      <c r="G349" s="17" t="str">
        <f>cstConstantUnit</f>
        <v>£ 2022/23</v>
      </c>
      <c r="K349" s="9" cm="1">
        <f t="array" ref="K349">INDEX(iOptions!$M169:$O169,1,ActiveCostScenarioIndex)</f>
        <v>300000</v>
      </c>
      <c r="AA349" s="39"/>
      <c r="AB349" s="39"/>
      <c r="AC349" s="39"/>
      <c r="AD349" s="39"/>
      <c r="AE349" s="39"/>
      <c r="AF349" s="39"/>
      <c r="AG349" s="39"/>
      <c r="AH349" s="39"/>
      <c r="AI349" s="39"/>
      <c r="AJ349" s="39"/>
      <c r="AK349" s="39"/>
      <c r="AL349" s="39"/>
      <c r="AM349" s="39"/>
      <c r="AN349" s="39"/>
      <c r="AO349" s="39"/>
      <c r="AP349" s="39"/>
      <c r="AQ349" s="39"/>
      <c r="AR349" s="39"/>
      <c r="AS349" s="39"/>
      <c r="AT349" s="39"/>
      <c r="AU349" s="39"/>
      <c r="AV349" s="39"/>
      <c r="AW349" s="39"/>
      <c r="AX349" s="39"/>
      <c r="AY349" s="39"/>
      <c r="AZ349" s="39"/>
      <c r="BA349" s="39"/>
      <c r="BB349" s="39"/>
      <c r="BC349" s="39"/>
      <c r="BD349" s="39"/>
      <c r="BE349" s="39"/>
      <c r="BG349" s="39"/>
      <c r="BH349" s="39"/>
      <c r="BI349" s="39"/>
      <c r="BJ349" s="39"/>
      <c r="BK349" s="39"/>
      <c r="BL349" s="39"/>
      <c r="BM349" s="39"/>
    </row>
    <row r="350" spans="6:65">
      <c r="AB350"/>
      <c r="AC350"/>
      <c r="AD350"/>
      <c r="AE350"/>
      <c r="AF350"/>
      <c r="AG350"/>
      <c r="AH350"/>
      <c r="AI350"/>
      <c r="AJ350"/>
      <c r="AK350"/>
      <c r="AL350"/>
      <c r="AM350"/>
      <c r="AN350"/>
      <c r="AO350"/>
      <c r="AP350"/>
      <c r="AQ350"/>
      <c r="AR350"/>
      <c r="AS350"/>
      <c r="AT350"/>
      <c r="AU350"/>
      <c r="AV350"/>
      <c r="AW350"/>
      <c r="AX350"/>
      <c r="AY350"/>
      <c r="AZ350"/>
      <c r="BA350"/>
      <c r="BB350"/>
      <c r="BC350"/>
      <c r="BD350"/>
      <c r="BE350"/>
    </row>
    <row r="351" spans="6:65" ht="13">
      <c r="F351" s="26" t="s">
        <v>327</v>
      </c>
    </row>
    <row r="352" spans="6:65">
      <c r="F352" s="18"/>
      <c r="G352" s="17"/>
    </row>
    <row r="353" spans="6:65">
      <c r="F353" s="18" t="str">
        <f t="shared" ref="F353:F377" si="111">F321</f>
        <v>Substructure</v>
      </c>
      <c r="G353" s="17" t="str">
        <f t="shared" ref="G353:G377" si="112">cstConstantUnit</f>
        <v>£ 2022/23</v>
      </c>
      <c r="AA353" s="14">
        <f t="shared" ref="AA353:BE353" si="113">$K321*AA$347*AA$26</f>
        <v>118251.42677824269</v>
      </c>
      <c r="AB353" s="14">
        <f t="shared" si="113"/>
        <v>0</v>
      </c>
      <c r="AC353" s="14">
        <f t="shared" si="113"/>
        <v>0</v>
      </c>
      <c r="AD353" s="14">
        <f t="shared" si="113"/>
        <v>0</v>
      </c>
      <c r="AE353" s="14">
        <f t="shared" si="113"/>
        <v>0</v>
      </c>
      <c r="AF353" s="14">
        <f t="shared" si="113"/>
        <v>0</v>
      </c>
      <c r="AG353" s="14">
        <f t="shared" si="113"/>
        <v>0</v>
      </c>
      <c r="AH353" s="14">
        <f t="shared" si="113"/>
        <v>0</v>
      </c>
      <c r="AI353" s="14">
        <f t="shared" si="113"/>
        <v>0</v>
      </c>
      <c r="AJ353" s="14">
        <f t="shared" si="113"/>
        <v>0</v>
      </c>
      <c r="AK353" s="14">
        <f t="shared" si="113"/>
        <v>0</v>
      </c>
      <c r="AL353" s="14">
        <f t="shared" si="113"/>
        <v>0</v>
      </c>
      <c r="AM353" s="14">
        <f t="shared" si="113"/>
        <v>0</v>
      </c>
      <c r="AN353" s="14">
        <f t="shared" si="113"/>
        <v>0</v>
      </c>
      <c r="AO353" s="14">
        <f t="shared" si="113"/>
        <v>0</v>
      </c>
      <c r="AP353" s="14">
        <f t="shared" si="113"/>
        <v>0</v>
      </c>
      <c r="AQ353" s="14">
        <f t="shared" si="113"/>
        <v>0</v>
      </c>
      <c r="AR353" s="14">
        <f t="shared" si="113"/>
        <v>0</v>
      </c>
      <c r="AS353" s="14">
        <f t="shared" si="113"/>
        <v>0</v>
      </c>
      <c r="AT353" s="14">
        <f t="shared" si="113"/>
        <v>0</v>
      </c>
      <c r="AU353" s="14">
        <f t="shared" si="113"/>
        <v>0</v>
      </c>
      <c r="AV353" s="14">
        <f t="shared" si="113"/>
        <v>0</v>
      </c>
      <c r="AW353" s="14">
        <f t="shared" si="113"/>
        <v>0</v>
      </c>
      <c r="AX353" s="14">
        <f t="shared" si="113"/>
        <v>0</v>
      </c>
      <c r="AY353" s="14">
        <f t="shared" si="113"/>
        <v>0</v>
      </c>
      <c r="AZ353" s="14">
        <f t="shared" si="113"/>
        <v>0</v>
      </c>
      <c r="BA353" s="14">
        <f t="shared" si="113"/>
        <v>0</v>
      </c>
      <c r="BB353" s="14">
        <f t="shared" si="113"/>
        <v>0</v>
      </c>
      <c r="BC353" s="14">
        <f t="shared" si="113"/>
        <v>0</v>
      </c>
      <c r="BD353" s="14">
        <f t="shared" si="113"/>
        <v>0</v>
      </c>
      <c r="BE353" s="14">
        <f t="shared" si="113"/>
        <v>0</v>
      </c>
      <c r="BG353" s="14">
        <f t="shared" ref="BG353:BM383" si="114">SUMIFS($AA353:$BE353,$AA$2:$BE$2,"&gt;="&amp;BG$2,$AA$3:$BE$3,"&lt;="&amp;BG$3)</f>
        <v>118251.42677824269</v>
      </c>
      <c r="BH353" s="14">
        <f t="shared" si="114"/>
        <v>0</v>
      </c>
      <c r="BI353" s="14">
        <f t="shared" si="114"/>
        <v>0</v>
      </c>
      <c r="BJ353" s="14">
        <f t="shared" si="114"/>
        <v>0</v>
      </c>
      <c r="BK353" s="14">
        <f t="shared" si="114"/>
        <v>0</v>
      </c>
      <c r="BL353" s="14">
        <f t="shared" si="114"/>
        <v>0</v>
      </c>
      <c r="BM353" s="14">
        <f t="shared" si="114"/>
        <v>0</v>
      </c>
    </row>
    <row r="354" spans="6:65">
      <c r="F354" s="18" t="str">
        <f t="shared" si="111"/>
        <v>Frame</v>
      </c>
      <c r="G354" s="17" t="str">
        <f t="shared" si="112"/>
        <v>£ 2022/23</v>
      </c>
      <c r="AA354" s="14">
        <f t="shared" ref="AA354:BE354" si="115">$K322*AA$347*AA$26</f>
        <v>156181.12970711297</v>
      </c>
      <c r="AB354" s="14">
        <f t="shared" si="115"/>
        <v>0</v>
      </c>
      <c r="AC354" s="14">
        <f t="shared" si="115"/>
        <v>0</v>
      </c>
      <c r="AD354" s="14">
        <f t="shared" si="115"/>
        <v>0</v>
      </c>
      <c r="AE354" s="14">
        <f t="shared" si="115"/>
        <v>0</v>
      </c>
      <c r="AF354" s="14">
        <f t="shared" si="115"/>
        <v>0</v>
      </c>
      <c r="AG354" s="14">
        <f t="shared" si="115"/>
        <v>0</v>
      </c>
      <c r="AH354" s="14">
        <f t="shared" si="115"/>
        <v>0</v>
      </c>
      <c r="AI354" s="14">
        <f t="shared" si="115"/>
        <v>0</v>
      </c>
      <c r="AJ354" s="14">
        <f t="shared" si="115"/>
        <v>0</v>
      </c>
      <c r="AK354" s="14">
        <f t="shared" si="115"/>
        <v>0</v>
      </c>
      <c r="AL354" s="14">
        <f t="shared" si="115"/>
        <v>0</v>
      </c>
      <c r="AM354" s="14">
        <f t="shared" si="115"/>
        <v>0</v>
      </c>
      <c r="AN354" s="14">
        <f t="shared" si="115"/>
        <v>0</v>
      </c>
      <c r="AO354" s="14">
        <f t="shared" si="115"/>
        <v>0</v>
      </c>
      <c r="AP354" s="14">
        <f t="shared" si="115"/>
        <v>0</v>
      </c>
      <c r="AQ354" s="14">
        <f t="shared" si="115"/>
        <v>0</v>
      </c>
      <c r="AR354" s="14">
        <f t="shared" si="115"/>
        <v>0</v>
      </c>
      <c r="AS354" s="14">
        <f t="shared" si="115"/>
        <v>0</v>
      </c>
      <c r="AT354" s="14">
        <f t="shared" si="115"/>
        <v>0</v>
      </c>
      <c r="AU354" s="14">
        <f t="shared" si="115"/>
        <v>0</v>
      </c>
      <c r="AV354" s="14">
        <f t="shared" si="115"/>
        <v>0</v>
      </c>
      <c r="AW354" s="14">
        <f t="shared" si="115"/>
        <v>0</v>
      </c>
      <c r="AX354" s="14">
        <f t="shared" si="115"/>
        <v>0</v>
      </c>
      <c r="AY354" s="14">
        <f t="shared" si="115"/>
        <v>0</v>
      </c>
      <c r="AZ354" s="14">
        <f t="shared" si="115"/>
        <v>0</v>
      </c>
      <c r="BA354" s="14">
        <f t="shared" si="115"/>
        <v>0</v>
      </c>
      <c r="BB354" s="14">
        <f t="shared" si="115"/>
        <v>0</v>
      </c>
      <c r="BC354" s="14">
        <f t="shared" si="115"/>
        <v>0</v>
      </c>
      <c r="BD354" s="14">
        <f t="shared" si="115"/>
        <v>0</v>
      </c>
      <c r="BE354" s="14">
        <f t="shared" si="115"/>
        <v>0</v>
      </c>
      <c r="BG354" s="14">
        <f t="shared" si="114"/>
        <v>156181.12970711297</v>
      </c>
      <c r="BH354" s="14">
        <f t="shared" si="114"/>
        <v>0</v>
      </c>
      <c r="BI354" s="14">
        <f t="shared" si="114"/>
        <v>0</v>
      </c>
      <c r="BJ354" s="14">
        <f t="shared" si="114"/>
        <v>0</v>
      </c>
      <c r="BK354" s="14">
        <f t="shared" si="114"/>
        <v>0</v>
      </c>
      <c r="BL354" s="14">
        <f t="shared" si="114"/>
        <v>0</v>
      </c>
      <c r="BM354" s="14">
        <f t="shared" si="114"/>
        <v>0</v>
      </c>
    </row>
    <row r="355" spans="6:65">
      <c r="F355" s="18" t="str">
        <f t="shared" si="111"/>
        <v>Upper Floors</v>
      </c>
      <c r="G355" s="17" t="str">
        <f t="shared" si="112"/>
        <v>£ 2022/23</v>
      </c>
      <c r="AA355" s="14">
        <f t="shared" ref="AA355:BE355" si="116">$K323*AA$347*AA$26</f>
        <v>31236.225941422595</v>
      </c>
      <c r="AB355" s="14">
        <f t="shared" si="116"/>
        <v>0</v>
      </c>
      <c r="AC355" s="14">
        <f t="shared" si="116"/>
        <v>0</v>
      </c>
      <c r="AD355" s="14">
        <f t="shared" si="116"/>
        <v>0</v>
      </c>
      <c r="AE355" s="14">
        <f t="shared" si="116"/>
        <v>0</v>
      </c>
      <c r="AF355" s="14">
        <f t="shared" si="116"/>
        <v>0</v>
      </c>
      <c r="AG355" s="14">
        <f t="shared" si="116"/>
        <v>0</v>
      </c>
      <c r="AH355" s="14">
        <f t="shared" si="116"/>
        <v>0</v>
      </c>
      <c r="AI355" s="14">
        <f t="shared" si="116"/>
        <v>0</v>
      </c>
      <c r="AJ355" s="14">
        <f t="shared" si="116"/>
        <v>0</v>
      </c>
      <c r="AK355" s="14">
        <f t="shared" si="116"/>
        <v>0</v>
      </c>
      <c r="AL355" s="14">
        <f t="shared" si="116"/>
        <v>0</v>
      </c>
      <c r="AM355" s="14">
        <f t="shared" si="116"/>
        <v>0</v>
      </c>
      <c r="AN355" s="14">
        <f t="shared" si="116"/>
        <v>0</v>
      </c>
      <c r="AO355" s="14">
        <f t="shared" si="116"/>
        <v>0</v>
      </c>
      <c r="AP355" s="14">
        <f t="shared" si="116"/>
        <v>0</v>
      </c>
      <c r="AQ355" s="14">
        <f t="shared" si="116"/>
        <v>0</v>
      </c>
      <c r="AR355" s="14">
        <f t="shared" si="116"/>
        <v>0</v>
      </c>
      <c r="AS355" s="14">
        <f t="shared" si="116"/>
        <v>0</v>
      </c>
      <c r="AT355" s="14">
        <f t="shared" si="116"/>
        <v>0</v>
      </c>
      <c r="AU355" s="14">
        <f t="shared" si="116"/>
        <v>0</v>
      </c>
      <c r="AV355" s="14">
        <f t="shared" si="116"/>
        <v>0</v>
      </c>
      <c r="AW355" s="14">
        <f t="shared" si="116"/>
        <v>0</v>
      </c>
      <c r="AX355" s="14">
        <f t="shared" si="116"/>
        <v>0</v>
      </c>
      <c r="AY355" s="14">
        <f t="shared" si="116"/>
        <v>0</v>
      </c>
      <c r="AZ355" s="14">
        <f t="shared" si="116"/>
        <v>0</v>
      </c>
      <c r="BA355" s="14">
        <f t="shared" si="116"/>
        <v>0</v>
      </c>
      <c r="BB355" s="14">
        <f t="shared" si="116"/>
        <v>0</v>
      </c>
      <c r="BC355" s="14">
        <f t="shared" si="116"/>
        <v>0</v>
      </c>
      <c r="BD355" s="14">
        <f t="shared" si="116"/>
        <v>0</v>
      </c>
      <c r="BE355" s="14">
        <f t="shared" si="116"/>
        <v>0</v>
      </c>
      <c r="BG355" s="14">
        <f t="shared" si="114"/>
        <v>31236.225941422595</v>
      </c>
      <c r="BH355" s="14">
        <f t="shared" si="114"/>
        <v>0</v>
      </c>
      <c r="BI355" s="14">
        <f t="shared" si="114"/>
        <v>0</v>
      </c>
      <c r="BJ355" s="14">
        <f t="shared" si="114"/>
        <v>0</v>
      </c>
      <c r="BK355" s="14">
        <f t="shared" si="114"/>
        <v>0</v>
      </c>
      <c r="BL355" s="14">
        <f t="shared" si="114"/>
        <v>0</v>
      </c>
      <c r="BM355" s="14">
        <f t="shared" si="114"/>
        <v>0</v>
      </c>
    </row>
    <row r="356" spans="6:65">
      <c r="F356" s="18" t="str">
        <f t="shared" si="111"/>
        <v>Roof</v>
      </c>
      <c r="G356" s="17" t="str">
        <f t="shared" si="112"/>
        <v>£ 2022/23</v>
      </c>
      <c r="AA356" s="14">
        <f t="shared" ref="AA356:BE356" si="117">$K324*AA$347*AA$26</f>
        <v>128291.64225941424</v>
      </c>
      <c r="AB356" s="14">
        <f t="shared" si="117"/>
        <v>0</v>
      </c>
      <c r="AC356" s="14">
        <f t="shared" si="117"/>
        <v>0</v>
      </c>
      <c r="AD356" s="14">
        <f t="shared" si="117"/>
        <v>0</v>
      </c>
      <c r="AE356" s="14">
        <f t="shared" si="117"/>
        <v>0</v>
      </c>
      <c r="AF356" s="14">
        <f t="shared" si="117"/>
        <v>0</v>
      </c>
      <c r="AG356" s="14">
        <f t="shared" si="117"/>
        <v>0</v>
      </c>
      <c r="AH356" s="14">
        <f t="shared" si="117"/>
        <v>0</v>
      </c>
      <c r="AI356" s="14">
        <f t="shared" si="117"/>
        <v>0</v>
      </c>
      <c r="AJ356" s="14">
        <f t="shared" si="117"/>
        <v>0</v>
      </c>
      <c r="AK356" s="14">
        <f t="shared" si="117"/>
        <v>0</v>
      </c>
      <c r="AL356" s="14">
        <f t="shared" si="117"/>
        <v>0</v>
      </c>
      <c r="AM356" s="14">
        <f t="shared" si="117"/>
        <v>0</v>
      </c>
      <c r="AN356" s="14">
        <f t="shared" si="117"/>
        <v>0</v>
      </c>
      <c r="AO356" s="14">
        <f t="shared" si="117"/>
        <v>0</v>
      </c>
      <c r="AP356" s="14">
        <f t="shared" si="117"/>
        <v>0</v>
      </c>
      <c r="AQ356" s="14">
        <f t="shared" si="117"/>
        <v>0</v>
      </c>
      <c r="AR356" s="14">
        <f t="shared" si="117"/>
        <v>0</v>
      </c>
      <c r="AS356" s="14">
        <f t="shared" si="117"/>
        <v>0</v>
      </c>
      <c r="AT356" s="14">
        <f t="shared" si="117"/>
        <v>0</v>
      </c>
      <c r="AU356" s="14">
        <f t="shared" si="117"/>
        <v>0</v>
      </c>
      <c r="AV356" s="14">
        <f t="shared" si="117"/>
        <v>0</v>
      </c>
      <c r="AW356" s="14">
        <f t="shared" si="117"/>
        <v>0</v>
      </c>
      <c r="AX356" s="14">
        <f t="shared" si="117"/>
        <v>0</v>
      </c>
      <c r="AY356" s="14">
        <f t="shared" si="117"/>
        <v>0</v>
      </c>
      <c r="AZ356" s="14">
        <f t="shared" si="117"/>
        <v>0</v>
      </c>
      <c r="BA356" s="14">
        <f t="shared" si="117"/>
        <v>0</v>
      </c>
      <c r="BB356" s="14">
        <f t="shared" si="117"/>
        <v>0</v>
      </c>
      <c r="BC356" s="14">
        <f t="shared" si="117"/>
        <v>0</v>
      </c>
      <c r="BD356" s="14">
        <f t="shared" si="117"/>
        <v>0</v>
      </c>
      <c r="BE356" s="14">
        <f t="shared" si="117"/>
        <v>0</v>
      </c>
      <c r="BG356" s="14">
        <f t="shared" si="114"/>
        <v>128291.64225941424</v>
      </c>
      <c r="BH356" s="14">
        <f t="shared" si="114"/>
        <v>0</v>
      </c>
      <c r="BI356" s="14">
        <f t="shared" si="114"/>
        <v>0</v>
      </c>
      <c r="BJ356" s="14">
        <f t="shared" si="114"/>
        <v>0</v>
      </c>
      <c r="BK356" s="14">
        <f t="shared" si="114"/>
        <v>0</v>
      </c>
      <c r="BL356" s="14">
        <f t="shared" si="114"/>
        <v>0</v>
      </c>
      <c r="BM356" s="14">
        <f t="shared" si="114"/>
        <v>0</v>
      </c>
    </row>
    <row r="357" spans="6:65">
      <c r="F357" s="18" t="str">
        <f t="shared" si="111"/>
        <v>Stairs</v>
      </c>
      <c r="G357" s="17" t="str">
        <f t="shared" si="112"/>
        <v>£ 2022/23</v>
      </c>
      <c r="AA357" s="14">
        <f t="shared" ref="AA357:BE357" si="118">$K325*AA$347*AA$26</f>
        <v>13386.953974895399</v>
      </c>
      <c r="AB357" s="14">
        <f t="shared" si="118"/>
        <v>0</v>
      </c>
      <c r="AC357" s="14">
        <f t="shared" si="118"/>
        <v>0</v>
      </c>
      <c r="AD357" s="14">
        <f t="shared" si="118"/>
        <v>0</v>
      </c>
      <c r="AE357" s="14">
        <f t="shared" si="118"/>
        <v>0</v>
      </c>
      <c r="AF357" s="14">
        <f t="shared" si="118"/>
        <v>0</v>
      </c>
      <c r="AG357" s="14">
        <f t="shared" si="118"/>
        <v>0</v>
      </c>
      <c r="AH357" s="14">
        <f t="shared" si="118"/>
        <v>0</v>
      </c>
      <c r="AI357" s="14">
        <f t="shared" si="118"/>
        <v>0</v>
      </c>
      <c r="AJ357" s="14">
        <f t="shared" si="118"/>
        <v>0</v>
      </c>
      <c r="AK357" s="14">
        <f t="shared" si="118"/>
        <v>0</v>
      </c>
      <c r="AL357" s="14">
        <f t="shared" si="118"/>
        <v>0</v>
      </c>
      <c r="AM357" s="14">
        <f t="shared" si="118"/>
        <v>0</v>
      </c>
      <c r="AN357" s="14">
        <f t="shared" si="118"/>
        <v>0</v>
      </c>
      <c r="AO357" s="14">
        <f t="shared" si="118"/>
        <v>0</v>
      </c>
      <c r="AP357" s="14">
        <f t="shared" si="118"/>
        <v>0</v>
      </c>
      <c r="AQ357" s="14">
        <f t="shared" si="118"/>
        <v>0</v>
      </c>
      <c r="AR357" s="14">
        <f t="shared" si="118"/>
        <v>0</v>
      </c>
      <c r="AS357" s="14">
        <f t="shared" si="118"/>
        <v>0</v>
      </c>
      <c r="AT357" s="14">
        <f t="shared" si="118"/>
        <v>0</v>
      </c>
      <c r="AU357" s="14">
        <f t="shared" si="118"/>
        <v>0</v>
      </c>
      <c r="AV357" s="14">
        <f t="shared" si="118"/>
        <v>0</v>
      </c>
      <c r="AW357" s="14">
        <f t="shared" si="118"/>
        <v>0</v>
      </c>
      <c r="AX357" s="14">
        <f t="shared" si="118"/>
        <v>0</v>
      </c>
      <c r="AY357" s="14">
        <f t="shared" si="118"/>
        <v>0</v>
      </c>
      <c r="AZ357" s="14">
        <f t="shared" si="118"/>
        <v>0</v>
      </c>
      <c r="BA357" s="14">
        <f t="shared" si="118"/>
        <v>0</v>
      </c>
      <c r="BB357" s="14">
        <f t="shared" si="118"/>
        <v>0</v>
      </c>
      <c r="BC357" s="14">
        <f t="shared" si="118"/>
        <v>0</v>
      </c>
      <c r="BD357" s="14">
        <f t="shared" si="118"/>
        <v>0</v>
      </c>
      <c r="BE357" s="14">
        <f t="shared" si="118"/>
        <v>0</v>
      </c>
      <c r="BG357" s="14">
        <f t="shared" si="114"/>
        <v>13386.953974895399</v>
      </c>
      <c r="BH357" s="14">
        <f t="shared" si="114"/>
        <v>0</v>
      </c>
      <c r="BI357" s="14">
        <f t="shared" si="114"/>
        <v>0</v>
      </c>
      <c r="BJ357" s="14">
        <f t="shared" si="114"/>
        <v>0</v>
      </c>
      <c r="BK357" s="14">
        <f t="shared" si="114"/>
        <v>0</v>
      </c>
      <c r="BL357" s="14">
        <f t="shared" si="114"/>
        <v>0</v>
      </c>
      <c r="BM357" s="14">
        <f t="shared" si="114"/>
        <v>0</v>
      </c>
    </row>
    <row r="358" spans="6:65">
      <c r="F358" s="18" t="str">
        <f t="shared" si="111"/>
        <v>Ext Walls, Windows &amp; Doors</v>
      </c>
      <c r="G358" s="17" t="str">
        <f t="shared" si="112"/>
        <v>£ 2022/23</v>
      </c>
      <c r="AA358" s="14">
        <f t="shared" ref="AA358:BE358" si="119">$K326*AA$347*AA$26</f>
        <v>217538.00209205021</v>
      </c>
      <c r="AB358" s="14">
        <f t="shared" si="119"/>
        <v>0</v>
      </c>
      <c r="AC358" s="14">
        <f t="shared" si="119"/>
        <v>0</v>
      </c>
      <c r="AD358" s="14">
        <f t="shared" si="119"/>
        <v>0</v>
      </c>
      <c r="AE358" s="14">
        <f t="shared" si="119"/>
        <v>0</v>
      </c>
      <c r="AF358" s="14">
        <f t="shared" si="119"/>
        <v>0</v>
      </c>
      <c r="AG358" s="14">
        <f t="shared" si="119"/>
        <v>0</v>
      </c>
      <c r="AH358" s="14">
        <f t="shared" si="119"/>
        <v>0</v>
      </c>
      <c r="AI358" s="14">
        <f t="shared" si="119"/>
        <v>0</v>
      </c>
      <c r="AJ358" s="14">
        <f t="shared" si="119"/>
        <v>0</v>
      </c>
      <c r="AK358" s="14">
        <f t="shared" si="119"/>
        <v>0</v>
      </c>
      <c r="AL358" s="14">
        <f t="shared" si="119"/>
        <v>0</v>
      </c>
      <c r="AM358" s="14">
        <f t="shared" si="119"/>
        <v>0</v>
      </c>
      <c r="AN358" s="14">
        <f t="shared" si="119"/>
        <v>0</v>
      </c>
      <c r="AO358" s="14">
        <f t="shared" si="119"/>
        <v>0</v>
      </c>
      <c r="AP358" s="14">
        <f t="shared" si="119"/>
        <v>0</v>
      </c>
      <c r="AQ358" s="14">
        <f t="shared" si="119"/>
        <v>0</v>
      </c>
      <c r="AR358" s="14">
        <f t="shared" si="119"/>
        <v>0</v>
      </c>
      <c r="AS358" s="14">
        <f t="shared" si="119"/>
        <v>0</v>
      </c>
      <c r="AT358" s="14">
        <f t="shared" si="119"/>
        <v>0</v>
      </c>
      <c r="AU358" s="14">
        <f t="shared" si="119"/>
        <v>0</v>
      </c>
      <c r="AV358" s="14">
        <f t="shared" si="119"/>
        <v>0</v>
      </c>
      <c r="AW358" s="14">
        <f t="shared" si="119"/>
        <v>0</v>
      </c>
      <c r="AX358" s="14">
        <f t="shared" si="119"/>
        <v>0</v>
      </c>
      <c r="AY358" s="14">
        <f t="shared" si="119"/>
        <v>0</v>
      </c>
      <c r="AZ358" s="14">
        <f t="shared" si="119"/>
        <v>0</v>
      </c>
      <c r="BA358" s="14">
        <f t="shared" si="119"/>
        <v>0</v>
      </c>
      <c r="BB358" s="14">
        <f t="shared" si="119"/>
        <v>0</v>
      </c>
      <c r="BC358" s="14">
        <f t="shared" si="119"/>
        <v>0</v>
      </c>
      <c r="BD358" s="14">
        <f t="shared" si="119"/>
        <v>0</v>
      </c>
      <c r="BE358" s="14">
        <f t="shared" si="119"/>
        <v>0</v>
      </c>
      <c r="BG358" s="14">
        <f t="shared" si="114"/>
        <v>217538.00209205021</v>
      </c>
      <c r="BH358" s="14">
        <f t="shared" si="114"/>
        <v>0</v>
      </c>
      <c r="BI358" s="14">
        <f t="shared" si="114"/>
        <v>0</v>
      </c>
      <c r="BJ358" s="14">
        <f t="shared" si="114"/>
        <v>0</v>
      </c>
      <c r="BK358" s="14">
        <f t="shared" si="114"/>
        <v>0</v>
      </c>
      <c r="BL358" s="14">
        <f t="shared" si="114"/>
        <v>0</v>
      </c>
      <c r="BM358" s="14">
        <f t="shared" si="114"/>
        <v>0</v>
      </c>
    </row>
    <row r="359" spans="6:65">
      <c r="F359" s="18" t="str">
        <f t="shared" si="111"/>
        <v>Int Walls &amp; Partitions</v>
      </c>
      <c r="G359" s="17" t="str">
        <f t="shared" si="112"/>
        <v>£ 2022/23</v>
      </c>
      <c r="AA359" s="14">
        <f t="shared" ref="AA359:BE359" si="120">$K327*AA$347*AA$26</f>
        <v>105980.05230125523</v>
      </c>
      <c r="AB359" s="14">
        <f t="shared" si="120"/>
        <v>0</v>
      </c>
      <c r="AC359" s="14">
        <f t="shared" si="120"/>
        <v>0</v>
      </c>
      <c r="AD359" s="14">
        <f t="shared" si="120"/>
        <v>0</v>
      </c>
      <c r="AE359" s="14">
        <f t="shared" si="120"/>
        <v>0</v>
      </c>
      <c r="AF359" s="14">
        <f t="shared" si="120"/>
        <v>0</v>
      </c>
      <c r="AG359" s="14">
        <f t="shared" si="120"/>
        <v>0</v>
      </c>
      <c r="AH359" s="14">
        <f t="shared" si="120"/>
        <v>0</v>
      </c>
      <c r="AI359" s="14">
        <f t="shared" si="120"/>
        <v>0</v>
      </c>
      <c r="AJ359" s="14">
        <f t="shared" si="120"/>
        <v>0</v>
      </c>
      <c r="AK359" s="14">
        <f t="shared" si="120"/>
        <v>0</v>
      </c>
      <c r="AL359" s="14">
        <f t="shared" si="120"/>
        <v>0</v>
      </c>
      <c r="AM359" s="14">
        <f t="shared" si="120"/>
        <v>0</v>
      </c>
      <c r="AN359" s="14">
        <f t="shared" si="120"/>
        <v>0</v>
      </c>
      <c r="AO359" s="14">
        <f t="shared" si="120"/>
        <v>0</v>
      </c>
      <c r="AP359" s="14">
        <f t="shared" si="120"/>
        <v>0</v>
      </c>
      <c r="AQ359" s="14">
        <f t="shared" si="120"/>
        <v>0</v>
      </c>
      <c r="AR359" s="14">
        <f t="shared" si="120"/>
        <v>0</v>
      </c>
      <c r="AS359" s="14">
        <f t="shared" si="120"/>
        <v>0</v>
      </c>
      <c r="AT359" s="14">
        <f t="shared" si="120"/>
        <v>0</v>
      </c>
      <c r="AU359" s="14">
        <f t="shared" si="120"/>
        <v>0</v>
      </c>
      <c r="AV359" s="14">
        <f t="shared" si="120"/>
        <v>0</v>
      </c>
      <c r="AW359" s="14">
        <f t="shared" si="120"/>
        <v>0</v>
      </c>
      <c r="AX359" s="14">
        <f t="shared" si="120"/>
        <v>0</v>
      </c>
      <c r="AY359" s="14">
        <f t="shared" si="120"/>
        <v>0</v>
      </c>
      <c r="AZ359" s="14">
        <f t="shared" si="120"/>
        <v>0</v>
      </c>
      <c r="BA359" s="14">
        <f t="shared" si="120"/>
        <v>0</v>
      </c>
      <c r="BB359" s="14">
        <f t="shared" si="120"/>
        <v>0</v>
      </c>
      <c r="BC359" s="14">
        <f t="shared" si="120"/>
        <v>0</v>
      </c>
      <c r="BD359" s="14">
        <f t="shared" si="120"/>
        <v>0</v>
      </c>
      <c r="BE359" s="14">
        <f t="shared" si="120"/>
        <v>0</v>
      </c>
      <c r="BG359" s="14">
        <f t="shared" si="114"/>
        <v>105980.05230125523</v>
      </c>
      <c r="BH359" s="14">
        <f t="shared" si="114"/>
        <v>0</v>
      </c>
      <c r="BI359" s="14">
        <f t="shared" si="114"/>
        <v>0</v>
      </c>
      <c r="BJ359" s="14">
        <f t="shared" si="114"/>
        <v>0</v>
      </c>
      <c r="BK359" s="14">
        <f t="shared" si="114"/>
        <v>0</v>
      </c>
      <c r="BL359" s="14">
        <f t="shared" si="114"/>
        <v>0</v>
      </c>
      <c r="BM359" s="14">
        <f t="shared" si="114"/>
        <v>0</v>
      </c>
    </row>
    <row r="360" spans="6:65">
      <c r="F360" s="18" t="str">
        <f t="shared" si="111"/>
        <v>Int Doors</v>
      </c>
      <c r="G360" s="17" t="str">
        <f t="shared" si="112"/>
        <v>£ 2022/23</v>
      </c>
      <c r="AA360" s="14">
        <f t="shared" ref="AA360:BE360" si="121">$K328*AA$347*AA$26</f>
        <v>32351.805439330547</v>
      </c>
      <c r="AB360" s="14">
        <f t="shared" si="121"/>
        <v>0</v>
      </c>
      <c r="AC360" s="14">
        <f t="shared" si="121"/>
        <v>0</v>
      </c>
      <c r="AD360" s="14">
        <f t="shared" si="121"/>
        <v>0</v>
      </c>
      <c r="AE360" s="14">
        <f t="shared" si="121"/>
        <v>0</v>
      </c>
      <c r="AF360" s="14">
        <f t="shared" si="121"/>
        <v>0</v>
      </c>
      <c r="AG360" s="14">
        <f t="shared" si="121"/>
        <v>0</v>
      </c>
      <c r="AH360" s="14">
        <f t="shared" si="121"/>
        <v>0</v>
      </c>
      <c r="AI360" s="14">
        <f t="shared" si="121"/>
        <v>0</v>
      </c>
      <c r="AJ360" s="14">
        <f t="shared" si="121"/>
        <v>0</v>
      </c>
      <c r="AK360" s="14">
        <f t="shared" si="121"/>
        <v>0</v>
      </c>
      <c r="AL360" s="14">
        <f t="shared" si="121"/>
        <v>0</v>
      </c>
      <c r="AM360" s="14">
        <f t="shared" si="121"/>
        <v>0</v>
      </c>
      <c r="AN360" s="14">
        <f t="shared" si="121"/>
        <v>0</v>
      </c>
      <c r="AO360" s="14">
        <f t="shared" si="121"/>
        <v>0</v>
      </c>
      <c r="AP360" s="14">
        <f t="shared" si="121"/>
        <v>0</v>
      </c>
      <c r="AQ360" s="14">
        <f t="shared" si="121"/>
        <v>0</v>
      </c>
      <c r="AR360" s="14">
        <f t="shared" si="121"/>
        <v>0</v>
      </c>
      <c r="AS360" s="14">
        <f t="shared" si="121"/>
        <v>0</v>
      </c>
      <c r="AT360" s="14">
        <f t="shared" si="121"/>
        <v>0</v>
      </c>
      <c r="AU360" s="14">
        <f t="shared" si="121"/>
        <v>0</v>
      </c>
      <c r="AV360" s="14">
        <f t="shared" si="121"/>
        <v>0</v>
      </c>
      <c r="AW360" s="14">
        <f t="shared" si="121"/>
        <v>0</v>
      </c>
      <c r="AX360" s="14">
        <f t="shared" si="121"/>
        <v>0</v>
      </c>
      <c r="AY360" s="14">
        <f t="shared" si="121"/>
        <v>0</v>
      </c>
      <c r="AZ360" s="14">
        <f t="shared" si="121"/>
        <v>0</v>
      </c>
      <c r="BA360" s="14">
        <f t="shared" si="121"/>
        <v>0</v>
      </c>
      <c r="BB360" s="14">
        <f t="shared" si="121"/>
        <v>0</v>
      </c>
      <c r="BC360" s="14">
        <f t="shared" si="121"/>
        <v>0</v>
      </c>
      <c r="BD360" s="14">
        <f t="shared" si="121"/>
        <v>0</v>
      </c>
      <c r="BE360" s="14">
        <f t="shared" si="121"/>
        <v>0</v>
      </c>
      <c r="BG360" s="14">
        <f t="shared" si="114"/>
        <v>32351.805439330547</v>
      </c>
      <c r="BH360" s="14">
        <f t="shared" si="114"/>
        <v>0</v>
      </c>
      <c r="BI360" s="14">
        <f t="shared" si="114"/>
        <v>0</v>
      </c>
      <c r="BJ360" s="14">
        <f t="shared" si="114"/>
        <v>0</v>
      </c>
      <c r="BK360" s="14">
        <f t="shared" si="114"/>
        <v>0</v>
      </c>
      <c r="BL360" s="14">
        <f t="shared" si="114"/>
        <v>0</v>
      </c>
      <c r="BM360" s="14">
        <f t="shared" si="114"/>
        <v>0</v>
      </c>
    </row>
    <row r="361" spans="6:65">
      <c r="F361" s="18" t="str">
        <f t="shared" si="111"/>
        <v>Wall Finishes</v>
      </c>
      <c r="G361" s="17" t="str">
        <f t="shared" si="112"/>
        <v>£ 2022/23</v>
      </c>
      <c r="AA361" s="14">
        <f t="shared" ref="AA361:BE361" si="122">$K329*AA$347*AA$26</f>
        <v>34582.964435146452</v>
      </c>
      <c r="AB361" s="14">
        <f t="shared" si="122"/>
        <v>0</v>
      </c>
      <c r="AC361" s="14">
        <f t="shared" si="122"/>
        <v>0</v>
      </c>
      <c r="AD361" s="14">
        <f t="shared" si="122"/>
        <v>0</v>
      </c>
      <c r="AE361" s="14">
        <f t="shared" si="122"/>
        <v>0</v>
      </c>
      <c r="AF361" s="14">
        <f t="shared" si="122"/>
        <v>0</v>
      </c>
      <c r="AG361" s="14">
        <f t="shared" si="122"/>
        <v>0</v>
      </c>
      <c r="AH361" s="14">
        <f t="shared" si="122"/>
        <v>0</v>
      </c>
      <c r="AI361" s="14">
        <f t="shared" si="122"/>
        <v>0</v>
      </c>
      <c r="AJ361" s="14">
        <f t="shared" si="122"/>
        <v>0</v>
      </c>
      <c r="AK361" s="14">
        <f t="shared" si="122"/>
        <v>0</v>
      </c>
      <c r="AL361" s="14">
        <f t="shared" si="122"/>
        <v>0</v>
      </c>
      <c r="AM361" s="14">
        <f t="shared" si="122"/>
        <v>0</v>
      </c>
      <c r="AN361" s="14">
        <f t="shared" si="122"/>
        <v>0</v>
      </c>
      <c r="AO361" s="14">
        <f t="shared" si="122"/>
        <v>0</v>
      </c>
      <c r="AP361" s="14">
        <f t="shared" si="122"/>
        <v>0</v>
      </c>
      <c r="AQ361" s="14">
        <f t="shared" si="122"/>
        <v>0</v>
      </c>
      <c r="AR361" s="14">
        <f t="shared" si="122"/>
        <v>0</v>
      </c>
      <c r="AS361" s="14">
        <f t="shared" si="122"/>
        <v>0</v>
      </c>
      <c r="AT361" s="14">
        <f t="shared" si="122"/>
        <v>0</v>
      </c>
      <c r="AU361" s="14">
        <f t="shared" si="122"/>
        <v>0</v>
      </c>
      <c r="AV361" s="14">
        <f t="shared" si="122"/>
        <v>0</v>
      </c>
      <c r="AW361" s="14">
        <f t="shared" si="122"/>
        <v>0</v>
      </c>
      <c r="AX361" s="14">
        <f t="shared" si="122"/>
        <v>0</v>
      </c>
      <c r="AY361" s="14">
        <f t="shared" si="122"/>
        <v>0</v>
      </c>
      <c r="AZ361" s="14">
        <f t="shared" si="122"/>
        <v>0</v>
      </c>
      <c r="BA361" s="14">
        <f t="shared" si="122"/>
        <v>0</v>
      </c>
      <c r="BB361" s="14">
        <f t="shared" si="122"/>
        <v>0</v>
      </c>
      <c r="BC361" s="14">
        <f t="shared" si="122"/>
        <v>0</v>
      </c>
      <c r="BD361" s="14">
        <f t="shared" si="122"/>
        <v>0</v>
      </c>
      <c r="BE361" s="14">
        <f t="shared" si="122"/>
        <v>0</v>
      </c>
      <c r="BG361" s="14">
        <f t="shared" si="114"/>
        <v>34582.964435146452</v>
      </c>
      <c r="BH361" s="14">
        <f t="shared" si="114"/>
        <v>0</v>
      </c>
      <c r="BI361" s="14">
        <f t="shared" si="114"/>
        <v>0</v>
      </c>
      <c r="BJ361" s="14">
        <f t="shared" si="114"/>
        <v>0</v>
      </c>
      <c r="BK361" s="14">
        <f t="shared" si="114"/>
        <v>0</v>
      </c>
      <c r="BL361" s="14">
        <f t="shared" si="114"/>
        <v>0</v>
      </c>
      <c r="BM361" s="14">
        <f t="shared" si="114"/>
        <v>0</v>
      </c>
    </row>
    <row r="362" spans="6:65">
      <c r="F362" s="18" t="str">
        <f t="shared" si="111"/>
        <v>Floor Finishes</v>
      </c>
      <c r="G362" s="17" t="str">
        <f t="shared" si="112"/>
        <v>£ 2022/23</v>
      </c>
      <c r="AA362" s="14">
        <f t="shared" ref="AA362:BE362" si="123">$K330*AA$347*AA$26</f>
        <v>158412.28870292887</v>
      </c>
      <c r="AB362" s="14">
        <f t="shared" si="123"/>
        <v>0</v>
      </c>
      <c r="AC362" s="14">
        <f t="shared" si="123"/>
        <v>0</v>
      </c>
      <c r="AD362" s="14">
        <f t="shared" si="123"/>
        <v>0</v>
      </c>
      <c r="AE362" s="14">
        <f t="shared" si="123"/>
        <v>0</v>
      </c>
      <c r="AF362" s="14">
        <f t="shared" si="123"/>
        <v>0</v>
      </c>
      <c r="AG362" s="14">
        <f t="shared" si="123"/>
        <v>0</v>
      </c>
      <c r="AH362" s="14">
        <f t="shared" si="123"/>
        <v>0</v>
      </c>
      <c r="AI362" s="14">
        <f t="shared" si="123"/>
        <v>0</v>
      </c>
      <c r="AJ362" s="14">
        <f t="shared" si="123"/>
        <v>0</v>
      </c>
      <c r="AK362" s="14">
        <f t="shared" si="123"/>
        <v>0</v>
      </c>
      <c r="AL362" s="14">
        <f t="shared" si="123"/>
        <v>0</v>
      </c>
      <c r="AM362" s="14">
        <f t="shared" si="123"/>
        <v>0</v>
      </c>
      <c r="AN362" s="14">
        <f t="shared" si="123"/>
        <v>0</v>
      </c>
      <c r="AO362" s="14">
        <f t="shared" si="123"/>
        <v>0</v>
      </c>
      <c r="AP362" s="14">
        <f t="shared" si="123"/>
        <v>0</v>
      </c>
      <c r="AQ362" s="14">
        <f t="shared" si="123"/>
        <v>0</v>
      </c>
      <c r="AR362" s="14">
        <f t="shared" si="123"/>
        <v>0</v>
      </c>
      <c r="AS362" s="14">
        <f t="shared" si="123"/>
        <v>0</v>
      </c>
      <c r="AT362" s="14">
        <f t="shared" si="123"/>
        <v>0</v>
      </c>
      <c r="AU362" s="14">
        <f t="shared" si="123"/>
        <v>0</v>
      </c>
      <c r="AV362" s="14">
        <f t="shared" si="123"/>
        <v>0</v>
      </c>
      <c r="AW362" s="14">
        <f t="shared" si="123"/>
        <v>0</v>
      </c>
      <c r="AX362" s="14">
        <f t="shared" si="123"/>
        <v>0</v>
      </c>
      <c r="AY362" s="14">
        <f t="shared" si="123"/>
        <v>0</v>
      </c>
      <c r="AZ362" s="14">
        <f t="shared" si="123"/>
        <v>0</v>
      </c>
      <c r="BA362" s="14">
        <f t="shared" si="123"/>
        <v>0</v>
      </c>
      <c r="BB362" s="14">
        <f t="shared" si="123"/>
        <v>0</v>
      </c>
      <c r="BC362" s="14">
        <f t="shared" si="123"/>
        <v>0</v>
      </c>
      <c r="BD362" s="14">
        <f t="shared" si="123"/>
        <v>0</v>
      </c>
      <c r="BE362" s="14">
        <f t="shared" si="123"/>
        <v>0</v>
      </c>
      <c r="BG362" s="14">
        <f t="shared" si="114"/>
        <v>158412.28870292887</v>
      </c>
      <c r="BH362" s="14">
        <f t="shared" si="114"/>
        <v>0</v>
      </c>
      <c r="BI362" s="14">
        <f t="shared" si="114"/>
        <v>0</v>
      </c>
      <c r="BJ362" s="14">
        <f t="shared" si="114"/>
        <v>0</v>
      </c>
      <c r="BK362" s="14">
        <f t="shared" si="114"/>
        <v>0</v>
      </c>
      <c r="BL362" s="14">
        <f t="shared" si="114"/>
        <v>0</v>
      </c>
      <c r="BM362" s="14">
        <f t="shared" si="114"/>
        <v>0</v>
      </c>
    </row>
    <row r="363" spans="6:65">
      <c r="F363" s="18" t="str">
        <f t="shared" si="111"/>
        <v>Ceiling Finishes</v>
      </c>
      <c r="G363" s="17" t="str">
        <f t="shared" si="112"/>
        <v>£ 2022/23</v>
      </c>
      <c r="AA363" s="14">
        <f t="shared" ref="AA363:BE363" si="124">$K331*AA$347*AA$26</f>
        <v>30120.646443514648</v>
      </c>
      <c r="AB363" s="14">
        <f t="shared" si="124"/>
        <v>0</v>
      </c>
      <c r="AC363" s="14">
        <f t="shared" si="124"/>
        <v>0</v>
      </c>
      <c r="AD363" s="14">
        <f t="shared" si="124"/>
        <v>0</v>
      </c>
      <c r="AE363" s="14">
        <f t="shared" si="124"/>
        <v>0</v>
      </c>
      <c r="AF363" s="14">
        <f t="shared" si="124"/>
        <v>0</v>
      </c>
      <c r="AG363" s="14">
        <f t="shared" si="124"/>
        <v>0</v>
      </c>
      <c r="AH363" s="14">
        <f t="shared" si="124"/>
        <v>0</v>
      </c>
      <c r="AI363" s="14">
        <f t="shared" si="124"/>
        <v>0</v>
      </c>
      <c r="AJ363" s="14">
        <f t="shared" si="124"/>
        <v>0</v>
      </c>
      <c r="AK363" s="14">
        <f t="shared" si="124"/>
        <v>0</v>
      </c>
      <c r="AL363" s="14">
        <f t="shared" si="124"/>
        <v>0</v>
      </c>
      <c r="AM363" s="14">
        <f t="shared" si="124"/>
        <v>0</v>
      </c>
      <c r="AN363" s="14">
        <f t="shared" si="124"/>
        <v>0</v>
      </c>
      <c r="AO363" s="14">
        <f t="shared" si="124"/>
        <v>0</v>
      </c>
      <c r="AP363" s="14">
        <f t="shared" si="124"/>
        <v>0</v>
      </c>
      <c r="AQ363" s="14">
        <f t="shared" si="124"/>
        <v>0</v>
      </c>
      <c r="AR363" s="14">
        <f t="shared" si="124"/>
        <v>0</v>
      </c>
      <c r="AS363" s="14">
        <f t="shared" si="124"/>
        <v>0</v>
      </c>
      <c r="AT363" s="14">
        <f t="shared" si="124"/>
        <v>0</v>
      </c>
      <c r="AU363" s="14">
        <f t="shared" si="124"/>
        <v>0</v>
      </c>
      <c r="AV363" s="14">
        <f t="shared" si="124"/>
        <v>0</v>
      </c>
      <c r="AW363" s="14">
        <f t="shared" si="124"/>
        <v>0</v>
      </c>
      <c r="AX363" s="14">
        <f t="shared" si="124"/>
        <v>0</v>
      </c>
      <c r="AY363" s="14">
        <f t="shared" si="124"/>
        <v>0</v>
      </c>
      <c r="AZ363" s="14">
        <f t="shared" si="124"/>
        <v>0</v>
      </c>
      <c r="BA363" s="14">
        <f t="shared" si="124"/>
        <v>0</v>
      </c>
      <c r="BB363" s="14">
        <f t="shared" si="124"/>
        <v>0</v>
      </c>
      <c r="BC363" s="14">
        <f t="shared" si="124"/>
        <v>0</v>
      </c>
      <c r="BD363" s="14">
        <f t="shared" si="124"/>
        <v>0</v>
      </c>
      <c r="BE363" s="14">
        <f t="shared" si="124"/>
        <v>0</v>
      </c>
      <c r="BG363" s="14">
        <f t="shared" si="114"/>
        <v>30120.646443514648</v>
      </c>
      <c r="BH363" s="14">
        <f t="shared" si="114"/>
        <v>0</v>
      </c>
      <c r="BI363" s="14">
        <f t="shared" si="114"/>
        <v>0</v>
      </c>
      <c r="BJ363" s="14">
        <f t="shared" si="114"/>
        <v>0</v>
      </c>
      <c r="BK363" s="14">
        <f t="shared" si="114"/>
        <v>0</v>
      </c>
      <c r="BL363" s="14">
        <f t="shared" si="114"/>
        <v>0</v>
      </c>
      <c r="BM363" s="14">
        <f t="shared" si="114"/>
        <v>0</v>
      </c>
    </row>
    <row r="364" spans="6:65">
      <c r="F364" s="18" t="str">
        <f t="shared" si="111"/>
        <v>Furniture &amp; Fittings</v>
      </c>
      <c r="G364" s="17" t="str">
        <f t="shared" si="112"/>
        <v>£ 2022/23</v>
      </c>
      <c r="AA364" s="14">
        <f t="shared" ref="AA364:BE364" si="125">$K332*AA$347*AA$26</f>
        <v>76974.985355648547</v>
      </c>
      <c r="AB364" s="14">
        <f t="shared" si="125"/>
        <v>0</v>
      </c>
      <c r="AC364" s="14">
        <f t="shared" si="125"/>
        <v>0</v>
      </c>
      <c r="AD364" s="14">
        <f t="shared" si="125"/>
        <v>0</v>
      </c>
      <c r="AE364" s="14">
        <f t="shared" si="125"/>
        <v>0</v>
      </c>
      <c r="AF364" s="14">
        <f t="shared" si="125"/>
        <v>0</v>
      </c>
      <c r="AG364" s="14">
        <f t="shared" si="125"/>
        <v>0</v>
      </c>
      <c r="AH364" s="14">
        <f t="shared" si="125"/>
        <v>0</v>
      </c>
      <c r="AI364" s="14">
        <f t="shared" si="125"/>
        <v>0</v>
      </c>
      <c r="AJ364" s="14">
        <f t="shared" si="125"/>
        <v>0</v>
      </c>
      <c r="AK364" s="14">
        <f t="shared" si="125"/>
        <v>0</v>
      </c>
      <c r="AL364" s="14">
        <f t="shared" si="125"/>
        <v>0</v>
      </c>
      <c r="AM364" s="14">
        <f t="shared" si="125"/>
        <v>0</v>
      </c>
      <c r="AN364" s="14">
        <f t="shared" si="125"/>
        <v>0</v>
      </c>
      <c r="AO364" s="14">
        <f t="shared" si="125"/>
        <v>0</v>
      </c>
      <c r="AP364" s="14">
        <f t="shared" si="125"/>
        <v>0</v>
      </c>
      <c r="AQ364" s="14">
        <f t="shared" si="125"/>
        <v>0</v>
      </c>
      <c r="AR364" s="14">
        <f t="shared" si="125"/>
        <v>0</v>
      </c>
      <c r="AS364" s="14">
        <f t="shared" si="125"/>
        <v>0</v>
      </c>
      <c r="AT364" s="14">
        <f t="shared" si="125"/>
        <v>0</v>
      </c>
      <c r="AU364" s="14">
        <f t="shared" si="125"/>
        <v>0</v>
      </c>
      <c r="AV364" s="14">
        <f t="shared" si="125"/>
        <v>0</v>
      </c>
      <c r="AW364" s="14">
        <f t="shared" si="125"/>
        <v>0</v>
      </c>
      <c r="AX364" s="14">
        <f t="shared" si="125"/>
        <v>0</v>
      </c>
      <c r="AY364" s="14">
        <f t="shared" si="125"/>
        <v>0</v>
      </c>
      <c r="AZ364" s="14">
        <f t="shared" si="125"/>
        <v>0</v>
      </c>
      <c r="BA364" s="14">
        <f t="shared" si="125"/>
        <v>0</v>
      </c>
      <c r="BB364" s="14">
        <f t="shared" si="125"/>
        <v>0</v>
      </c>
      <c r="BC364" s="14">
        <f t="shared" si="125"/>
        <v>0</v>
      </c>
      <c r="BD364" s="14">
        <f t="shared" si="125"/>
        <v>0</v>
      </c>
      <c r="BE364" s="14">
        <f t="shared" si="125"/>
        <v>0</v>
      </c>
      <c r="BG364" s="14">
        <f t="shared" si="114"/>
        <v>76974.985355648547</v>
      </c>
      <c r="BH364" s="14">
        <f t="shared" si="114"/>
        <v>0</v>
      </c>
      <c r="BI364" s="14">
        <f t="shared" si="114"/>
        <v>0</v>
      </c>
      <c r="BJ364" s="14">
        <f t="shared" si="114"/>
        <v>0</v>
      </c>
      <c r="BK364" s="14">
        <f t="shared" si="114"/>
        <v>0</v>
      </c>
      <c r="BL364" s="14">
        <f t="shared" si="114"/>
        <v>0</v>
      </c>
      <c r="BM364" s="14">
        <f t="shared" si="114"/>
        <v>0</v>
      </c>
    </row>
    <row r="365" spans="6:65">
      <c r="F365" s="18" t="str">
        <f t="shared" si="111"/>
        <v>Sanitary Fittings</v>
      </c>
      <c r="G365" s="17" t="str">
        <f t="shared" si="112"/>
        <v>£ 2022/23</v>
      </c>
      <c r="AA365" s="14">
        <f t="shared" ref="AA365:BE365" si="126">$K333*AA$347*AA$26</f>
        <v>11155.794979079499</v>
      </c>
      <c r="AB365" s="14">
        <f t="shared" si="126"/>
        <v>0</v>
      </c>
      <c r="AC365" s="14">
        <f t="shared" si="126"/>
        <v>0</v>
      </c>
      <c r="AD365" s="14">
        <f t="shared" si="126"/>
        <v>0</v>
      </c>
      <c r="AE365" s="14">
        <f t="shared" si="126"/>
        <v>0</v>
      </c>
      <c r="AF365" s="14">
        <f t="shared" si="126"/>
        <v>0</v>
      </c>
      <c r="AG365" s="14">
        <f t="shared" si="126"/>
        <v>0</v>
      </c>
      <c r="AH365" s="14">
        <f t="shared" si="126"/>
        <v>0</v>
      </c>
      <c r="AI365" s="14">
        <f t="shared" si="126"/>
        <v>0</v>
      </c>
      <c r="AJ365" s="14">
        <f t="shared" si="126"/>
        <v>0</v>
      </c>
      <c r="AK365" s="14">
        <f t="shared" si="126"/>
        <v>0</v>
      </c>
      <c r="AL365" s="14">
        <f t="shared" si="126"/>
        <v>0</v>
      </c>
      <c r="AM365" s="14">
        <f t="shared" si="126"/>
        <v>0</v>
      </c>
      <c r="AN365" s="14">
        <f t="shared" si="126"/>
        <v>0</v>
      </c>
      <c r="AO365" s="14">
        <f t="shared" si="126"/>
        <v>0</v>
      </c>
      <c r="AP365" s="14">
        <f t="shared" si="126"/>
        <v>0</v>
      </c>
      <c r="AQ365" s="14">
        <f t="shared" si="126"/>
        <v>0</v>
      </c>
      <c r="AR365" s="14">
        <f t="shared" si="126"/>
        <v>0</v>
      </c>
      <c r="AS365" s="14">
        <f t="shared" si="126"/>
        <v>0</v>
      </c>
      <c r="AT365" s="14">
        <f t="shared" si="126"/>
        <v>0</v>
      </c>
      <c r="AU365" s="14">
        <f t="shared" si="126"/>
        <v>0</v>
      </c>
      <c r="AV365" s="14">
        <f t="shared" si="126"/>
        <v>0</v>
      </c>
      <c r="AW365" s="14">
        <f t="shared" si="126"/>
        <v>0</v>
      </c>
      <c r="AX365" s="14">
        <f t="shared" si="126"/>
        <v>0</v>
      </c>
      <c r="AY365" s="14">
        <f t="shared" si="126"/>
        <v>0</v>
      </c>
      <c r="AZ365" s="14">
        <f t="shared" si="126"/>
        <v>0</v>
      </c>
      <c r="BA365" s="14">
        <f t="shared" si="126"/>
        <v>0</v>
      </c>
      <c r="BB365" s="14">
        <f t="shared" si="126"/>
        <v>0</v>
      </c>
      <c r="BC365" s="14">
        <f t="shared" si="126"/>
        <v>0</v>
      </c>
      <c r="BD365" s="14">
        <f t="shared" si="126"/>
        <v>0</v>
      </c>
      <c r="BE365" s="14">
        <f t="shared" si="126"/>
        <v>0</v>
      </c>
      <c r="BG365" s="14">
        <f t="shared" si="114"/>
        <v>11155.794979079499</v>
      </c>
      <c r="BH365" s="14">
        <f t="shared" si="114"/>
        <v>0</v>
      </c>
      <c r="BI365" s="14">
        <f t="shared" si="114"/>
        <v>0</v>
      </c>
      <c r="BJ365" s="14">
        <f t="shared" si="114"/>
        <v>0</v>
      </c>
      <c r="BK365" s="14">
        <f t="shared" si="114"/>
        <v>0</v>
      </c>
      <c r="BL365" s="14">
        <f t="shared" si="114"/>
        <v>0</v>
      </c>
      <c r="BM365" s="14">
        <f t="shared" si="114"/>
        <v>0</v>
      </c>
    </row>
    <row r="366" spans="6:65">
      <c r="F366" s="18" t="str">
        <f t="shared" si="111"/>
        <v>Services Equipment</v>
      </c>
      <c r="G366" s="17" t="str">
        <f t="shared" si="112"/>
        <v>£ 2022/23</v>
      </c>
      <c r="AA366" s="14">
        <f t="shared" ref="AA366:BE366" si="127">$K334*AA$347*AA$26</f>
        <v>90361.93933054393</v>
      </c>
      <c r="AB366" s="14">
        <f t="shared" si="127"/>
        <v>0</v>
      </c>
      <c r="AC366" s="14">
        <f t="shared" si="127"/>
        <v>0</v>
      </c>
      <c r="AD366" s="14">
        <f t="shared" si="127"/>
        <v>0</v>
      </c>
      <c r="AE366" s="14">
        <f t="shared" si="127"/>
        <v>0</v>
      </c>
      <c r="AF366" s="14">
        <f t="shared" si="127"/>
        <v>0</v>
      </c>
      <c r="AG366" s="14">
        <f t="shared" si="127"/>
        <v>0</v>
      </c>
      <c r="AH366" s="14">
        <f t="shared" si="127"/>
        <v>0</v>
      </c>
      <c r="AI366" s="14">
        <f t="shared" si="127"/>
        <v>0</v>
      </c>
      <c r="AJ366" s="14">
        <f t="shared" si="127"/>
        <v>0</v>
      </c>
      <c r="AK366" s="14">
        <f t="shared" si="127"/>
        <v>0</v>
      </c>
      <c r="AL366" s="14">
        <f t="shared" si="127"/>
        <v>0</v>
      </c>
      <c r="AM366" s="14">
        <f t="shared" si="127"/>
        <v>0</v>
      </c>
      <c r="AN366" s="14">
        <f t="shared" si="127"/>
        <v>0</v>
      </c>
      <c r="AO366" s="14">
        <f t="shared" si="127"/>
        <v>0</v>
      </c>
      <c r="AP366" s="14">
        <f t="shared" si="127"/>
        <v>0</v>
      </c>
      <c r="AQ366" s="14">
        <f t="shared" si="127"/>
        <v>0</v>
      </c>
      <c r="AR366" s="14">
        <f t="shared" si="127"/>
        <v>0</v>
      </c>
      <c r="AS366" s="14">
        <f t="shared" si="127"/>
        <v>0</v>
      </c>
      <c r="AT366" s="14">
        <f t="shared" si="127"/>
        <v>0</v>
      </c>
      <c r="AU366" s="14">
        <f t="shared" si="127"/>
        <v>0</v>
      </c>
      <c r="AV366" s="14">
        <f t="shared" si="127"/>
        <v>0</v>
      </c>
      <c r="AW366" s="14">
        <f t="shared" si="127"/>
        <v>0</v>
      </c>
      <c r="AX366" s="14">
        <f t="shared" si="127"/>
        <v>0</v>
      </c>
      <c r="AY366" s="14">
        <f t="shared" si="127"/>
        <v>0</v>
      </c>
      <c r="AZ366" s="14">
        <f t="shared" si="127"/>
        <v>0</v>
      </c>
      <c r="BA366" s="14">
        <f t="shared" si="127"/>
        <v>0</v>
      </c>
      <c r="BB366" s="14">
        <f t="shared" si="127"/>
        <v>0</v>
      </c>
      <c r="BC366" s="14">
        <f t="shared" si="127"/>
        <v>0</v>
      </c>
      <c r="BD366" s="14">
        <f t="shared" si="127"/>
        <v>0</v>
      </c>
      <c r="BE366" s="14">
        <f t="shared" si="127"/>
        <v>0</v>
      </c>
      <c r="BG366" s="14">
        <f t="shared" si="114"/>
        <v>90361.93933054393</v>
      </c>
      <c r="BH366" s="14">
        <f t="shared" si="114"/>
        <v>0</v>
      </c>
      <c r="BI366" s="14">
        <f t="shared" si="114"/>
        <v>0</v>
      </c>
      <c r="BJ366" s="14">
        <f t="shared" si="114"/>
        <v>0</v>
      </c>
      <c r="BK366" s="14">
        <f t="shared" si="114"/>
        <v>0</v>
      </c>
      <c r="BL366" s="14">
        <f t="shared" si="114"/>
        <v>0</v>
      </c>
      <c r="BM366" s="14">
        <f t="shared" si="114"/>
        <v>0</v>
      </c>
    </row>
    <row r="367" spans="6:65">
      <c r="F367" s="18" t="str">
        <f t="shared" si="111"/>
        <v>Disposal Installations</v>
      </c>
      <c r="G367" s="17" t="str">
        <f t="shared" si="112"/>
        <v>£ 2022/23</v>
      </c>
      <c r="AA367" s="14">
        <f t="shared" ref="AA367:BE367" si="128">$K335*AA$347*AA$26</f>
        <v>17849.271966527198</v>
      </c>
      <c r="AB367" s="14">
        <f t="shared" si="128"/>
        <v>0</v>
      </c>
      <c r="AC367" s="14">
        <f t="shared" si="128"/>
        <v>0</v>
      </c>
      <c r="AD367" s="14">
        <f t="shared" si="128"/>
        <v>0</v>
      </c>
      <c r="AE367" s="14">
        <f t="shared" si="128"/>
        <v>0</v>
      </c>
      <c r="AF367" s="14">
        <f t="shared" si="128"/>
        <v>0</v>
      </c>
      <c r="AG367" s="14">
        <f t="shared" si="128"/>
        <v>0</v>
      </c>
      <c r="AH367" s="14">
        <f t="shared" si="128"/>
        <v>0</v>
      </c>
      <c r="AI367" s="14">
        <f t="shared" si="128"/>
        <v>0</v>
      </c>
      <c r="AJ367" s="14">
        <f t="shared" si="128"/>
        <v>0</v>
      </c>
      <c r="AK367" s="14">
        <f t="shared" si="128"/>
        <v>0</v>
      </c>
      <c r="AL367" s="14">
        <f t="shared" si="128"/>
        <v>0</v>
      </c>
      <c r="AM367" s="14">
        <f t="shared" si="128"/>
        <v>0</v>
      </c>
      <c r="AN367" s="14">
        <f t="shared" si="128"/>
        <v>0</v>
      </c>
      <c r="AO367" s="14">
        <f t="shared" si="128"/>
        <v>0</v>
      </c>
      <c r="AP367" s="14">
        <f t="shared" si="128"/>
        <v>0</v>
      </c>
      <c r="AQ367" s="14">
        <f t="shared" si="128"/>
        <v>0</v>
      </c>
      <c r="AR367" s="14">
        <f t="shared" si="128"/>
        <v>0</v>
      </c>
      <c r="AS367" s="14">
        <f t="shared" si="128"/>
        <v>0</v>
      </c>
      <c r="AT367" s="14">
        <f t="shared" si="128"/>
        <v>0</v>
      </c>
      <c r="AU367" s="14">
        <f t="shared" si="128"/>
        <v>0</v>
      </c>
      <c r="AV367" s="14">
        <f t="shared" si="128"/>
        <v>0</v>
      </c>
      <c r="AW367" s="14">
        <f t="shared" si="128"/>
        <v>0</v>
      </c>
      <c r="AX367" s="14">
        <f t="shared" si="128"/>
        <v>0</v>
      </c>
      <c r="AY367" s="14">
        <f t="shared" si="128"/>
        <v>0</v>
      </c>
      <c r="AZ367" s="14">
        <f t="shared" si="128"/>
        <v>0</v>
      </c>
      <c r="BA367" s="14">
        <f t="shared" si="128"/>
        <v>0</v>
      </c>
      <c r="BB367" s="14">
        <f t="shared" si="128"/>
        <v>0</v>
      </c>
      <c r="BC367" s="14">
        <f t="shared" si="128"/>
        <v>0</v>
      </c>
      <c r="BD367" s="14">
        <f t="shared" si="128"/>
        <v>0</v>
      </c>
      <c r="BE367" s="14">
        <f t="shared" si="128"/>
        <v>0</v>
      </c>
      <c r="BG367" s="14">
        <f t="shared" si="114"/>
        <v>17849.271966527198</v>
      </c>
      <c r="BH367" s="14">
        <f t="shared" si="114"/>
        <v>0</v>
      </c>
      <c r="BI367" s="14">
        <f t="shared" si="114"/>
        <v>0</v>
      </c>
      <c r="BJ367" s="14">
        <f t="shared" si="114"/>
        <v>0</v>
      </c>
      <c r="BK367" s="14">
        <f t="shared" si="114"/>
        <v>0</v>
      </c>
      <c r="BL367" s="14">
        <f t="shared" si="114"/>
        <v>0</v>
      </c>
      <c r="BM367" s="14">
        <f t="shared" si="114"/>
        <v>0</v>
      </c>
    </row>
    <row r="368" spans="6:65">
      <c r="F368" s="18" t="str">
        <f t="shared" si="111"/>
        <v>Water Installations</v>
      </c>
      <c r="G368" s="17" t="str">
        <f t="shared" si="112"/>
        <v>£ 2022/23</v>
      </c>
      <c r="AA368" s="14">
        <f t="shared" ref="AA368:BE368" si="129">$K336*AA$347*AA$26</f>
        <v>14502.53347280335</v>
      </c>
      <c r="AB368" s="14">
        <f t="shared" si="129"/>
        <v>0</v>
      </c>
      <c r="AC368" s="14">
        <f t="shared" si="129"/>
        <v>0</v>
      </c>
      <c r="AD368" s="14">
        <f t="shared" si="129"/>
        <v>0</v>
      </c>
      <c r="AE368" s="14">
        <f t="shared" si="129"/>
        <v>0</v>
      </c>
      <c r="AF368" s="14">
        <f t="shared" si="129"/>
        <v>0</v>
      </c>
      <c r="AG368" s="14">
        <f t="shared" si="129"/>
        <v>0</v>
      </c>
      <c r="AH368" s="14">
        <f t="shared" si="129"/>
        <v>0</v>
      </c>
      <c r="AI368" s="14">
        <f t="shared" si="129"/>
        <v>0</v>
      </c>
      <c r="AJ368" s="14">
        <f t="shared" si="129"/>
        <v>0</v>
      </c>
      <c r="AK368" s="14">
        <f t="shared" si="129"/>
        <v>0</v>
      </c>
      <c r="AL368" s="14">
        <f t="shared" si="129"/>
        <v>0</v>
      </c>
      <c r="AM368" s="14">
        <f t="shared" si="129"/>
        <v>0</v>
      </c>
      <c r="AN368" s="14">
        <f t="shared" si="129"/>
        <v>0</v>
      </c>
      <c r="AO368" s="14">
        <f t="shared" si="129"/>
        <v>0</v>
      </c>
      <c r="AP368" s="14">
        <f t="shared" si="129"/>
        <v>0</v>
      </c>
      <c r="AQ368" s="14">
        <f t="shared" si="129"/>
        <v>0</v>
      </c>
      <c r="AR368" s="14">
        <f t="shared" si="129"/>
        <v>0</v>
      </c>
      <c r="AS368" s="14">
        <f t="shared" si="129"/>
        <v>0</v>
      </c>
      <c r="AT368" s="14">
        <f t="shared" si="129"/>
        <v>0</v>
      </c>
      <c r="AU368" s="14">
        <f t="shared" si="129"/>
        <v>0</v>
      </c>
      <c r="AV368" s="14">
        <f t="shared" si="129"/>
        <v>0</v>
      </c>
      <c r="AW368" s="14">
        <f t="shared" si="129"/>
        <v>0</v>
      </c>
      <c r="AX368" s="14">
        <f t="shared" si="129"/>
        <v>0</v>
      </c>
      <c r="AY368" s="14">
        <f t="shared" si="129"/>
        <v>0</v>
      </c>
      <c r="AZ368" s="14">
        <f t="shared" si="129"/>
        <v>0</v>
      </c>
      <c r="BA368" s="14">
        <f t="shared" si="129"/>
        <v>0</v>
      </c>
      <c r="BB368" s="14">
        <f t="shared" si="129"/>
        <v>0</v>
      </c>
      <c r="BC368" s="14">
        <f t="shared" si="129"/>
        <v>0</v>
      </c>
      <c r="BD368" s="14">
        <f t="shared" si="129"/>
        <v>0</v>
      </c>
      <c r="BE368" s="14">
        <f t="shared" si="129"/>
        <v>0</v>
      </c>
      <c r="BG368" s="14">
        <f t="shared" si="114"/>
        <v>14502.53347280335</v>
      </c>
      <c r="BH368" s="14">
        <f t="shared" si="114"/>
        <v>0</v>
      </c>
      <c r="BI368" s="14">
        <f t="shared" si="114"/>
        <v>0</v>
      </c>
      <c r="BJ368" s="14">
        <f t="shared" si="114"/>
        <v>0</v>
      </c>
      <c r="BK368" s="14">
        <f t="shared" si="114"/>
        <v>0</v>
      </c>
      <c r="BL368" s="14">
        <f t="shared" si="114"/>
        <v>0</v>
      </c>
      <c r="BM368" s="14">
        <f t="shared" si="114"/>
        <v>0</v>
      </c>
    </row>
    <row r="369" spans="1:65">
      <c r="F369" s="18" t="str">
        <f t="shared" si="111"/>
        <v>Space Heating &amp; Air Treatment</v>
      </c>
      <c r="G369" s="17" t="str">
        <f t="shared" si="112"/>
        <v>£ 2022/23</v>
      </c>
      <c r="AA369" s="14">
        <f t="shared" ref="AA369:BE369" si="130">$K337*AA$347*AA$26</f>
        <v>497548.45606694568</v>
      </c>
      <c r="AB369" s="14">
        <f t="shared" si="130"/>
        <v>0</v>
      </c>
      <c r="AC369" s="14">
        <f t="shared" si="130"/>
        <v>0</v>
      </c>
      <c r="AD369" s="14">
        <f t="shared" si="130"/>
        <v>0</v>
      </c>
      <c r="AE369" s="14">
        <f t="shared" si="130"/>
        <v>0</v>
      </c>
      <c r="AF369" s="14">
        <f t="shared" si="130"/>
        <v>0</v>
      </c>
      <c r="AG369" s="14">
        <f t="shared" si="130"/>
        <v>0</v>
      </c>
      <c r="AH369" s="14">
        <f t="shared" si="130"/>
        <v>0</v>
      </c>
      <c r="AI369" s="14">
        <f t="shared" si="130"/>
        <v>0</v>
      </c>
      <c r="AJ369" s="14">
        <f t="shared" si="130"/>
        <v>0</v>
      </c>
      <c r="AK369" s="14">
        <f t="shared" si="130"/>
        <v>0</v>
      </c>
      <c r="AL369" s="14">
        <f t="shared" si="130"/>
        <v>0</v>
      </c>
      <c r="AM369" s="14">
        <f t="shared" si="130"/>
        <v>0</v>
      </c>
      <c r="AN369" s="14">
        <f t="shared" si="130"/>
        <v>0</v>
      </c>
      <c r="AO369" s="14">
        <f t="shared" si="130"/>
        <v>0</v>
      </c>
      <c r="AP369" s="14">
        <f t="shared" si="130"/>
        <v>0</v>
      </c>
      <c r="AQ369" s="14">
        <f t="shared" si="130"/>
        <v>0</v>
      </c>
      <c r="AR369" s="14">
        <f t="shared" si="130"/>
        <v>0</v>
      </c>
      <c r="AS369" s="14">
        <f t="shared" si="130"/>
        <v>0</v>
      </c>
      <c r="AT369" s="14">
        <f t="shared" si="130"/>
        <v>0</v>
      </c>
      <c r="AU369" s="14">
        <f t="shared" si="130"/>
        <v>0</v>
      </c>
      <c r="AV369" s="14">
        <f t="shared" si="130"/>
        <v>0</v>
      </c>
      <c r="AW369" s="14">
        <f t="shared" si="130"/>
        <v>0</v>
      </c>
      <c r="AX369" s="14">
        <f t="shared" si="130"/>
        <v>0</v>
      </c>
      <c r="AY369" s="14">
        <f t="shared" si="130"/>
        <v>0</v>
      </c>
      <c r="AZ369" s="14">
        <f t="shared" si="130"/>
        <v>0</v>
      </c>
      <c r="BA369" s="14">
        <f t="shared" si="130"/>
        <v>0</v>
      </c>
      <c r="BB369" s="14">
        <f t="shared" si="130"/>
        <v>0</v>
      </c>
      <c r="BC369" s="14">
        <f t="shared" si="130"/>
        <v>0</v>
      </c>
      <c r="BD369" s="14">
        <f t="shared" si="130"/>
        <v>0</v>
      </c>
      <c r="BE369" s="14">
        <f t="shared" si="130"/>
        <v>0</v>
      </c>
      <c r="BG369" s="14">
        <f t="shared" si="114"/>
        <v>497548.45606694568</v>
      </c>
      <c r="BH369" s="14">
        <f t="shared" si="114"/>
        <v>0</v>
      </c>
      <c r="BI369" s="14">
        <f t="shared" si="114"/>
        <v>0</v>
      </c>
      <c r="BJ369" s="14">
        <f t="shared" si="114"/>
        <v>0</v>
      </c>
      <c r="BK369" s="14">
        <f t="shared" si="114"/>
        <v>0</v>
      </c>
      <c r="BL369" s="14">
        <f t="shared" si="114"/>
        <v>0</v>
      </c>
      <c r="BM369" s="14">
        <f t="shared" si="114"/>
        <v>0</v>
      </c>
    </row>
    <row r="370" spans="1:65">
      <c r="F370" s="18" t="str">
        <f t="shared" si="111"/>
        <v>Electrical Installations</v>
      </c>
      <c r="G370" s="17" t="str">
        <f t="shared" si="112"/>
        <v>£ 2022/23</v>
      </c>
      <c r="AA370" s="14">
        <f t="shared" ref="AA370:BE370" si="131">$K338*AA$347*AA$26</f>
        <v>184070.61715481171</v>
      </c>
      <c r="AB370" s="14">
        <f t="shared" si="131"/>
        <v>0</v>
      </c>
      <c r="AC370" s="14">
        <f t="shared" si="131"/>
        <v>0</v>
      </c>
      <c r="AD370" s="14">
        <f t="shared" si="131"/>
        <v>0</v>
      </c>
      <c r="AE370" s="14">
        <f t="shared" si="131"/>
        <v>0</v>
      </c>
      <c r="AF370" s="14">
        <f t="shared" si="131"/>
        <v>0</v>
      </c>
      <c r="AG370" s="14">
        <f t="shared" si="131"/>
        <v>0</v>
      </c>
      <c r="AH370" s="14">
        <f t="shared" si="131"/>
        <v>0</v>
      </c>
      <c r="AI370" s="14">
        <f t="shared" si="131"/>
        <v>0</v>
      </c>
      <c r="AJ370" s="14">
        <f t="shared" si="131"/>
        <v>0</v>
      </c>
      <c r="AK370" s="14">
        <f t="shared" si="131"/>
        <v>0</v>
      </c>
      <c r="AL370" s="14">
        <f t="shared" si="131"/>
        <v>0</v>
      </c>
      <c r="AM370" s="14">
        <f t="shared" si="131"/>
        <v>0</v>
      </c>
      <c r="AN370" s="14">
        <f t="shared" si="131"/>
        <v>0</v>
      </c>
      <c r="AO370" s="14">
        <f t="shared" si="131"/>
        <v>0</v>
      </c>
      <c r="AP370" s="14">
        <f t="shared" si="131"/>
        <v>0</v>
      </c>
      <c r="AQ370" s="14">
        <f t="shared" si="131"/>
        <v>0</v>
      </c>
      <c r="AR370" s="14">
        <f t="shared" si="131"/>
        <v>0</v>
      </c>
      <c r="AS370" s="14">
        <f t="shared" si="131"/>
        <v>0</v>
      </c>
      <c r="AT370" s="14">
        <f t="shared" si="131"/>
        <v>0</v>
      </c>
      <c r="AU370" s="14">
        <f t="shared" si="131"/>
        <v>0</v>
      </c>
      <c r="AV370" s="14">
        <f t="shared" si="131"/>
        <v>0</v>
      </c>
      <c r="AW370" s="14">
        <f t="shared" si="131"/>
        <v>0</v>
      </c>
      <c r="AX370" s="14">
        <f t="shared" si="131"/>
        <v>0</v>
      </c>
      <c r="AY370" s="14">
        <f t="shared" si="131"/>
        <v>0</v>
      </c>
      <c r="AZ370" s="14">
        <f t="shared" si="131"/>
        <v>0</v>
      </c>
      <c r="BA370" s="14">
        <f t="shared" si="131"/>
        <v>0</v>
      </c>
      <c r="BB370" s="14">
        <f t="shared" si="131"/>
        <v>0</v>
      </c>
      <c r="BC370" s="14">
        <f t="shared" si="131"/>
        <v>0</v>
      </c>
      <c r="BD370" s="14">
        <f t="shared" si="131"/>
        <v>0</v>
      </c>
      <c r="BE370" s="14">
        <f t="shared" si="131"/>
        <v>0</v>
      </c>
      <c r="BG370" s="14">
        <f t="shared" si="114"/>
        <v>184070.61715481171</v>
      </c>
      <c r="BH370" s="14">
        <f t="shared" si="114"/>
        <v>0</v>
      </c>
      <c r="BI370" s="14">
        <f t="shared" si="114"/>
        <v>0</v>
      </c>
      <c r="BJ370" s="14">
        <f t="shared" si="114"/>
        <v>0</v>
      </c>
      <c r="BK370" s="14">
        <f t="shared" si="114"/>
        <v>0</v>
      </c>
      <c r="BL370" s="14">
        <f t="shared" si="114"/>
        <v>0</v>
      </c>
      <c r="BM370" s="14">
        <f t="shared" si="114"/>
        <v>0</v>
      </c>
    </row>
    <row r="371" spans="1:65">
      <c r="F371" s="18" t="str">
        <f t="shared" si="111"/>
        <v>Lift Installations</v>
      </c>
      <c r="G371" s="17" t="str">
        <f t="shared" si="112"/>
        <v>£ 2022/23</v>
      </c>
      <c r="AA371" s="14">
        <f t="shared" ref="AA371:BE371" si="132">$K339*AA$347*AA$26</f>
        <v>12271.374476987448</v>
      </c>
      <c r="AB371" s="14">
        <f t="shared" si="132"/>
        <v>0</v>
      </c>
      <c r="AC371" s="14">
        <f t="shared" si="132"/>
        <v>0</v>
      </c>
      <c r="AD371" s="14">
        <f t="shared" si="132"/>
        <v>0</v>
      </c>
      <c r="AE371" s="14">
        <f t="shared" si="132"/>
        <v>0</v>
      </c>
      <c r="AF371" s="14">
        <f t="shared" si="132"/>
        <v>0</v>
      </c>
      <c r="AG371" s="14">
        <f t="shared" si="132"/>
        <v>0</v>
      </c>
      <c r="AH371" s="14">
        <f t="shared" si="132"/>
        <v>0</v>
      </c>
      <c r="AI371" s="14">
        <f t="shared" si="132"/>
        <v>0</v>
      </c>
      <c r="AJ371" s="14">
        <f t="shared" si="132"/>
        <v>0</v>
      </c>
      <c r="AK371" s="14">
        <f t="shared" si="132"/>
        <v>0</v>
      </c>
      <c r="AL371" s="14">
        <f t="shared" si="132"/>
        <v>0</v>
      </c>
      <c r="AM371" s="14">
        <f t="shared" si="132"/>
        <v>0</v>
      </c>
      <c r="AN371" s="14">
        <f t="shared" si="132"/>
        <v>0</v>
      </c>
      <c r="AO371" s="14">
        <f t="shared" si="132"/>
        <v>0</v>
      </c>
      <c r="AP371" s="14">
        <f t="shared" si="132"/>
        <v>0</v>
      </c>
      <c r="AQ371" s="14">
        <f t="shared" si="132"/>
        <v>0</v>
      </c>
      <c r="AR371" s="14">
        <f t="shared" si="132"/>
        <v>0</v>
      </c>
      <c r="AS371" s="14">
        <f t="shared" si="132"/>
        <v>0</v>
      </c>
      <c r="AT371" s="14">
        <f t="shared" si="132"/>
        <v>0</v>
      </c>
      <c r="AU371" s="14">
        <f t="shared" si="132"/>
        <v>0</v>
      </c>
      <c r="AV371" s="14">
        <f t="shared" si="132"/>
        <v>0</v>
      </c>
      <c r="AW371" s="14">
        <f t="shared" si="132"/>
        <v>0</v>
      </c>
      <c r="AX371" s="14">
        <f t="shared" si="132"/>
        <v>0</v>
      </c>
      <c r="AY371" s="14">
        <f t="shared" si="132"/>
        <v>0</v>
      </c>
      <c r="AZ371" s="14">
        <f t="shared" si="132"/>
        <v>0</v>
      </c>
      <c r="BA371" s="14">
        <f t="shared" si="132"/>
        <v>0</v>
      </c>
      <c r="BB371" s="14">
        <f t="shared" si="132"/>
        <v>0</v>
      </c>
      <c r="BC371" s="14">
        <f t="shared" si="132"/>
        <v>0</v>
      </c>
      <c r="BD371" s="14">
        <f t="shared" si="132"/>
        <v>0</v>
      </c>
      <c r="BE371" s="14">
        <f t="shared" si="132"/>
        <v>0</v>
      </c>
      <c r="BG371" s="14">
        <f t="shared" si="114"/>
        <v>12271.374476987448</v>
      </c>
      <c r="BH371" s="14">
        <f t="shared" si="114"/>
        <v>0</v>
      </c>
      <c r="BI371" s="14">
        <f t="shared" si="114"/>
        <v>0</v>
      </c>
      <c r="BJ371" s="14">
        <f t="shared" si="114"/>
        <v>0</v>
      </c>
      <c r="BK371" s="14">
        <f t="shared" si="114"/>
        <v>0</v>
      </c>
      <c r="BL371" s="14">
        <f t="shared" si="114"/>
        <v>0</v>
      </c>
      <c r="BM371" s="14">
        <f t="shared" si="114"/>
        <v>0</v>
      </c>
    </row>
    <row r="372" spans="1:65">
      <c r="F372" s="18" t="str">
        <f t="shared" si="111"/>
        <v>Protective Installations</v>
      </c>
      <c r="G372" s="17" t="str">
        <f t="shared" si="112"/>
        <v>£ 2022/23</v>
      </c>
      <c r="AA372" s="14">
        <f t="shared" ref="AA372:BE372" si="133">$K340*AA$347*AA$26</f>
        <v>15618.112970711298</v>
      </c>
      <c r="AB372" s="14">
        <f t="shared" si="133"/>
        <v>0</v>
      </c>
      <c r="AC372" s="14">
        <f t="shared" si="133"/>
        <v>0</v>
      </c>
      <c r="AD372" s="14">
        <f t="shared" si="133"/>
        <v>0</v>
      </c>
      <c r="AE372" s="14">
        <f t="shared" si="133"/>
        <v>0</v>
      </c>
      <c r="AF372" s="14">
        <f t="shared" si="133"/>
        <v>0</v>
      </c>
      <c r="AG372" s="14">
        <f t="shared" si="133"/>
        <v>0</v>
      </c>
      <c r="AH372" s="14">
        <f t="shared" si="133"/>
        <v>0</v>
      </c>
      <c r="AI372" s="14">
        <f t="shared" si="133"/>
        <v>0</v>
      </c>
      <c r="AJ372" s="14">
        <f t="shared" si="133"/>
        <v>0</v>
      </c>
      <c r="AK372" s="14">
        <f t="shared" si="133"/>
        <v>0</v>
      </c>
      <c r="AL372" s="14">
        <f t="shared" si="133"/>
        <v>0</v>
      </c>
      <c r="AM372" s="14">
        <f t="shared" si="133"/>
        <v>0</v>
      </c>
      <c r="AN372" s="14">
        <f t="shared" si="133"/>
        <v>0</v>
      </c>
      <c r="AO372" s="14">
        <f t="shared" si="133"/>
        <v>0</v>
      </c>
      <c r="AP372" s="14">
        <f t="shared" si="133"/>
        <v>0</v>
      </c>
      <c r="AQ372" s="14">
        <f t="shared" si="133"/>
        <v>0</v>
      </c>
      <c r="AR372" s="14">
        <f t="shared" si="133"/>
        <v>0</v>
      </c>
      <c r="AS372" s="14">
        <f t="shared" si="133"/>
        <v>0</v>
      </c>
      <c r="AT372" s="14">
        <f t="shared" si="133"/>
        <v>0</v>
      </c>
      <c r="AU372" s="14">
        <f t="shared" si="133"/>
        <v>0</v>
      </c>
      <c r="AV372" s="14">
        <f t="shared" si="133"/>
        <v>0</v>
      </c>
      <c r="AW372" s="14">
        <f t="shared" si="133"/>
        <v>0</v>
      </c>
      <c r="AX372" s="14">
        <f t="shared" si="133"/>
        <v>0</v>
      </c>
      <c r="AY372" s="14">
        <f t="shared" si="133"/>
        <v>0</v>
      </c>
      <c r="AZ372" s="14">
        <f t="shared" si="133"/>
        <v>0</v>
      </c>
      <c r="BA372" s="14">
        <f t="shared" si="133"/>
        <v>0</v>
      </c>
      <c r="BB372" s="14">
        <f t="shared" si="133"/>
        <v>0</v>
      </c>
      <c r="BC372" s="14">
        <f t="shared" si="133"/>
        <v>0</v>
      </c>
      <c r="BD372" s="14">
        <f t="shared" si="133"/>
        <v>0</v>
      </c>
      <c r="BE372" s="14">
        <f t="shared" si="133"/>
        <v>0</v>
      </c>
      <c r="BG372" s="14">
        <f t="shared" si="114"/>
        <v>15618.112970711298</v>
      </c>
      <c r="BH372" s="14">
        <f t="shared" si="114"/>
        <v>0</v>
      </c>
      <c r="BI372" s="14">
        <f t="shared" si="114"/>
        <v>0</v>
      </c>
      <c r="BJ372" s="14">
        <f t="shared" si="114"/>
        <v>0</v>
      </c>
      <c r="BK372" s="14">
        <f t="shared" si="114"/>
        <v>0</v>
      </c>
      <c r="BL372" s="14">
        <f t="shared" si="114"/>
        <v>0</v>
      </c>
      <c r="BM372" s="14">
        <f t="shared" si="114"/>
        <v>0</v>
      </c>
    </row>
    <row r="373" spans="1:65">
      <c r="F373" s="18" t="str">
        <f t="shared" si="111"/>
        <v>Communications Installations</v>
      </c>
      <c r="G373" s="17" t="str">
        <f t="shared" si="112"/>
        <v>£ 2022/23</v>
      </c>
      <c r="AA373" s="14">
        <f t="shared" ref="AA373:BE373" si="134">$K341*AA$347*AA$26</f>
        <v>264392.34100418416</v>
      </c>
      <c r="AB373" s="14">
        <f t="shared" si="134"/>
        <v>0</v>
      </c>
      <c r="AC373" s="14">
        <f t="shared" si="134"/>
        <v>0</v>
      </c>
      <c r="AD373" s="14">
        <f t="shared" si="134"/>
        <v>0</v>
      </c>
      <c r="AE373" s="14">
        <f t="shared" si="134"/>
        <v>0</v>
      </c>
      <c r="AF373" s="14">
        <f t="shared" si="134"/>
        <v>0</v>
      </c>
      <c r="AG373" s="14">
        <f t="shared" si="134"/>
        <v>0</v>
      </c>
      <c r="AH373" s="14">
        <f t="shared" si="134"/>
        <v>0</v>
      </c>
      <c r="AI373" s="14">
        <f t="shared" si="134"/>
        <v>0</v>
      </c>
      <c r="AJ373" s="14">
        <f t="shared" si="134"/>
        <v>0</v>
      </c>
      <c r="AK373" s="14">
        <f t="shared" si="134"/>
        <v>0</v>
      </c>
      <c r="AL373" s="14">
        <f t="shared" si="134"/>
        <v>0</v>
      </c>
      <c r="AM373" s="14">
        <f t="shared" si="134"/>
        <v>0</v>
      </c>
      <c r="AN373" s="14">
        <f t="shared" si="134"/>
        <v>0</v>
      </c>
      <c r="AO373" s="14">
        <f t="shared" si="134"/>
        <v>0</v>
      </c>
      <c r="AP373" s="14">
        <f t="shared" si="134"/>
        <v>0</v>
      </c>
      <c r="AQ373" s="14">
        <f t="shared" si="134"/>
        <v>0</v>
      </c>
      <c r="AR373" s="14">
        <f t="shared" si="134"/>
        <v>0</v>
      </c>
      <c r="AS373" s="14">
        <f t="shared" si="134"/>
        <v>0</v>
      </c>
      <c r="AT373" s="14">
        <f t="shared" si="134"/>
        <v>0</v>
      </c>
      <c r="AU373" s="14">
        <f t="shared" si="134"/>
        <v>0</v>
      </c>
      <c r="AV373" s="14">
        <f t="shared" si="134"/>
        <v>0</v>
      </c>
      <c r="AW373" s="14">
        <f t="shared" si="134"/>
        <v>0</v>
      </c>
      <c r="AX373" s="14">
        <f t="shared" si="134"/>
        <v>0</v>
      </c>
      <c r="AY373" s="14">
        <f t="shared" si="134"/>
        <v>0</v>
      </c>
      <c r="AZ373" s="14">
        <f t="shared" si="134"/>
        <v>0</v>
      </c>
      <c r="BA373" s="14">
        <f t="shared" si="134"/>
        <v>0</v>
      </c>
      <c r="BB373" s="14">
        <f t="shared" si="134"/>
        <v>0</v>
      </c>
      <c r="BC373" s="14">
        <f t="shared" si="134"/>
        <v>0</v>
      </c>
      <c r="BD373" s="14">
        <f t="shared" si="134"/>
        <v>0</v>
      </c>
      <c r="BE373" s="14">
        <f t="shared" si="134"/>
        <v>0</v>
      </c>
      <c r="BG373" s="14">
        <f t="shared" si="114"/>
        <v>264392.34100418416</v>
      </c>
      <c r="BH373" s="14">
        <f t="shared" si="114"/>
        <v>0</v>
      </c>
      <c r="BI373" s="14">
        <f t="shared" si="114"/>
        <v>0</v>
      </c>
      <c r="BJ373" s="14">
        <f t="shared" si="114"/>
        <v>0</v>
      </c>
      <c r="BK373" s="14">
        <f t="shared" si="114"/>
        <v>0</v>
      </c>
      <c r="BL373" s="14">
        <f t="shared" si="114"/>
        <v>0</v>
      </c>
      <c r="BM373" s="14">
        <f t="shared" si="114"/>
        <v>0</v>
      </c>
    </row>
    <row r="374" spans="1:65">
      <c r="F374" s="18" t="str">
        <f t="shared" si="111"/>
        <v>Special Installations</v>
      </c>
      <c r="G374" s="17" t="str">
        <f t="shared" si="112"/>
        <v>£ 2022/23</v>
      </c>
      <c r="AA374" s="14">
        <f t="shared" ref="AA374:BE374" si="135">$K342*AA$347*AA$26</f>
        <v>71397.087866108792</v>
      </c>
      <c r="AB374" s="14">
        <f t="shared" si="135"/>
        <v>0</v>
      </c>
      <c r="AC374" s="14">
        <f t="shared" si="135"/>
        <v>0</v>
      </c>
      <c r="AD374" s="14">
        <f t="shared" si="135"/>
        <v>0</v>
      </c>
      <c r="AE374" s="14">
        <f t="shared" si="135"/>
        <v>0</v>
      </c>
      <c r="AF374" s="14">
        <f t="shared" si="135"/>
        <v>0</v>
      </c>
      <c r="AG374" s="14">
        <f t="shared" si="135"/>
        <v>0</v>
      </c>
      <c r="AH374" s="14">
        <f t="shared" si="135"/>
        <v>0</v>
      </c>
      <c r="AI374" s="14">
        <f t="shared" si="135"/>
        <v>0</v>
      </c>
      <c r="AJ374" s="14">
        <f t="shared" si="135"/>
        <v>0</v>
      </c>
      <c r="AK374" s="14">
        <f t="shared" si="135"/>
        <v>0</v>
      </c>
      <c r="AL374" s="14">
        <f t="shared" si="135"/>
        <v>0</v>
      </c>
      <c r="AM374" s="14">
        <f t="shared" si="135"/>
        <v>0</v>
      </c>
      <c r="AN374" s="14">
        <f t="shared" si="135"/>
        <v>0</v>
      </c>
      <c r="AO374" s="14">
        <f t="shared" si="135"/>
        <v>0</v>
      </c>
      <c r="AP374" s="14">
        <f t="shared" si="135"/>
        <v>0</v>
      </c>
      <c r="AQ374" s="14">
        <f t="shared" si="135"/>
        <v>0</v>
      </c>
      <c r="AR374" s="14">
        <f t="shared" si="135"/>
        <v>0</v>
      </c>
      <c r="AS374" s="14">
        <f t="shared" si="135"/>
        <v>0</v>
      </c>
      <c r="AT374" s="14">
        <f t="shared" si="135"/>
        <v>0</v>
      </c>
      <c r="AU374" s="14">
        <f t="shared" si="135"/>
        <v>0</v>
      </c>
      <c r="AV374" s="14">
        <f t="shared" si="135"/>
        <v>0</v>
      </c>
      <c r="AW374" s="14">
        <f t="shared" si="135"/>
        <v>0</v>
      </c>
      <c r="AX374" s="14">
        <f t="shared" si="135"/>
        <v>0</v>
      </c>
      <c r="AY374" s="14">
        <f t="shared" si="135"/>
        <v>0</v>
      </c>
      <c r="AZ374" s="14">
        <f t="shared" si="135"/>
        <v>0</v>
      </c>
      <c r="BA374" s="14">
        <f t="shared" si="135"/>
        <v>0</v>
      </c>
      <c r="BB374" s="14">
        <f t="shared" si="135"/>
        <v>0</v>
      </c>
      <c r="BC374" s="14">
        <f t="shared" si="135"/>
        <v>0</v>
      </c>
      <c r="BD374" s="14">
        <f t="shared" si="135"/>
        <v>0</v>
      </c>
      <c r="BE374" s="14">
        <f t="shared" si="135"/>
        <v>0</v>
      </c>
      <c r="BG374" s="14">
        <f t="shared" si="114"/>
        <v>71397.087866108792</v>
      </c>
      <c r="BH374" s="14">
        <f t="shared" si="114"/>
        <v>0</v>
      </c>
      <c r="BI374" s="14">
        <f t="shared" si="114"/>
        <v>0</v>
      </c>
      <c r="BJ374" s="14">
        <f t="shared" si="114"/>
        <v>0</v>
      </c>
      <c r="BK374" s="14">
        <f t="shared" si="114"/>
        <v>0</v>
      </c>
      <c r="BL374" s="14">
        <f t="shared" si="114"/>
        <v>0</v>
      </c>
      <c r="BM374" s="14">
        <f t="shared" si="114"/>
        <v>0</v>
      </c>
    </row>
    <row r="375" spans="1:65">
      <c r="F375" s="18" t="str">
        <f t="shared" si="111"/>
        <v>Builders Work in Connection</v>
      </c>
      <c r="G375" s="17" t="str">
        <f t="shared" si="112"/>
        <v>£ 2022/23</v>
      </c>
      <c r="AA375" s="14">
        <f t="shared" ref="AA375:BE375" si="136">$K343*AA$347*AA$26</f>
        <v>35698.543933054396</v>
      </c>
      <c r="AB375" s="14">
        <f t="shared" si="136"/>
        <v>0</v>
      </c>
      <c r="AC375" s="14">
        <f t="shared" si="136"/>
        <v>0</v>
      </c>
      <c r="AD375" s="14">
        <f t="shared" si="136"/>
        <v>0</v>
      </c>
      <c r="AE375" s="14">
        <f t="shared" si="136"/>
        <v>0</v>
      </c>
      <c r="AF375" s="14">
        <f t="shared" si="136"/>
        <v>0</v>
      </c>
      <c r="AG375" s="14">
        <f t="shared" si="136"/>
        <v>0</v>
      </c>
      <c r="AH375" s="14">
        <f t="shared" si="136"/>
        <v>0</v>
      </c>
      <c r="AI375" s="14">
        <f t="shared" si="136"/>
        <v>0</v>
      </c>
      <c r="AJ375" s="14">
        <f t="shared" si="136"/>
        <v>0</v>
      </c>
      <c r="AK375" s="14">
        <f t="shared" si="136"/>
        <v>0</v>
      </c>
      <c r="AL375" s="14">
        <f t="shared" si="136"/>
        <v>0</v>
      </c>
      <c r="AM375" s="14">
        <f t="shared" si="136"/>
        <v>0</v>
      </c>
      <c r="AN375" s="14">
        <f t="shared" si="136"/>
        <v>0</v>
      </c>
      <c r="AO375" s="14">
        <f t="shared" si="136"/>
        <v>0</v>
      </c>
      <c r="AP375" s="14">
        <f t="shared" si="136"/>
        <v>0</v>
      </c>
      <c r="AQ375" s="14">
        <f t="shared" si="136"/>
        <v>0</v>
      </c>
      <c r="AR375" s="14">
        <f t="shared" si="136"/>
        <v>0</v>
      </c>
      <c r="AS375" s="14">
        <f t="shared" si="136"/>
        <v>0</v>
      </c>
      <c r="AT375" s="14">
        <f t="shared" si="136"/>
        <v>0</v>
      </c>
      <c r="AU375" s="14">
        <f t="shared" si="136"/>
        <v>0</v>
      </c>
      <c r="AV375" s="14">
        <f t="shared" si="136"/>
        <v>0</v>
      </c>
      <c r="AW375" s="14">
        <f t="shared" si="136"/>
        <v>0</v>
      </c>
      <c r="AX375" s="14">
        <f t="shared" si="136"/>
        <v>0</v>
      </c>
      <c r="AY375" s="14">
        <f t="shared" si="136"/>
        <v>0</v>
      </c>
      <c r="AZ375" s="14">
        <f t="shared" si="136"/>
        <v>0</v>
      </c>
      <c r="BA375" s="14">
        <f t="shared" si="136"/>
        <v>0</v>
      </c>
      <c r="BB375" s="14">
        <f t="shared" si="136"/>
        <v>0</v>
      </c>
      <c r="BC375" s="14">
        <f t="shared" si="136"/>
        <v>0</v>
      </c>
      <c r="BD375" s="14">
        <f t="shared" si="136"/>
        <v>0</v>
      </c>
      <c r="BE375" s="14">
        <f t="shared" si="136"/>
        <v>0</v>
      </c>
      <c r="BG375" s="14">
        <f t="shared" si="114"/>
        <v>35698.543933054396</v>
      </c>
      <c r="BH375" s="14">
        <f t="shared" si="114"/>
        <v>0</v>
      </c>
      <c r="BI375" s="14">
        <f t="shared" si="114"/>
        <v>0</v>
      </c>
      <c r="BJ375" s="14">
        <f t="shared" si="114"/>
        <v>0</v>
      </c>
      <c r="BK375" s="14">
        <f t="shared" si="114"/>
        <v>0</v>
      </c>
      <c r="BL375" s="14">
        <f t="shared" si="114"/>
        <v>0</v>
      </c>
      <c r="BM375" s="14">
        <f t="shared" si="114"/>
        <v>0</v>
      </c>
    </row>
    <row r="376" spans="1:65">
      <c r="F376" s="18" t="str">
        <f t="shared" si="111"/>
        <v>Preliminaries &amp; Contingencies</v>
      </c>
      <c r="G376" s="17" t="str">
        <f t="shared" si="112"/>
        <v>£ 2022/23</v>
      </c>
      <c r="AA376" s="14">
        <f t="shared" ref="AA376:BE376" si="137">$K344*AA$347*AA$26</f>
        <v>346945.22384937241</v>
      </c>
      <c r="AB376" s="14">
        <f t="shared" si="137"/>
        <v>0</v>
      </c>
      <c r="AC376" s="14">
        <f t="shared" si="137"/>
        <v>0</v>
      </c>
      <c r="AD376" s="14">
        <f t="shared" si="137"/>
        <v>0</v>
      </c>
      <c r="AE376" s="14">
        <f t="shared" si="137"/>
        <v>0</v>
      </c>
      <c r="AF376" s="14">
        <f t="shared" si="137"/>
        <v>0</v>
      </c>
      <c r="AG376" s="14">
        <f t="shared" si="137"/>
        <v>0</v>
      </c>
      <c r="AH376" s="14">
        <f t="shared" si="137"/>
        <v>0</v>
      </c>
      <c r="AI376" s="14">
        <f t="shared" si="137"/>
        <v>0</v>
      </c>
      <c r="AJ376" s="14">
        <f t="shared" si="137"/>
        <v>0</v>
      </c>
      <c r="AK376" s="14">
        <f t="shared" si="137"/>
        <v>0</v>
      </c>
      <c r="AL376" s="14">
        <f t="shared" si="137"/>
        <v>0</v>
      </c>
      <c r="AM376" s="14">
        <f t="shared" si="137"/>
        <v>0</v>
      </c>
      <c r="AN376" s="14">
        <f t="shared" si="137"/>
        <v>0</v>
      </c>
      <c r="AO376" s="14">
        <f t="shared" si="137"/>
        <v>0</v>
      </c>
      <c r="AP376" s="14">
        <f t="shared" si="137"/>
        <v>0</v>
      </c>
      <c r="AQ376" s="14">
        <f t="shared" si="137"/>
        <v>0</v>
      </c>
      <c r="AR376" s="14">
        <f t="shared" si="137"/>
        <v>0</v>
      </c>
      <c r="AS376" s="14">
        <f t="shared" si="137"/>
        <v>0</v>
      </c>
      <c r="AT376" s="14">
        <f t="shared" si="137"/>
        <v>0</v>
      </c>
      <c r="AU376" s="14">
        <f t="shared" si="137"/>
        <v>0</v>
      </c>
      <c r="AV376" s="14">
        <f t="shared" si="137"/>
        <v>0</v>
      </c>
      <c r="AW376" s="14">
        <f t="shared" si="137"/>
        <v>0</v>
      </c>
      <c r="AX376" s="14">
        <f t="shared" si="137"/>
        <v>0</v>
      </c>
      <c r="AY376" s="14">
        <f t="shared" si="137"/>
        <v>0</v>
      </c>
      <c r="AZ376" s="14">
        <f t="shared" si="137"/>
        <v>0</v>
      </c>
      <c r="BA376" s="14">
        <f t="shared" si="137"/>
        <v>0</v>
      </c>
      <c r="BB376" s="14">
        <f t="shared" si="137"/>
        <v>0</v>
      </c>
      <c r="BC376" s="14">
        <f t="shared" si="137"/>
        <v>0</v>
      </c>
      <c r="BD376" s="14">
        <f t="shared" si="137"/>
        <v>0</v>
      </c>
      <c r="BE376" s="14">
        <f t="shared" si="137"/>
        <v>0</v>
      </c>
      <c r="BG376" s="14">
        <f t="shared" si="114"/>
        <v>346945.22384937241</v>
      </c>
      <c r="BH376" s="14">
        <f t="shared" si="114"/>
        <v>0</v>
      </c>
      <c r="BI376" s="14">
        <f t="shared" si="114"/>
        <v>0</v>
      </c>
      <c r="BJ376" s="14">
        <f t="shared" si="114"/>
        <v>0</v>
      </c>
      <c r="BK376" s="14">
        <f t="shared" si="114"/>
        <v>0</v>
      </c>
      <c r="BL376" s="14">
        <f t="shared" si="114"/>
        <v>0</v>
      </c>
      <c r="BM376" s="14">
        <f t="shared" si="114"/>
        <v>0</v>
      </c>
    </row>
    <row r="377" spans="1:65">
      <c r="F377" s="18" t="str">
        <f t="shared" si="111"/>
        <v>Spare</v>
      </c>
      <c r="G377" s="17" t="str">
        <f t="shared" si="112"/>
        <v>£ 2022/23</v>
      </c>
      <c r="AA377" s="14">
        <f t="shared" ref="AA377:BE377" si="138">$K345*AA$347*AA$26</f>
        <v>0</v>
      </c>
      <c r="AB377" s="14">
        <f t="shared" si="138"/>
        <v>0</v>
      </c>
      <c r="AC377" s="14">
        <f t="shared" si="138"/>
        <v>0</v>
      </c>
      <c r="AD377" s="14">
        <f t="shared" si="138"/>
        <v>0</v>
      </c>
      <c r="AE377" s="14">
        <f t="shared" si="138"/>
        <v>0</v>
      </c>
      <c r="AF377" s="14">
        <f t="shared" si="138"/>
        <v>0</v>
      </c>
      <c r="AG377" s="14">
        <f t="shared" si="138"/>
        <v>0</v>
      </c>
      <c r="AH377" s="14">
        <f t="shared" si="138"/>
        <v>0</v>
      </c>
      <c r="AI377" s="14">
        <f t="shared" si="138"/>
        <v>0</v>
      </c>
      <c r="AJ377" s="14">
        <f t="shared" si="138"/>
        <v>0</v>
      </c>
      <c r="AK377" s="14">
        <f t="shared" si="138"/>
        <v>0</v>
      </c>
      <c r="AL377" s="14">
        <f t="shared" si="138"/>
        <v>0</v>
      </c>
      <c r="AM377" s="14">
        <f t="shared" si="138"/>
        <v>0</v>
      </c>
      <c r="AN377" s="14">
        <f t="shared" si="138"/>
        <v>0</v>
      </c>
      <c r="AO377" s="14">
        <f t="shared" si="138"/>
        <v>0</v>
      </c>
      <c r="AP377" s="14">
        <f t="shared" si="138"/>
        <v>0</v>
      </c>
      <c r="AQ377" s="14">
        <f t="shared" si="138"/>
        <v>0</v>
      </c>
      <c r="AR377" s="14">
        <f t="shared" si="138"/>
        <v>0</v>
      </c>
      <c r="AS377" s="14">
        <f t="shared" si="138"/>
        <v>0</v>
      </c>
      <c r="AT377" s="14">
        <f t="shared" si="138"/>
        <v>0</v>
      </c>
      <c r="AU377" s="14">
        <f t="shared" si="138"/>
        <v>0</v>
      </c>
      <c r="AV377" s="14">
        <f t="shared" si="138"/>
        <v>0</v>
      </c>
      <c r="AW377" s="14">
        <f t="shared" si="138"/>
        <v>0</v>
      </c>
      <c r="AX377" s="14">
        <f t="shared" si="138"/>
        <v>0</v>
      </c>
      <c r="AY377" s="14">
        <f t="shared" si="138"/>
        <v>0</v>
      </c>
      <c r="AZ377" s="14">
        <f t="shared" si="138"/>
        <v>0</v>
      </c>
      <c r="BA377" s="14">
        <f t="shared" si="138"/>
        <v>0</v>
      </c>
      <c r="BB377" s="14">
        <f t="shared" si="138"/>
        <v>0</v>
      </c>
      <c r="BC377" s="14">
        <f t="shared" si="138"/>
        <v>0</v>
      </c>
      <c r="BD377" s="14">
        <f t="shared" si="138"/>
        <v>0</v>
      </c>
      <c r="BE377" s="14">
        <f t="shared" si="138"/>
        <v>0</v>
      </c>
      <c r="BG377" s="14">
        <f t="shared" si="114"/>
        <v>0</v>
      </c>
      <c r="BH377" s="14">
        <f t="shared" si="114"/>
        <v>0</v>
      </c>
      <c r="BI377" s="14">
        <f t="shared" si="114"/>
        <v>0</v>
      </c>
      <c r="BJ377" s="14">
        <f t="shared" si="114"/>
        <v>0</v>
      </c>
      <c r="BK377" s="14">
        <f t="shared" si="114"/>
        <v>0</v>
      </c>
      <c r="BL377" s="14">
        <f t="shared" si="114"/>
        <v>0</v>
      </c>
      <c r="BM377" s="14">
        <f t="shared" si="114"/>
        <v>0</v>
      </c>
    </row>
    <row r="378" spans="1:65">
      <c r="F378" s="18"/>
      <c r="G378" s="17"/>
    </row>
    <row r="379" spans="1:65">
      <c r="F379" s="89" t="s">
        <v>126</v>
      </c>
      <c r="G379" s="90" t="str">
        <f>cstConstantUnit</f>
        <v>£ 2022/23</v>
      </c>
      <c r="AA379" s="87">
        <f>SUM(AA353:AA378)</f>
        <v>2665119.4205020922</v>
      </c>
      <c r="AB379" s="87">
        <f t="shared" ref="AB379:BE379" si="139">SUM(AB353:AB378)</f>
        <v>0</v>
      </c>
      <c r="AC379" s="87">
        <f t="shared" si="139"/>
        <v>0</v>
      </c>
      <c r="AD379" s="87">
        <f t="shared" si="139"/>
        <v>0</v>
      </c>
      <c r="AE379" s="87">
        <f t="shared" si="139"/>
        <v>0</v>
      </c>
      <c r="AF379" s="87">
        <f t="shared" si="139"/>
        <v>0</v>
      </c>
      <c r="AG379" s="87">
        <f t="shared" si="139"/>
        <v>0</v>
      </c>
      <c r="AH379" s="87">
        <f t="shared" si="139"/>
        <v>0</v>
      </c>
      <c r="AI379" s="87">
        <f t="shared" si="139"/>
        <v>0</v>
      </c>
      <c r="AJ379" s="87">
        <f t="shared" si="139"/>
        <v>0</v>
      </c>
      <c r="AK379" s="87">
        <f t="shared" si="139"/>
        <v>0</v>
      </c>
      <c r="AL379" s="87">
        <f t="shared" si="139"/>
        <v>0</v>
      </c>
      <c r="AM379" s="87">
        <f t="shared" si="139"/>
        <v>0</v>
      </c>
      <c r="AN379" s="87">
        <f t="shared" si="139"/>
        <v>0</v>
      </c>
      <c r="AO379" s="87">
        <f t="shared" si="139"/>
        <v>0</v>
      </c>
      <c r="AP379" s="87">
        <f t="shared" si="139"/>
        <v>0</v>
      </c>
      <c r="AQ379" s="87">
        <f t="shared" si="139"/>
        <v>0</v>
      </c>
      <c r="AR379" s="87">
        <f t="shared" si="139"/>
        <v>0</v>
      </c>
      <c r="AS379" s="87">
        <f t="shared" si="139"/>
        <v>0</v>
      </c>
      <c r="AT379" s="87">
        <f t="shared" si="139"/>
        <v>0</v>
      </c>
      <c r="AU379" s="87">
        <f t="shared" si="139"/>
        <v>0</v>
      </c>
      <c r="AV379" s="87">
        <f t="shared" si="139"/>
        <v>0</v>
      </c>
      <c r="AW379" s="87">
        <f t="shared" si="139"/>
        <v>0</v>
      </c>
      <c r="AX379" s="87">
        <f t="shared" si="139"/>
        <v>0</v>
      </c>
      <c r="AY379" s="87">
        <f t="shared" si="139"/>
        <v>0</v>
      </c>
      <c r="AZ379" s="87">
        <f t="shared" si="139"/>
        <v>0</v>
      </c>
      <c r="BA379" s="87">
        <f t="shared" si="139"/>
        <v>0</v>
      </c>
      <c r="BB379" s="87">
        <f t="shared" si="139"/>
        <v>0</v>
      </c>
      <c r="BC379" s="87">
        <f t="shared" si="139"/>
        <v>0</v>
      </c>
      <c r="BD379" s="87">
        <f t="shared" si="139"/>
        <v>0</v>
      </c>
      <c r="BE379" s="87">
        <f t="shared" si="139"/>
        <v>0</v>
      </c>
      <c r="BG379" s="87">
        <f t="shared" si="114"/>
        <v>2665119.4205020922</v>
      </c>
      <c r="BH379" s="87">
        <f t="shared" si="114"/>
        <v>0</v>
      </c>
      <c r="BI379" s="87">
        <f t="shared" si="114"/>
        <v>0</v>
      </c>
      <c r="BJ379" s="87">
        <f t="shared" si="114"/>
        <v>0</v>
      </c>
      <c r="BK379" s="87">
        <f t="shared" si="114"/>
        <v>0</v>
      </c>
      <c r="BL379" s="87">
        <f t="shared" si="114"/>
        <v>0</v>
      </c>
      <c r="BM379" s="87">
        <f t="shared" si="114"/>
        <v>0</v>
      </c>
    </row>
    <row r="380" spans="1:65">
      <c r="F380" s="91"/>
      <c r="G380" s="92"/>
      <c r="AA380" s="93"/>
      <c r="AB380" s="93"/>
      <c r="AC380" s="93"/>
      <c r="AD380" s="93"/>
      <c r="AE380" s="93"/>
      <c r="AF380" s="93"/>
      <c r="AG380" s="93"/>
      <c r="AH380" s="93"/>
      <c r="AI380" s="93"/>
      <c r="AJ380" s="93"/>
      <c r="AK380" s="93"/>
      <c r="AL380" s="93"/>
      <c r="AM380" s="93"/>
      <c r="AN380" s="93"/>
      <c r="AO380" s="93"/>
      <c r="AP380" s="93"/>
      <c r="AQ380" s="93"/>
      <c r="AR380" s="93"/>
      <c r="AS380" s="93"/>
      <c r="AT380" s="93"/>
      <c r="AU380" s="93"/>
      <c r="AV380" s="93"/>
      <c r="AW380" s="93"/>
      <c r="AX380" s="93"/>
      <c r="AY380" s="93"/>
      <c r="AZ380" s="93"/>
      <c r="BA380" s="93"/>
      <c r="BB380" s="93"/>
      <c r="BC380" s="93"/>
      <c r="BD380" s="93"/>
      <c r="BE380" s="93"/>
      <c r="BG380" s="93"/>
      <c r="BH380" s="93"/>
      <c r="BI380" s="93"/>
      <c r="BJ380" s="93"/>
      <c r="BK380" s="93"/>
      <c r="BL380" s="93"/>
      <c r="BM380" s="93"/>
    </row>
    <row r="381" spans="1:65">
      <c r="A381" s="19">
        <f>SUM(C381:BM381)</f>
        <v>0</v>
      </c>
      <c r="F381" s="40" t="s">
        <v>329</v>
      </c>
      <c r="G381" s="17"/>
      <c r="BG381" s="19">
        <f t="shared" ref="BG381:BM381" si="140">IF(ABS(SUM(BG353:BG378)-BG379)&lt;eTol,0,1)</f>
        <v>0</v>
      </c>
      <c r="BH381" s="19">
        <f t="shared" si="140"/>
        <v>0</v>
      </c>
      <c r="BI381" s="19">
        <f t="shared" si="140"/>
        <v>0</v>
      </c>
      <c r="BJ381" s="19">
        <f t="shared" si="140"/>
        <v>0</v>
      </c>
      <c r="BK381" s="19">
        <f t="shared" si="140"/>
        <v>0</v>
      </c>
      <c r="BL381" s="19">
        <f t="shared" si="140"/>
        <v>0</v>
      </c>
      <c r="BM381" s="19">
        <f t="shared" si="140"/>
        <v>0</v>
      </c>
    </row>
    <row r="382" spans="1:65">
      <c r="F382" s="18"/>
      <c r="G382" s="17"/>
    </row>
    <row r="383" spans="1:65">
      <c r="F383" s="18" t="str">
        <f>F349</f>
        <v>Site Preparation Costs</v>
      </c>
      <c r="G383" s="17" t="str">
        <f>cstConstantUnit</f>
        <v>£ 2022/23</v>
      </c>
      <c r="AA383" s="14">
        <f t="shared" ref="AA383:BE383" si="141">$K349*AA$26</f>
        <v>300000</v>
      </c>
      <c r="AB383" s="14">
        <f t="shared" si="141"/>
        <v>0</v>
      </c>
      <c r="AC383" s="14">
        <f t="shared" si="141"/>
        <v>0</v>
      </c>
      <c r="AD383" s="14">
        <f t="shared" si="141"/>
        <v>0</v>
      </c>
      <c r="AE383" s="14">
        <f t="shared" si="141"/>
        <v>0</v>
      </c>
      <c r="AF383" s="14">
        <f t="shared" si="141"/>
        <v>0</v>
      </c>
      <c r="AG383" s="14">
        <f t="shared" si="141"/>
        <v>0</v>
      </c>
      <c r="AH383" s="14">
        <f t="shared" si="141"/>
        <v>0</v>
      </c>
      <c r="AI383" s="14">
        <f t="shared" si="141"/>
        <v>0</v>
      </c>
      <c r="AJ383" s="14">
        <f t="shared" si="141"/>
        <v>0</v>
      </c>
      <c r="AK383" s="14">
        <f t="shared" si="141"/>
        <v>0</v>
      </c>
      <c r="AL383" s="14">
        <f t="shared" si="141"/>
        <v>0</v>
      </c>
      <c r="AM383" s="14">
        <f t="shared" si="141"/>
        <v>0</v>
      </c>
      <c r="AN383" s="14">
        <f t="shared" si="141"/>
        <v>0</v>
      </c>
      <c r="AO383" s="14">
        <f t="shared" si="141"/>
        <v>0</v>
      </c>
      <c r="AP383" s="14">
        <f t="shared" si="141"/>
        <v>0</v>
      </c>
      <c r="AQ383" s="14">
        <f t="shared" si="141"/>
        <v>0</v>
      </c>
      <c r="AR383" s="14">
        <f t="shared" si="141"/>
        <v>0</v>
      </c>
      <c r="AS383" s="14">
        <f t="shared" si="141"/>
        <v>0</v>
      </c>
      <c r="AT383" s="14">
        <f t="shared" si="141"/>
        <v>0</v>
      </c>
      <c r="AU383" s="14">
        <f t="shared" si="141"/>
        <v>0</v>
      </c>
      <c r="AV383" s="14">
        <f t="shared" si="141"/>
        <v>0</v>
      </c>
      <c r="AW383" s="14">
        <f t="shared" si="141"/>
        <v>0</v>
      </c>
      <c r="AX383" s="14">
        <f t="shared" si="141"/>
        <v>0</v>
      </c>
      <c r="AY383" s="14">
        <f t="shared" si="141"/>
        <v>0</v>
      </c>
      <c r="AZ383" s="14">
        <f t="shared" si="141"/>
        <v>0</v>
      </c>
      <c r="BA383" s="14">
        <f t="shared" si="141"/>
        <v>0</v>
      </c>
      <c r="BB383" s="14">
        <f t="shared" si="141"/>
        <v>0</v>
      </c>
      <c r="BC383" s="14">
        <f t="shared" si="141"/>
        <v>0</v>
      </c>
      <c r="BD383" s="14">
        <f t="shared" si="141"/>
        <v>0</v>
      </c>
      <c r="BE383" s="14">
        <f t="shared" si="141"/>
        <v>0</v>
      </c>
      <c r="BG383" s="14">
        <f t="shared" si="114"/>
        <v>300000</v>
      </c>
      <c r="BH383" s="14">
        <f t="shared" si="114"/>
        <v>0</v>
      </c>
      <c r="BI383" s="14">
        <f t="shared" si="114"/>
        <v>0</v>
      </c>
      <c r="BJ383" s="14">
        <f t="shared" si="114"/>
        <v>0</v>
      </c>
      <c r="BK383" s="14">
        <f t="shared" si="114"/>
        <v>0</v>
      </c>
      <c r="BL383" s="14">
        <f t="shared" si="114"/>
        <v>0</v>
      </c>
      <c r="BM383" s="14">
        <f t="shared" si="114"/>
        <v>0</v>
      </c>
    </row>
    <row r="384" spans="1:65">
      <c r="F384" s="18"/>
      <c r="G384" s="17"/>
    </row>
    <row r="385" spans="6:65" ht="13">
      <c r="F385" s="26" t="s">
        <v>218</v>
      </c>
    </row>
    <row r="386" spans="6:65">
      <c r="F386" s="18"/>
      <c r="G386" s="17"/>
    </row>
    <row r="387" spans="6:65">
      <c r="F387" s="18" t="str">
        <f t="shared" ref="F387:F411" si="142">F353</f>
        <v>Substructure</v>
      </c>
      <c r="G387" s="17" t="str">
        <f t="shared" ref="G387:G411" si="143">cstNominalUnit</f>
        <v>£ Nominal</v>
      </c>
      <c r="I387" s="22" t="str">
        <f>iOptions!Q141</f>
        <v>Other Inflation</v>
      </c>
      <c r="AA387" s="14">
        <f t="shared" ref="AA387:BE387" si="144">AA353*_xlfn.IFNA(INDEX(AA$34:AA$38,MATCH($I387,$F$34:$F$38,0)),0)</f>
        <v>118251.42677824269</v>
      </c>
      <c r="AB387" s="14">
        <f t="shared" si="144"/>
        <v>0</v>
      </c>
      <c r="AC387" s="14">
        <f t="shared" si="144"/>
        <v>0</v>
      </c>
      <c r="AD387" s="14">
        <f t="shared" si="144"/>
        <v>0</v>
      </c>
      <c r="AE387" s="14">
        <f t="shared" si="144"/>
        <v>0</v>
      </c>
      <c r="AF387" s="14">
        <f t="shared" si="144"/>
        <v>0</v>
      </c>
      <c r="AG387" s="14">
        <f t="shared" si="144"/>
        <v>0</v>
      </c>
      <c r="AH387" s="14">
        <f t="shared" si="144"/>
        <v>0</v>
      </c>
      <c r="AI387" s="14">
        <f t="shared" si="144"/>
        <v>0</v>
      </c>
      <c r="AJ387" s="14">
        <f t="shared" si="144"/>
        <v>0</v>
      </c>
      <c r="AK387" s="14">
        <f t="shared" si="144"/>
        <v>0</v>
      </c>
      <c r="AL387" s="14">
        <f t="shared" si="144"/>
        <v>0</v>
      </c>
      <c r="AM387" s="14">
        <f t="shared" si="144"/>
        <v>0</v>
      </c>
      <c r="AN387" s="14">
        <f t="shared" si="144"/>
        <v>0</v>
      </c>
      <c r="AO387" s="14">
        <f t="shared" si="144"/>
        <v>0</v>
      </c>
      <c r="AP387" s="14">
        <f t="shared" si="144"/>
        <v>0</v>
      </c>
      <c r="AQ387" s="14">
        <f t="shared" si="144"/>
        <v>0</v>
      </c>
      <c r="AR387" s="14">
        <f t="shared" si="144"/>
        <v>0</v>
      </c>
      <c r="AS387" s="14">
        <f t="shared" si="144"/>
        <v>0</v>
      </c>
      <c r="AT387" s="14">
        <f t="shared" si="144"/>
        <v>0</v>
      </c>
      <c r="AU387" s="14">
        <f t="shared" si="144"/>
        <v>0</v>
      </c>
      <c r="AV387" s="14">
        <f t="shared" si="144"/>
        <v>0</v>
      </c>
      <c r="AW387" s="14">
        <f t="shared" si="144"/>
        <v>0</v>
      </c>
      <c r="AX387" s="14">
        <f t="shared" si="144"/>
        <v>0</v>
      </c>
      <c r="AY387" s="14">
        <f t="shared" si="144"/>
        <v>0</v>
      </c>
      <c r="AZ387" s="14">
        <f t="shared" si="144"/>
        <v>0</v>
      </c>
      <c r="BA387" s="14">
        <f t="shared" si="144"/>
        <v>0</v>
      </c>
      <c r="BB387" s="14">
        <f t="shared" si="144"/>
        <v>0</v>
      </c>
      <c r="BC387" s="14">
        <f t="shared" si="144"/>
        <v>0</v>
      </c>
      <c r="BD387" s="14">
        <f t="shared" si="144"/>
        <v>0</v>
      </c>
      <c r="BE387" s="14">
        <f t="shared" si="144"/>
        <v>0</v>
      </c>
      <c r="BG387" s="14">
        <f t="shared" ref="BG387:BM417" si="145">SUMIFS($AA387:$BE387,$AA$2:$BE$2,"&gt;="&amp;BG$2,$AA$3:$BE$3,"&lt;="&amp;BG$3)</f>
        <v>118251.42677824269</v>
      </c>
      <c r="BH387" s="14">
        <f t="shared" si="145"/>
        <v>0</v>
      </c>
      <c r="BI387" s="14">
        <f t="shared" si="145"/>
        <v>0</v>
      </c>
      <c r="BJ387" s="14">
        <f t="shared" si="145"/>
        <v>0</v>
      </c>
      <c r="BK387" s="14">
        <f t="shared" si="145"/>
        <v>0</v>
      </c>
      <c r="BL387" s="14">
        <f t="shared" si="145"/>
        <v>0</v>
      </c>
      <c r="BM387" s="14">
        <f t="shared" si="145"/>
        <v>0</v>
      </c>
    </row>
    <row r="388" spans="6:65">
      <c r="F388" s="18" t="str">
        <f t="shared" si="142"/>
        <v>Frame</v>
      </c>
      <c r="G388" s="17" t="str">
        <f t="shared" si="143"/>
        <v>£ Nominal</v>
      </c>
      <c r="I388" s="22" t="str">
        <f>iOptions!Q142</f>
        <v>Other Inflation</v>
      </c>
      <c r="AA388" s="14">
        <f t="shared" ref="AA388:BE388" si="146">AA354*_xlfn.IFNA(INDEX(AA$34:AA$38,MATCH($I388,$F$34:$F$38,0)),0)</f>
        <v>156181.12970711297</v>
      </c>
      <c r="AB388" s="14">
        <f t="shared" si="146"/>
        <v>0</v>
      </c>
      <c r="AC388" s="14">
        <f t="shared" si="146"/>
        <v>0</v>
      </c>
      <c r="AD388" s="14">
        <f t="shared" si="146"/>
        <v>0</v>
      </c>
      <c r="AE388" s="14">
        <f t="shared" si="146"/>
        <v>0</v>
      </c>
      <c r="AF388" s="14">
        <f t="shared" si="146"/>
        <v>0</v>
      </c>
      <c r="AG388" s="14">
        <f t="shared" si="146"/>
        <v>0</v>
      </c>
      <c r="AH388" s="14">
        <f t="shared" si="146"/>
        <v>0</v>
      </c>
      <c r="AI388" s="14">
        <f t="shared" si="146"/>
        <v>0</v>
      </c>
      <c r="AJ388" s="14">
        <f t="shared" si="146"/>
        <v>0</v>
      </c>
      <c r="AK388" s="14">
        <f t="shared" si="146"/>
        <v>0</v>
      </c>
      <c r="AL388" s="14">
        <f t="shared" si="146"/>
        <v>0</v>
      </c>
      <c r="AM388" s="14">
        <f t="shared" si="146"/>
        <v>0</v>
      </c>
      <c r="AN388" s="14">
        <f t="shared" si="146"/>
        <v>0</v>
      </c>
      <c r="AO388" s="14">
        <f t="shared" si="146"/>
        <v>0</v>
      </c>
      <c r="AP388" s="14">
        <f t="shared" si="146"/>
        <v>0</v>
      </c>
      <c r="AQ388" s="14">
        <f t="shared" si="146"/>
        <v>0</v>
      </c>
      <c r="AR388" s="14">
        <f t="shared" si="146"/>
        <v>0</v>
      </c>
      <c r="AS388" s="14">
        <f t="shared" si="146"/>
        <v>0</v>
      </c>
      <c r="AT388" s="14">
        <f t="shared" si="146"/>
        <v>0</v>
      </c>
      <c r="AU388" s="14">
        <f t="shared" si="146"/>
        <v>0</v>
      </c>
      <c r="AV388" s="14">
        <f t="shared" si="146"/>
        <v>0</v>
      </c>
      <c r="AW388" s="14">
        <f t="shared" si="146"/>
        <v>0</v>
      </c>
      <c r="AX388" s="14">
        <f t="shared" si="146"/>
        <v>0</v>
      </c>
      <c r="AY388" s="14">
        <f t="shared" si="146"/>
        <v>0</v>
      </c>
      <c r="AZ388" s="14">
        <f t="shared" si="146"/>
        <v>0</v>
      </c>
      <c r="BA388" s="14">
        <f t="shared" si="146"/>
        <v>0</v>
      </c>
      <c r="BB388" s="14">
        <f t="shared" si="146"/>
        <v>0</v>
      </c>
      <c r="BC388" s="14">
        <f t="shared" si="146"/>
        <v>0</v>
      </c>
      <c r="BD388" s="14">
        <f t="shared" si="146"/>
        <v>0</v>
      </c>
      <c r="BE388" s="14">
        <f t="shared" si="146"/>
        <v>0</v>
      </c>
      <c r="BG388" s="14">
        <f t="shared" si="145"/>
        <v>156181.12970711297</v>
      </c>
      <c r="BH388" s="14">
        <f t="shared" si="145"/>
        <v>0</v>
      </c>
      <c r="BI388" s="14">
        <f t="shared" si="145"/>
        <v>0</v>
      </c>
      <c r="BJ388" s="14">
        <f t="shared" si="145"/>
        <v>0</v>
      </c>
      <c r="BK388" s="14">
        <f t="shared" si="145"/>
        <v>0</v>
      </c>
      <c r="BL388" s="14">
        <f t="shared" si="145"/>
        <v>0</v>
      </c>
      <c r="BM388" s="14">
        <f t="shared" si="145"/>
        <v>0</v>
      </c>
    </row>
    <row r="389" spans="6:65">
      <c r="F389" s="18" t="str">
        <f t="shared" si="142"/>
        <v>Upper Floors</v>
      </c>
      <c r="G389" s="17" t="str">
        <f t="shared" si="143"/>
        <v>£ Nominal</v>
      </c>
      <c r="I389" s="22" t="str">
        <f>iOptions!Q143</f>
        <v>Other Inflation</v>
      </c>
      <c r="AA389" s="14">
        <f t="shared" ref="AA389:BE389" si="147">AA355*_xlfn.IFNA(INDEX(AA$34:AA$38,MATCH($I389,$F$34:$F$38,0)),0)</f>
        <v>31236.225941422595</v>
      </c>
      <c r="AB389" s="14">
        <f t="shared" si="147"/>
        <v>0</v>
      </c>
      <c r="AC389" s="14">
        <f t="shared" si="147"/>
        <v>0</v>
      </c>
      <c r="AD389" s="14">
        <f t="shared" si="147"/>
        <v>0</v>
      </c>
      <c r="AE389" s="14">
        <f t="shared" si="147"/>
        <v>0</v>
      </c>
      <c r="AF389" s="14">
        <f t="shared" si="147"/>
        <v>0</v>
      </c>
      <c r="AG389" s="14">
        <f t="shared" si="147"/>
        <v>0</v>
      </c>
      <c r="AH389" s="14">
        <f t="shared" si="147"/>
        <v>0</v>
      </c>
      <c r="AI389" s="14">
        <f t="shared" si="147"/>
        <v>0</v>
      </c>
      <c r="AJ389" s="14">
        <f t="shared" si="147"/>
        <v>0</v>
      </c>
      <c r="AK389" s="14">
        <f t="shared" si="147"/>
        <v>0</v>
      </c>
      <c r="AL389" s="14">
        <f t="shared" si="147"/>
        <v>0</v>
      </c>
      <c r="AM389" s="14">
        <f t="shared" si="147"/>
        <v>0</v>
      </c>
      <c r="AN389" s="14">
        <f t="shared" si="147"/>
        <v>0</v>
      </c>
      <c r="AO389" s="14">
        <f t="shared" si="147"/>
        <v>0</v>
      </c>
      <c r="AP389" s="14">
        <f t="shared" si="147"/>
        <v>0</v>
      </c>
      <c r="AQ389" s="14">
        <f t="shared" si="147"/>
        <v>0</v>
      </c>
      <c r="AR389" s="14">
        <f t="shared" si="147"/>
        <v>0</v>
      </c>
      <c r="AS389" s="14">
        <f t="shared" si="147"/>
        <v>0</v>
      </c>
      <c r="AT389" s="14">
        <f t="shared" si="147"/>
        <v>0</v>
      </c>
      <c r="AU389" s="14">
        <f t="shared" si="147"/>
        <v>0</v>
      </c>
      <c r="AV389" s="14">
        <f t="shared" si="147"/>
        <v>0</v>
      </c>
      <c r="AW389" s="14">
        <f t="shared" si="147"/>
        <v>0</v>
      </c>
      <c r="AX389" s="14">
        <f t="shared" si="147"/>
        <v>0</v>
      </c>
      <c r="AY389" s="14">
        <f t="shared" si="147"/>
        <v>0</v>
      </c>
      <c r="AZ389" s="14">
        <f t="shared" si="147"/>
        <v>0</v>
      </c>
      <c r="BA389" s="14">
        <f t="shared" si="147"/>
        <v>0</v>
      </c>
      <c r="BB389" s="14">
        <f t="shared" si="147"/>
        <v>0</v>
      </c>
      <c r="BC389" s="14">
        <f t="shared" si="147"/>
        <v>0</v>
      </c>
      <c r="BD389" s="14">
        <f t="shared" si="147"/>
        <v>0</v>
      </c>
      <c r="BE389" s="14">
        <f t="shared" si="147"/>
        <v>0</v>
      </c>
      <c r="BG389" s="14">
        <f t="shared" si="145"/>
        <v>31236.225941422595</v>
      </c>
      <c r="BH389" s="14">
        <f t="shared" si="145"/>
        <v>0</v>
      </c>
      <c r="BI389" s="14">
        <f t="shared" si="145"/>
        <v>0</v>
      </c>
      <c r="BJ389" s="14">
        <f t="shared" si="145"/>
        <v>0</v>
      </c>
      <c r="BK389" s="14">
        <f t="shared" si="145"/>
        <v>0</v>
      </c>
      <c r="BL389" s="14">
        <f t="shared" si="145"/>
        <v>0</v>
      </c>
      <c r="BM389" s="14">
        <f t="shared" si="145"/>
        <v>0</v>
      </c>
    </row>
    <row r="390" spans="6:65">
      <c r="F390" s="18" t="str">
        <f t="shared" si="142"/>
        <v>Roof</v>
      </c>
      <c r="G390" s="17" t="str">
        <f t="shared" si="143"/>
        <v>£ Nominal</v>
      </c>
      <c r="I390" s="22" t="str">
        <f>iOptions!Q144</f>
        <v>Other Inflation</v>
      </c>
      <c r="AA390" s="14">
        <f t="shared" ref="AA390:BE390" si="148">AA356*_xlfn.IFNA(INDEX(AA$34:AA$38,MATCH($I390,$F$34:$F$38,0)),0)</f>
        <v>128291.64225941424</v>
      </c>
      <c r="AB390" s="14">
        <f t="shared" si="148"/>
        <v>0</v>
      </c>
      <c r="AC390" s="14">
        <f t="shared" si="148"/>
        <v>0</v>
      </c>
      <c r="AD390" s="14">
        <f t="shared" si="148"/>
        <v>0</v>
      </c>
      <c r="AE390" s="14">
        <f t="shared" si="148"/>
        <v>0</v>
      </c>
      <c r="AF390" s="14">
        <f t="shared" si="148"/>
        <v>0</v>
      </c>
      <c r="AG390" s="14">
        <f t="shared" si="148"/>
        <v>0</v>
      </c>
      <c r="AH390" s="14">
        <f t="shared" si="148"/>
        <v>0</v>
      </c>
      <c r="AI390" s="14">
        <f t="shared" si="148"/>
        <v>0</v>
      </c>
      <c r="AJ390" s="14">
        <f t="shared" si="148"/>
        <v>0</v>
      </c>
      <c r="AK390" s="14">
        <f t="shared" si="148"/>
        <v>0</v>
      </c>
      <c r="AL390" s="14">
        <f t="shared" si="148"/>
        <v>0</v>
      </c>
      <c r="AM390" s="14">
        <f t="shared" si="148"/>
        <v>0</v>
      </c>
      <c r="AN390" s="14">
        <f t="shared" si="148"/>
        <v>0</v>
      </c>
      <c r="AO390" s="14">
        <f t="shared" si="148"/>
        <v>0</v>
      </c>
      <c r="AP390" s="14">
        <f t="shared" si="148"/>
        <v>0</v>
      </c>
      <c r="AQ390" s="14">
        <f t="shared" si="148"/>
        <v>0</v>
      </c>
      <c r="AR390" s="14">
        <f t="shared" si="148"/>
        <v>0</v>
      </c>
      <c r="AS390" s="14">
        <f t="shared" si="148"/>
        <v>0</v>
      </c>
      <c r="AT390" s="14">
        <f t="shared" si="148"/>
        <v>0</v>
      </c>
      <c r="AU390" s="14">
        <f t="shared" si="148"/>
        <v>0</v>
      </c>
      <c r="AV390" s="14">
        <f t="shared" si="148"/>
        <v>0</v>
      </c>
      <c r="AW390" s="14">
        <f t="shared" si="148"/>
        <v>0</v>
      </c>
      <c r="AX390" s="14">
        <f t="shared" si="148"/>
        <v>0</v>
      </c>
      <c r="AY390" s="14">
        <f t="shared" si="148"/>
        <v>0</v>
      </c>
      <c r="AZ390" s="14">
        <f t="shared" si="148"/>
        <v>0</v>
      </c>
      <c r="BA390" s="14">
        <f t="shared" si="148"/>
        <v>0</v>
      </c>
      <c r="BB390" s="14">
        <f t="shared" si="148"/>
        <v>0</v>
      </c>
      <c r="BC390" s="14">
        <f t="shared" si="148"/>
        <v>0</v>
      </c>
      <c r="BD390" s="14">
        <f t="shared" si="148"/>
        <v>0</v>
      </c>
      <c r="BE390" s="14">
        <f t="shared" si="148"/>
        <v>0</v>
      </c>
      <c r="BG390" s="14">
        <f t="shared" si="145"/>
        <v>128291.64225941424</v>
      </c>
      <c r="BH390" s="14">
        <f t="shared" si="145"/>
        <v>0</v>
      </c>
      <c r="BI390" s="14">
        <f t="shared" si="145"/>
        <v>0</v>
      </c>
      <c r="BJ390" s="14">
        <f t="shared" si="145"/>
        <v>0</v>
      </c>
      <c r="BK390" s="14">
        <f t="shared" si="145"/>
        <v>0</v>
      </c>
      <c r="BL390" s="14">
        <f t="shared" si="145"/>
        <v>0</v>
      </c>
      <c r="BM390" s="14">
        <f t="shared" si="145"/>
        <v>0</v>
      </c>
    </row>
    <row r="391" spans="6:65">
      <c r="F391" s="18" t="str">
        <f t="shared" si="142"/>
        <v>Stairs</v>
      </c>
      <c r="G391" s="17" t="str">
        <f t="shared" si="143"/>
        <v>£ Nominal</v>
      </c>
      <c r="I391" s="22" t="str">
        <f>iOptions!Q145</f>
        <v>Other Inflation</v>
      </c>
      <c r="AA391" s="14">
        <f t="shared" ref="AA391:BE391" si="149">AA357*_xlfn.IFNA(INDEX(AA$34:AA$38,MATCH($I391,$F$34:$F$38,0)),0)</f>
        <v>13386.953974895399</v>
      </c>
      <c r="AB391" s="14">
        <f t="shared" si="149"/>
        <v>0</v>
      </c>
      <c r="AC391" s="14">
        <f t="shared" si="149"/>
        <v>0</v>
      </c>
      <c r="AD391" s="14">
        <f t="shared" si="149"/>
        <v>0</v>
      </c>
      <c r="AE391" s="14">
        <f t="shared" si="149"/>
        <v>0</v>
      </c>
      <c r="AF391" s="14">
        <f t="shared" si="149"/>
        <v>0</v>
      </c>
      <c r="AG391" s="14">
        <f t="shared" si="149"/>
        <v>0</v>
      </c>
      <c r="AH391" s="14">
        <f t="shared" si="149"/>
        <v>0</v>
      </c>
      <c r="AI391" s="14">
        <f t="shared" si="149"/>
        <v>0</v>
      </c>
      <c r="AJ391" s="14">
        <f t="shared" si="149"/>
        <v>0</v>
      </c>
      <c r="AK391" s="14">
        <f t="shared" si="149"/>
        <v>0</v>
      </c>
      <c r="AL391" s="14">
        <f t="shared" si="149"/>
        <v>0</v>
      </c>
      <c r="AM391" s="14">
        <f t="shared" si="149"/>
        <v>0</v>
      </c>
      <c r="AN391" s="14">
        <f t="shared" si="149"/>
        <v>0</v>
      </c>
      <c r="AO391" s="14">
        <f t="shared" si="149"/>
        <v>0</v>
      </c>
      <c r="AP391" s="14">
        <f t="shared" si="149"/>
        <v>0</v>
      </c>
      <c r="AQ391" s="14">
        <f t="shared" si="149"/>
        <v>0</v>
      </c>
      <c r="AR391" s="14">
        <f t="shared" si="149"/>
        <v>0</v>
      </c>
      <c r="AS391" s="14">
        <f t="shared" si="149"/>
        <v>0</v>
      </c>
      <c r="AT391" s="14">
        <f t="shared" si="149"/>
        <v>0</v>
      </c>
      <c r="AU391" s="14">
        <f t="shared" si="149"/>
        <v>0</v>
      </c>
      <c r="AV391" s="14">
        <f t="shared" si="149"/>
        <v>0</v>
      </c>
      <c r="AW391" s="14">
        <f t="shared" si="149"/>
        <v>0</v>
      </c>
      <c r="AX391" s="14">
        <f t="shared" si="149"/>
        <v>0</v>
      </c>
      <c r="AY391" s="14">
        <f t="shared" si="149"/>
        <v>0</v>
      </c>
      <c r="AZ391" s="14">
        <f t="shared" si="149"/>
        <v>0</v>
      </c>
      <c r="BA391" s="14">
        <f t="shared" si="149"/>
        <v>0</v>
      </c>
      <c r="BB391" s="14">
        <f t="shared" si="149"/>
        <v>0</v>
      </c>
      <c r="BC391" s="14">
        <f t="shared" si="149"/>
        <v>0</v>
      </c>
      <c r="BD391" s="14">
        <f t="shared" si="149"/>
        <v>0</v>
      </c>
      <c r="BE391" s="14">
        <f t="shared" si="149"/>
        <v>0</v>
      </c>
      <c r="BG391" s="14">
        <f t="shared" si="145"/>
        <v>13386.953974895399</v>
      </c>
      <c r="BH391" s="14">
        <f t="shared" si="145"/>
        <v>0</v>
      </c>
      <c r="BI391" s="14">
        <f t="shared" si="145"/>
        <v>0</v>
      </c>
      <c r="BJ391" s="14">
        <f t="shared" si="145"/>
        <v>0</v>
      </c>
      <c r="BK391" s="14">
        <f t="shared" si="145"/>
        <v>0</v>
      </c>
      <c r="BL391" s="14">
        <f t="shared" si="145"/>
        <v>0</v>
      </c>
      <c r="BM391" s="14">
        <f t="shared" si="145"/>
        <v>0</v>
      </c>
    </row>
    <row r="392" spans="6:65">
      <c r="F392" s="18" t="str">
        <f t="shared" si="142"/>
        <v>Ext Walls, Windows &amp; Doors</v>
      </c>
      <c r="G392" s="17" t="str">
        <f t="shared" si="143"/>
        <v>£ Nominal</v>
      </c>
      <c r="I392" s="22" t="str">
        <f>iOptions!Q146</f>
        <v>Other Inflation</v>
      </c>
      <c r="AA392" s="14">
        <f t="shared" ref="AA392:BE392" si="150">AA358*_xlfn.IFNA(INDEX(AA$34:AA$38,MATCH($I392,$F$34:$F$38,0)),0)</f>
        <v>217538.00209205021</v>
      </c>
      <c r="AB392" s="14">
        <f t="shared" si="150"/>
        <v>0</v>
      </c>
      <c r="AC392" s="14">
        <f t="shared" si="150"/>
        <v>0</v>
      </c>
      <c r="AD392" s="14">
        <f t="shared" si="150"/>
        <v>0</v>
      </c>
      <c r="AE392" s="14">
        <f t="shared" si="150"/>
        <v>0</v>
      </c>
      <c r="AF392" s="14">
        <f t="shared" si="150"/>
        <v>0</v>
      </c>
      <c r="AG392" s="14">
        <f t="shared" si="150"/>
        <v>0</v>
      </c>
      <c r="AH392" s="14">
        <f t="shared" si="150"/>
        <v>0</v>
      </c>
      <c r="AI392" s="14">
        <f t="shared" si="150"/>
        <v>0</v>
      </c>
      <c r="AJ392" s="14">
        <f t="shared" si="150"/>
        <v>0</v>
      </c>
      <c r="AK392" s="14">
        <f t="shared" si="150"/>
        <v>0</v>
      </c>
      <c r="AL392" s="14">
        <f t="shared" si="150"/>
        <v>0</v>
      </c>
      <c r="AM392" s="14">
        <f t="shared" si="150"/>
        <v>0</v>
      </c>
      <c r="AN392" s="14">
        <f t="shared" si="150"/>
        <v>0</v>
      </c>
      <c r="AO392" s="14">
        <f t="shared" si="150"/>
        <v>0</v>
      </c>
      <c r="AP392" s="14">
        <f t="shared" si="150"/>
        <v>0</v>
      </c>
      <c r="AQ392" s="14">
        <f t="shared" si="150"/>
        <v>0</v>
      </c>
      <c r="AR392" s="14">
        <f t="shared" si="150"/>
        <v>0</v>
      </c>
      <c r="AS392" s="14">
        <f t="shared" si="150"/>
        <v>0</v>
      </c>
      <c r="AT392" s="14">
        <f t="shared" si="150"/>
        <v>0</v>
      </c>
      <c r="AU392" s="14">
        <f t="shared" si="150"/>
        <v>0</v>
      </c>
      <c r="AV392" s="14">
        <f t="shared" si="150"/>
        <v>0</v>
      </c>
      <c r="AW392" s="14">
        <f t="shared" si="150"/>
        <v>0</v>
      </c>
      <c r="AX392" s="14">
        <f t="shared" si="150"/>
        <v>0</v>
      </c>
      <c r="AY392" s="14">
        <f t="shared" si="150"/>
        <v>0</v>
      </c>
      <c r="AZ392" s="14">
        <f t="shared" si="150"/>
        <v>0</v>
      </c>
      <c r="BA392" s="14">
        <f t="shared" si="150"/>
        <v>0</v>
      </c>
      <c r="BB392" s="14">
        <f t="shared" si="150"/>
        <v>0</v>
      </c>
      <c r="BC392" s="14">
        <f t="shared" si="150"/>
        <v>0</v>
      </c>
      <c r="BD392" s="14">
        <f t="shared" si="150"/>
        <v>0</v>
      </c>
      <c r="BE392" s="14">
        <f t="shared" si="150"/>
        <v>0</v>
      </c>
      <c r="BG392" s="14">
        <f t="shared" si="145"/>
        <v>217538.00209205021</v>
      </c>
      <c r="BH392" s="14">
        <f t="shared" si="145"/>
        <v>0</v>
      </c>
      <c r="BI392" s="14">
        <f t="shared" si="145"/>
        <v>0</v>
      </c>
      <c r="BJ392" s="14">
        <f t="shared" si="145"/>
        <v>0</v>
      </c>
      <c r="BK392" s="14">
        <f t="shared" si="145"/>
        <v>0</v>
      </c>
      <c r="BL392" s="14">
        <f t="shared" si="145"/>
        <v>0</v>
      </c>
      <c r="BM392" s="14">
        <f t="shared" si="145"/>
        <v>0</v>
      </c>
    </row>
    <row r="393" spans="6:65">
      <c r="F393" s="18" t="str">
        <f t="shared" si="142"/>
        <v>Int Walls &amp; Partitions</v>
      </c>
      <c r="G393" s="17" t="str">
        <f t="shared" si="143"/>
        <v>£ Nominal</v>
      </c>
      <c r="I393" s="22" t="str">
        <f>iOptions!Q147</f>
        <v>Other Inflation</v>
      </c>
      <c r="AA393" s="14">
        <f t="shared" ref="AA393:BE393" si="151">AA359*_xlfn.IFNA(INDEX(AA$34:AA$38,MATCH($I393,$F$34:$F$38,0)),0)</f>
        <v>105980.05230125523</v>
      </c>
      <c r="AB393" s="14">
        <f t="shared" si="151"/>
        <v>0</v>
      </c>
      <c r="AC393" s="14">
        <f t="shared" si="151"/>
        <v>0</v>
      </c>
      <c r="AD393" s="14">
        <f t="shared" si="151"/>
        <v>0</v>
      </c>
      <c r="AE393" s="14">
        <f t="shared" si="151"/>
        <v>0</v>
      </c>
      <c r="AF393" s="14">
        <f t="shared" si="151"/>
        <v>0</v>
      </c>
      <c r="AG393" s="14">
        <f t="shared" si="151"/>
        <v>0</v>
      </c>
      <c r="AH393" s="14">
        <f t="shared" si="151"/>
        <v>0</v>
      </c>
      <c r="AI393" s="14">
        <f t="shared" si="151"/>
        <v>0</v>
      </c>
      <c r="AJ393" s="14">
        <f t="shared" si="151"/>
        <v>0</v>
      </c>
      <c r="AK393" s="14">
        <f t="shared" si="151"/>
        <v>0</v>
      </c>
      <c r="AL393" s="14">
        <f t="shared" si="151"/>
        <v>0</v>
      </c>
      <c r="AM393" s="14">
        <f t="shared" si="151"/>
        <v>0</v>
      </c>
      <c r="AN393" s="14">
        <f t="shared" si="151"/>
        <v>0</v>
      </c>
      <c r="AO393" s="14">
        <f t="shared" si="151"/>
        <v>0</v>
      </c>
      <c r="AP393" s="14">
        <f t="shared" si="151"/>
        <v>0</v>
      </c>
      <c r="AQ393" s="14">
        <f t="shared" si="151"/>
        <v>0</v>
      </c>
      <c r="AR393" s="14">
        <f t="shared" si="151"/>
        <v>0</v>
      </c>
      <c r="AS393" s="14">
        <f t="shared" si="151"/>
        <v>0</v>
      </c>
      <c r="AT393" s="14">
        <f t="shared" si="151"/>
        <v>0</v>
      </c>
      <c r="AU393" s="14">
        <f t="shared" si="151"/>
        <v>0</v>
      </c>
      <c r="AV393" s="14">
        <f t="shared" si="151"/>
        <v>0</v>
      </c>
      <c r="AW393" s="14">
        <f t="shared" si="151"/>
        <v>0</v>
      </c>
      <c r="AX393" s="14">
        <f t="shared" si="151"/>
        <v>0</v>
      </c>
      <c r="AY393" s="14">
        <f t="shared" si="151"/>
        <v>0</v>
      </c>
      <c r="AZ393" s="14">
        <f t="shared" si="151"/>
        <v>0</v>
      </c>
      <c r="BA393" s="14">
        <f t="shared" si="151"/>
        <v>0</v>
      </c>
      <c r="BB393" s="14">
        <f t="shared" si="151"/>
        <v>0</v>
      </c>
      <c r="BC393" s="14">
        <f t="shared" si="151"/>
        <v>0</v>
      </c>
      <c r="BD393" s="14">
        <f t="shared" si="151"/>
        <v>0</v>
      </c>
      <c r="BE393" s="14">
        <f t="shared" si="151"/>
        <v>0</v>
      </c>
      <c r="BG393" s="14">
        <f t="shared" si="145"/>
        <v>105980.05230125523</v>
      </c>
      <c r="BH393" s="14">
        <f t="shared" si="145"/>
        <v>0</v>
      </c>
      <c r="BI393" s="14">
        <f t="shared" si="145"/>
        <v>0</v>
      </c>
      <c r="BJ393" s="14">
        <f t="shared" si="145"/>
        <v>0</v>
      </c>
      <c r="BK393" s="14">
        <f t="shared" si="145"/>
        <v>0</v>
      </c>
      <c r="BL393" s="14">
        <f t="shared" si="145"/>
        <v>0</v>
      </c>
      <c r="BM393" s="14">
        <f t="shared" si="145"/>
        <v>0</v>
      </c>
    </row>
    <row r="394" spans="6:65">
      <c r="F394" s="18" t="str">
        <f t="shared" si="142"/>
        <v>Int Doors</v>
      </c>
      <c r="G394" s="17" t="str">
        <f t="shared" si="143"/>
        <v>£ Nominal</v>
      </c>
      <c r="I394" s="22" t="str">
        <f>iOptions!Q148</f>
        <v>Other Inflation</v>
      </c>
      <c r="AA394" s="14">
        <f t="shared" ref="AA394:BE394" si="152">AA360*_xlfn.IFNA(INDEX(AA$34:AA$38,MATCH($I394,$F$34:$F$38,0)),0)</f>
        <v>32351.805439330547</v>
      </c>
      <c r="AB394" s="14">
        <f t="shared" si="152"/>
        <v>0</v>
      </c>
      <c r="AC394" s="14">
        <f t="shared" si="152"/>
        <v>0</v>
      </c>
      <c r="AD394" s="14">
        <f t="shared" si="152"/>
        <v>0</v>
      </c>
      <c r="AE394" s="14">
        <f t="shared" si="152"/>
        <v>0</v>
      </c>
      <c r="AF394" s="14">
        <f t="shared" si="152"/>
        <v>0</v>
      </c>
      <c r="AG394" s="14">
        <f t="shared" si="152"/>
        <v>0</v>
      </c>
      <c r="AH394" s="14">
        <f t="shared" si="152"/>
        <v>0</v>
      </c>
      <c r="AI394" s="14">
        <f t="shared" si="152"/>
        <v>0</v>
      </c>
      <c r="AJ394" s="14">
        <f t="shared" si="152"/>
        <v>0</v>
      </c>
      <c r="AK394" s="14">
        <f t="shared" si="152"/>
        <v>0</v>
      </c>
      <c r="AL394" s="14">
        <f t="shared" si="152"/>
        <v>0</v>
      </c>
      <c r="AM394" s="14">
        <f t="shared" si="152"/>
        <v>0</v>
      </c>
      <c r="AN394" s="14">
        <f t="shared" si="152"/>
        <v>0</v>
      </c>
      <c r="AO394" s="14">
        <f t="shared" si="152"/>
        <v>0</v>
      </c>
      <c r="AP394" s="14">
        <f t="shared" si="152"/>
        <v>0</v>
      </c>
      <c r="AQ394" s="14">
        <f t="shared" si="152"/>
        <v>0</v>
      </c>
      <c r="AR394" s="14">
        <f t="shared" si="152"/>
        <v>0</v>
      </c>
      <c r="AS394" s="14">
        <f t="shared" si="152"/>
        <v>0</v>
      </c>
      <c r="AT394" s="14">
        <f t="shared" si="152"/>
        <v>0</v>
      </c>
      <c r="AU394" s="14">
        <f t="shared" si="152"/>
        <v>0</v>
      </c>
      <c r="AV394" s="14">
        <f t="shared" si="152"/>
        <v>0</v>
      </c>
      <c r="AW394" s="14">
        <f t="shared" si="152"/>
        <v>0</v>
      </c>
      <c r="AX394" s="14">
        <f t="shared" si="152"/>
        <v>0</v>
      </c>
      <c r="AY394" s="14">
        <f t="shared" si="152"/>
        <v>0</v>
      </c>
      <c r="AZ394" s="14">
        <f t="shared" si="152"/>
        <v>0</v>
      </c>
      <c r="BA394" s="14">
        <f t="shared" si="152"/>
        <v>0</v>
      </c>
      <c r="BB394" s="14">
        <f t="shared" si="152"/>
        <v>0</v>
      </c>
      <c r="BC394" s="14">
        <f t="shared" si="152"/>
        <v>0</v>
      </c>
      <c r="BD394" s="14">
        <f t="shared" si="152"/>
        <v>0</v>
      </c>
      <c r="BE394" s="14">
        <f t="shared" si="152"/>
        <v>0</v>
      </c>
      <c r="BG394" s="14">
        <f t="shared" si="145"/>
        <v>32351.805439330547</v>
      </c>
      <c r="BH394" s="14">
        <f t="shared" si="145"/>
        <v>0</v>
      </c>
      <c r="BI394" s="14">
        <f t="shared" si="145"/>
        <v>0</v>
      </c>
      <c r="BJ394" s="14">
        <f t="shared" si="145"/>
        <v>0</v>
      </c>
      <c r="BK394" s="14">
        <f t="shared" si="145"/>
        <v>0</v>
      </c>
      <c r="BL394" s="14">
        <f t="shared" si="145"/>
        <v>0</v>
      </c>
      <c r="BM394" s="14">
        <f t="shared" si="145"/>
        <v>0</v>
      </c>
    </row>
    <row r="395" spans="6:65">
      <c r="F395" s="18" t="str">
        <f t="shared" si="142"/>
        <v>Wall Finishes</v>
      </c>
      <c r="G395" s="17" t="str">
        <f t="shared" si="143"/>
        <v>£ Nominal</v>
      </c>
      <c r="I395" s="22" t="str">
        <f>iOptions!Q149</f>
        <v>Other Inflation</v>
      </c>
      <c r="AA395" s="14">
        <f t="shared" ref="AA395:BE395" si="153">AA361*_xlfn.IFNA(INDEX(AA$34:AA$38,MATCH($I395,$F$34:$F$38,0)),0)</f>
        <v>34582.964435146452</v>
      </c>
      <c r="AB395" s="14">
        <f t="shared" si="153"/>
        <v>0</v>
      </c>
      <c r="AC395" s="14">
        <f t="shared" si="153"/>
        <v>0</v>
      </c>
      <c r="AD395" s="14">
        <f t="shared" si="153"/>
        <v>0</v>
      </c>
      <c r="AE395" s="14">
        <f t="shared" si="153"/>
        <v>0</v>
      </c>
      <c r="AF395" s="14">
        <f t="shared" si="153"/>
        <v>0</v>
      </c>
      <c r="AG395" s="14">
        <f t="shared" si="153"/>
        <v>0</v>
      </c>
      <c r="AH395" s="14">
        <f t="shared" si="153"/>
        <v>0</v>
      </c>
      <c r="AI395" s="14">
        <f t="shared" si="153"/>
        <v>0</v>
      </c>
      <c r="AJ395" s="14">
        <f t="shared" si="153"/>
        <v>0</v>
      </c>
      <c r="AK395" s="14">
        <f t="shared" si="153"/>
        <v>0</v>
      </c>
      <c r="AL395" s="14">
        <f t="shared" si="153"/>
        <v>0</v>
      </c>
      <c r="AM395" s="14">
        <f t="shared" si="153"/>
        <v>0</v>
      </c>
      <c r="AN395" s="14">
        <f t="shared" si="153"/>
        <v>0</v>
      </c>
      <c r="AO395" s="14">
        <f t="shared" si="153"/>
        <v>0</v>
      </c>
      <c r="AP395" s="14">
        <f t="shared" si="153"/>
        <v>0</v>
      </c>
      <c r="AQ395" s="14">
        <f t="shared" si="153"/>
        <v>0</v>
      </c>
      <c r="AR395" s="14">
        <f t="shared" si="153"/>
        <v>0</v>
      </c>
      <c r="AS395" s="14">
        <f t="shared" si="153"/>
        <v>0</v>
      </c>
      <c r="AT395" s="14">
        <f t="shared" si="153"/>
        <v>0</v>
      </c>
      <c r="AU395" s="14">
        <f t="shared" si="153"/>
        <v>0</v>
      </c>
      <c r="AV395" s="14">
        <f t="shared" si="153"/>
        <v>0</v>
      </c>
      <c r="AW395" s="14">
        <f t="shared" si="153"/>
        <v>0</v>
      </c>
      <c r="AX395" s="14">
        <f t="shared" si="153"/>
        <v>0</v>
      </c>
      <c r="AY395" s="14">
        <f t="shared" si="153"/>
        <v>0</v>
      </c>
      <c r="AZ395" s="14">
        <f t="shared" si="153"/>
        <v>0</v>
      </c>
      <c r="BA395" s="14">
        <f t="shared" si="153"/>
        <v>0</v>
      </c>
      <c r="BB395" s="14">
        <f t="shared" si="153"/>
        <v>0</v>
      </c>
      <c r="BC395" s="14">
        <f t="shared" si="153"/>
        <v>0</v>
      </c>
      <c r="BD395" s="14">
        <f t="shared" si="153"/>
        <v>0</v>
      </c>
      <c r="BE395" s="14">
        <f t="shared" si="153"/>
        <v>0</v>
      </c>
      <c r="BG395" s="14">
        <f t="shared" si="145"/>
        <v>34582.964435146452</v>
      </c>
      <c r="BH395" s="14">
        <f t="shared" si="145"/>
        <v>0</v>
      </c>
      <c r="BI395" s="14">
        <f t="shared" si="145"/>
        <v>0</v>
      </c>
      <c r="BJ395" s="14">
        <f t="shared" si="145"/>
        <v>0</v>
      </c>
      <c r="BK395" s="14">
        <f t="shared" si="145"/>
        <v>0</v>
      </c>
      <c r="BL395" s="14">
        <f t="shared" si="145"/>
        <v>0</v>
      </c>
      <c r="BM395" s="14">
        <f t="shared" si="145"/>
        <v>0</v>
      </c>
    </row>
    <row r="396" spans="6:65">
      <c r="F396" s="18" t="str">
        <f t="shared" si="142"/>
        <v>Floor Finishes</v>
      </c>
      <c r="G396" s="17" t="str">
        <f t="shared" si="143"/>
        <v>£ Nominal</v>
      </c>
      <c r="I396" s="22" t="str">
        <f>iOptions!Q150</f>
        <v>Other Inflation</v>
      </c>
      <c r="AA396" s="14">
        <f t="shared" ref="AA396:BE396" si="154">AA362*_xlfn.IFNA(INDEX(AA$34:AA$38,MATCH($I396,$F$34:$F$38,0)),0)</f>
        <v>158412.28870292887</v>
      </c>
      <c r="AB396" s="14">
        <f t="shared" si="154"/>
        <v>0</v>
      </c>
      <c r="AC396" s="14">
        <f t="shared" si="154"/>
        <v>0</v>
      </c>
      <c r="AD396" s="14">
        <f t="shared" si="154"/>
        <v>0</v>
      </c>
      <c r="AE396" s="14">
        <f t="shared" si="154"/>
        <v>0</v>
      </c>
      <c r="AF396" s="14">
        <f t="shared" si="154"/>
        <v>0</v>
      </c>
      <c r="AG396" s="14">
        <f t="shared" si="154"/>
        <v>0</v>
      </c>
      <c r="AH396" s="14">
        <f t="shared" si="154"/>
        <v>0</v>
      </c>
      <c r="AI396" s="14">
        <f t="shared" si="154"/>
        <v>0</v>
      </c>
      <c r="AJ396" s="14">
        <f t="shared" si="154"/>
        <v>0</v>
      </c>
      <c r="AK396" s="14">
        <f t="shared" si="154"/>
        <v>0</v>
      </c>
      <c r="AL396" s="14">
        <f t="shared" si="154"/>
        <v>0</v>
      </c>
      <c r="AM396" s="14">
        <f t="shared" si="154"/>
        <v>0</v>
      </c>
      <c r="AN396" s="14">
        <f t="shared" si="154"/>
        <v>0</v>
      </c>
      <c r="AO396" s="14">
        <f t="shared" si="154"/>
        <v>0</v>
      </c>
      <c r="AP396" s="14">
        <f t="shared" si="154"/>
        <v>0</v>
      </c>
      <c r="AQ396" s="14">
        <f t="shared" si="154"/>
        <v>0</v>
      </c>
      <c r="AR396" s="14">
        <f t="shared" si="154"/>
        <v>0</v>
      </c>
      <c r="AS396" s="14">
        <f t="shared" si="154"/>
        <v>0</v>
      </c>
      <c r="AT396" s="14">
        <f t="shared" si="154"/>
        <v>0</v>
      </c>
      <c r="AU396" s="14">
        <f t="shared" si="154"/>
        <v>0</v>
      </c>
      <c r="AV396" s="14">
        <f t="shared" si="154"/>
        <v>0</v>
      </c>
      <c r="AW396" s="14">
        <f t="shared" si="154"/>
        <v>0</v>
      </c>
      <c r="AX396" s="14">
        <f t="shared" si="154"/>
        <v>0</v>
      </c>
      <c r="AY396" s="14">
        <f t="shared" si="154"/>
        <v>0</v>
      </c>
      <c r="AZ396" s="14">
        <f t="shared" si="154"/>
        <v>0</v>
      </c>
      <c r="BA396" s="14">
        <f t="shared" si="154"/>
        <v>0</v>
      </c>
      <c r="BB396" s="14">
        <f t="shared" si="154"/>
        <v>0</v>
      </c>
      <c r="BC396" s="14">
        <f t="shared" si="154"/>
        <v>0</v>
      </c>
      <c r="BD396" s="14">
        <f t="shared" si="154"/>
        <v>0</v>
      </c>
      <c r="BE396" s="14">
        <f t="shared" si="154"/>
        <v>0</v>
      </c>
      <c r="BG396" s="14">
        <f t="shared" si="145"/>
        <v>158412.28870292887</v>
      </c>
      <c r="BH396" s="14">
        <f t="shared" si="145"/>
        <v>0</v>
      </c>
      <c r="BI396" s="14">
        <f t="shared" si="145"/>
        <v>0</v>
      </c>
      <c r="BJ396" s="14">
        <f t="shared" si="145"/>
        <v>0</v>
      </c>
      <c r="BK396" s="14">
        <f t="shared" si="145"/>
        <v>0</v>
      </c>
      <c r="BL396" s="14">
        <f t="shared" si="145"/>
        <v>0</v>
      </c>
      <c r="BM396" s="14">
        <f t="shared" si="145"/>
        <v>0</v>
      </c>
    </row>
    <row r="397" spans="6:65">
      <c r="F397" s="18" t="str">
        <f t="shared" si="142"/>
        <v>Ceiling Finishes</v>
      </c>
      <c r="G397" s="17" t="str">
        <f t="shared" si="143"/>
        <v>£ Nominal</v>
      </c>
      <c r="I397" s="22" t="str">
        <f>iOptions!Q151</f>
        <v>Other Inflation</v>
      </c>
      <c r="AA397" s="14">
        <f t="shared" ref="AA397:BE397" si="155">AA363*_xlfn.IFNA(INDEX(AA$34:AA$38,MATCH($I397,$F$34:$F$38,0)),0)</f>
        <v>30120.646443514648</v>
      </c>
      <c r="AB397" s="14">
        <f t="shared" si="155"/>
        <v>0</v>
      </c>
      <c r="AC397" s="14">
        <f t="shared" si="155"/>
        <v>0</v>
      </c>
      <c r="AD397" s="14">
        <f t="shared" si="155"/>
        <v>0</v>
      </c>
      <c r="AE397" s="14">
        <f t="shared" si="155"/>
        <v>0</v>
      </c>
      <c r="AF397" s="14">
        <f t="shared" si="155"/>
        <v>0</v>
      </c>
      <c r="AG397" s="14">
        <f t="shared" si="155"/>
        <v>0</v>
      </c>
      <c r="AH397" s="14">
        <f t="shared" si="155"/>
        <v>0</v>
      </c>
      <c r="AI397" s="14">
        <f t="shared" si="155"/>
        <v>0</v>
      </c>
      <c r="AJ397" s="14">
        <f t="shared" si="155"/>
        <v>0</v>
      </c>
      <c r="AK397" s="14">
        <f t="shared" si="155"/>
        <v>0</v>
      </c>
      <c r="AL397" s="14">
        <f t="shared" si="155"/>
        <v>0</v>
      </c>
      <c r="AM397" s="14">
        <f t="shared" si="155"/>
        <v>0</v>
      </c>
      <c r="AN397" s="14">
        <f t="shared" si="155"/>
        <v>0</v>
      </c>
      <c r="AO397" s="14">
        <f t="shared" si="155"/>
        <v>0</v>
      </c>
      <c r="AP397" s="14">
        <f t="shared" si="155"/>
        <v>0</v>
      </c>
      <c r="AQ397" s="14">
        <f t="shared" si="155"/>
        <v>0</v>
      </c>
      <c r="AR397" s="14">
        <f t="shared" si="155"/>
        <v>0</v>
      </c>
      <c r="AS397" s="14">
        <f t="shared" si="155"/>
        <v>0</v>
      </c>
      <c r="AT397" s="14">
        <f t="shared" si="155"/>
        <v>0</v>
      </c>
      <c r="AU397" s="14">
        <f t="shared" si="155"/>
        <v>0</v>
      </c>
      <c r="AV397" s="14">
        <f t="shared" si="155"/>
        <v>0</v>
      </c>
      <c r="AW397" s="14">
        <f t="shared" si="155"/>
        <v>0</v>
      </c>
      <c r="AX397" s="14">
        <f t="shared" si="155"/>
        <v>0</v>
      </c>
      <c r="AY397" s="14">
        <f t="shared" si="155"/>
        <v>0</v>
      </c>
      <c r="AZ397" s="14">
        <f t="shared" si="155"/>
        <v>0</v>
      </c>
      <c r="BA397" s="14">
        <f t="shared" si="155"/>
        <v>0</v>
      </c>
      <c r="BB397" s="14">
        <f t="shared" si="155"/>
        <v>0</v>
      </c>
      <c r="BC397" s="14">
        <f t="shared" si="155"/>
        <v>0</v>
      </c>
      <c r="BD397" s="14">
        <f t="shared" si="155"/>
        <v>0</v>
      </c>
      <c r="BE397" s="14">
        <f t="shared" si="155"/>
        <v>0</v>
      </c>
      <c r="BG397" s="14">
        <f t="shared" si="145"/>
        <v>30120.646443514648</v>
      </c>
      <c r="BH397" s="14">
        <f t="shared" si="145"/>
        <v>0</v>
      </c>
      <c r="BI397" s="14">
        <f t="shared" si="145"/>
        <v>0</v>
      </c>
      <c r="BJ397" s="14">
        <f t="shared" si="145"/>
        <v>0</v>
      </c>
      <c r="BK397" s="14">
        <f t="shared" si="145"/>
        <v>0</v>
      </c>
      <c r="BL397" s="14">
        <f t="shared" si="145"/>
        <v>0</v>
      </c>
      <c r="BM397" s="14">
        <f t="shared" si="145"/>
        <v>0</v>
      </c>
    </row>
    <row r="398" spans="6:65">
      <c r="F398" s="18" t="str">
        <f t="shared" si="142"/>
        <v>Furniture &amp; Fittings</v>
      </c>
      <c r="G398" s="17" t="str">
        <f t="shared" si="143"/>
        <v>£ Nominal</v>
      </c>
      <c r="I398" s="22" t="str">
        <f>iOptions!Q152</f>
        <v>Other Inflation</v>
      </c>
      <c r="AA398" s="14">
        <f t="shared" ref="AA398:BE398" si="156">AA364*_xlfn.IFNA(INDEX(AA$34:AA$38,MATCH($I398,$F$34:$F$38,0)),0)</f>
        <v>76974.985355648547</v>
      </c>
      <c r="AB398" s="14">
        <f t="shared" si="156"/>
        <v>0</v>
      </c>
      <c r="AC398" s="14">
        <f t="shared" si="156"/>
        <v>0</v>
      </c>
      <c r="AD398" s="14">
        <f t="shared" si="156"/>
        <v>0</v>
      </c>
      <c r="AE398" s="14">
        <f t="shared" si="156"/>
        <v>0</v>
      </c>
      <c r="AF398" s="14">
        <f t="shared" si="156"/>
        <v>0</v>
      </c>
      <c r="AG398" s="14">
        <f t="shared" si="156"/>
        <v>0</v>
      </c>
      <c r="AH398" s="14">
        <f t="shared" si="156"/>
        <v>0</v>
      </c>
      <c r="AI398" s="14">
        <f t="shared" si="156"/>
        <v>0</v>
      </c>
      <c r="AJ398" s="14">
        <f t="shared" si="156"/>
        <v>0</v>
      </c>
      <c r="AK398" s="14">
        <f t="shared" si="156"/>
        <v>0</v>
      </c>
      <c r="AL398" s="14">
        <f t="shared" si="156"/>
        <v>0</v>
      </c>
      <c r="AM398" s="14">
        <f t="shared" si="156"/>
        <v>0</v>
      </c>
      <c r="AN398" s="14">
        <f t="shared" si="156"/>
        <v>0</v>
      </c>
      <c r="AO398" s="14">
        <f t="shared" si="156"/>
        <v>0</v>
      </c>
      <c r="AP398" s="14">
        <f t="shared" si="156"/>
        <v>0</v>
      </c>
      <c r="AQ398" s="14">
        <f t="shared" si="156"/>
        <v>0</v>
      </c>
      <c r="AR398" s="14">
        <f t="shared" si="156"/>
        <v>0</v>
      </c>
      <c r="AS398" s="14">
        <f t="shared" si="156"/>
        <v>0</v>
      </c>
      <c r="AT398" s="14">
        <f t="shared" si="156"/>
        <v>0</v>
      </c>
      <c r="AU398" s="14">
        <f t="shared" si="156"/>
        <v>0</v>
      </c>
      <c r="AV398" s="14">
        <f t="shared" si="156"/>
        <v>0</v>
      </c>
      <c r="AW398" s="14">
        <f t="shared" si="156"/>
        <v>0</v>
      </c>
      <c r="AX398" s="14">
        <f t="shared" si="156"/>
        <v>0</v>
      </c>
      <c r="AY398" s="14">
        <f t="shared" si="156"/>
        <v>0</v>
      </c>
      <c r="AZ398" s="14">
        <f t="shared" si="156"/>
        <v>0</v>
      </c>
      <c r="BA398" s="14">
        <f t="shared" si="156"/>
        <v>0</v>
      </c>
      <c r="BB398" s="14">
        <f t="shared" si="156"/>
        <v>0</v>
      </c>
      <c r="BC398" s="14">
        <f t="shared" si="156"/>
        <v>0</v>
      </c>
      <c r="BD398" s="14">
        <f t="shared" si="156"/>
        <v>0</v>
      </c>
      <c r="BE398" s="14">
        <f t="shared" si="156"/>
        <v>0</v>
      </c>
      <c r="BG398" s="14">
        <f t="shared" si="145"/>
        <v>76974.985355648547</v>
      </c>
      <c r="BH398" s="14">
        <f t="shared" si="145"/>
        <v>0</v>
      </c>
      <c r="BI398" s="14">
        <f t="shared" si="145"/>
        <v>0</v>
      </c>
      <c r="BJ398" s="14">
        <f t="shared" si="145"/>
        <v>0</v>
      </c>
      <c r="BK398" s="14">
        <f t="shared" si="145"/>
        <v>0</v>
      </c>
      <c r="BL398" s="14">
        <f t="shared" si="145"/>
        <v>0</v>
      </c>
      <c r="BM398" s="14">
        <f t="shared" si="145"/>
        <v>0</v>
      </c>
    </row>
    <row r="399" spans="6:65">
      <c r="F399" s="18" t="str">
        <f t="shared" si="142"/>
        <v>Sanitary Fittings</v>
      </c>
      <c r="G399" s="17" t="str">
        <f t="shared" si="143"/>
        <v>£ Nominal</v>
      </c>
      <c r="I399" s="22" t="str">
        <f>iOptions!Q153</f>
        <v>Other Inflation</v>
      </c>
      <c r="AA399" s="14">
        <f t="shared" ref="AA399:BE399" si="157">AA365*_xlfn.IFNA(INDEX(AA$34:AA$38,MATCH($I399,$F$34:$F$38,0)),0)</f>
        <v>11155.794979079499</v>
      </c>
      <c r="AB399" s="14">
        <f t="shared" si="157"/>
        <v>0</v>
      </c>
      <c r="AC399" s="14">
        <f t="shared" si="157"/>
        <v>0</v>
      </c>
      <c r="AD399" s="14">
        <f t="shared" si="157"/>
        <v>0</v>
      </c>
      <c r="AE399" s="14">
        <f t="shared" si="157"/>
        <v>0</v>
      </c>
      <c r="AF399" s="14">
        <f t="shared" si="157"/>
        <v>0</v>
      </c>
      <c r="AG399" s="14">
        <f t="shared" si="157"/>
        <v>0</v>
      </c>
      <c r="AH399" s="14">
        <f t="shared" si="157"/>
        <v>0</v>
      </c>
      <c r="AI399" s="14">
        <f t="shared" si="157"/>
        <v>0</v>
      </c>
      <c r="AJ399" s="14">
        <f t="shared" si="157"/>
        <v>0</v>
      </c>
      <c r="AK399" s="14">
        <f t="shared" si="157"/>
        <v>0</v>
      </c>
      <c r="AL399" s="14">
        <f t="shared" si="157"/>
        <v>0</v>
      </c>
      <c r="AM399" s="14">
        <f t="shared" si="157"/>
        <v>0</v>
      </c>
      <c r="AN399" s="14">
        <f t="shared" si="157"/>
        <v>0</v>
      </c>
      <c r="AO399" s="14">
        <f t="shared" si="157"/>
        <v>0</v>
      </c>
      <c r="AP399" s="14">
        <f t="shared" si="157"/>
        <v>0</v>
      </c>
      <c r="AQ399" s="14">
        <f t="shared" si="157"/>
        <v>0</v>
      </c>
      <c r="AR399" s="14">
        <f t="shared" si="157"/>
        <v>0</v>
      </c>
      <c r="AS399" s="14">
        <f t="shared" si="157"/>
        <v>0</v>
      </c>
      <c r="AT399" s="14">
        <f t="shared" si="157"/>
        <v>0</v>
      </c>
      <c r="AU399" s="14">
        <f t="shared" si="157"/>
        <v>0</v>
      </c>
      <c r="AV399" s="14">
        <f t="shared" si="157"/>
        <v>0</v>
      </c>
      <c r="AW399" s="14">
        <f t="shared" si="157"/>
        <v>0</v>
      </c>
      <c r="AX399" s="14">
        <f t="shared" si="157"/>
        <v>0</v>
      </c>
      <c r="AY399" s="14">
        <f t="shared" si="157"/>
        <v>0</v>
      </c>
      <c r="AZ399" s="14">
        <f t="shared" si="157"/>
        <v>0</v>
      </c>
      <c r="BA399" s="14">
        <f t="shared" si="157"/>
        <v>0</v>
      </c>
      <c r="BB399" s="14">
        <f t="shared" si="157"/>
        <v>0</v>
      </c>
      <c r="BC399" s="14">
        <f t="shared" si="157"/>
        <v>0</v>
      </c>
      <c r="BD399" s="14">
        <f t="shared" si="157"/>
        <v>0</v>
      </c>
      <c r="BE399" s="14">
        <f t="shared" si="157"/>
        <v>0</v>
      </c>
      <c r="BG399" s="14">
        <f t="shared" si="145"/>
        <v>11155.794979079499</v>
      </c>
      <c r="BH399" s="14">
        <f t="shared" si="145"/>
        <v>0</v>
      </c>
      <c r="BI399" s="14">
        <f t="shared" si="145"/>
        <v>0</v>
      </c>
      <c r="BJ399" s="14">
        <f t="shared" si="145"/>
        <v>0</v>
      </c>
      <c r="BK399" s="14">
        <f t="shared" si="145"/>
        <v>0</v>
      </c>
      <c r="BL399" s="14">
        <f t="shared" si="145"/>
        <v>0</v>
      </c>
      <c r="BM399" s="14">
        <f t="shared" si="145"/>
        <v>0</v>
      </c>
    </row>
    <row r="400" spans="6:65">
      <c r="F400" s="18" t="str">
        <f t="shared" si="142"/>
        <v>Services Equipment</v>
      </c>
      <c r="G400" s="17" t="str">
        <f t="shared" si="143"/>
        <v>£ Nominal</v>
      </c>
      <c r="I400" s="22" t="str">
        <f>iOptions!Q154</f>
        <v>Other Inflation</v>
      </c>
      <c r="AA400" s="14">
        <f t="shared" ref="AA400:BE400" si="158">AA366*_xlfn.IFNA(INDEX(AA$34:AA$38,MATCH($I400,$F$34:$F$38,0)),0)</f>
        <v>90361.93933054393</v>
      </c>
      <c r="AB400" s="14">
        <f t="shared" si="158"/>
        <v>0</v>
      </c>
      <c r="AC400" s="14">
        <f t="shared" si="158"/>
        <v>0</v>
      </c>
      <c r="AD400" s="14">
        <f t="shared" si="158"/>
        <v>0</v>
      </c>
      <c r="AE400" s="14">
        <f t="shared" si="158"/>
        <v>0</v>
      </c>
      <c r="AF400" s="14">
        <f t="shared" si="158"/>
        <v>0</v>
      </c>
      <c r="AG400" s="14">
        <f t="shared" si="158"/>
        <v>0</v>
      </c>
      <c r="AH400" s="14">
        <f t="shared" si="158"/>
        <v>0</v>
      </c>
      <c r="AI400" s="14">
        <f t="shared" si="158"/>
        <v>0</v>
      </c>
      <c r="AJ400" s="14">
        <f t="shared" si="158"/>
        <v>0</v>
      </c>
      <c r="AK400" s="14">
        <f t="shared" si="158"/>
        <v>0</v>
      </c>
      <c r="AL400" s="14">
        <f t="shared" si="158"/>
        <v>0</v>
      </c>
      <c r="AM400" s="14">
        <f t="shared" si="158"/>
        <v>0</v>
      </c>
      <c r="AN400" s="14">
        <f t="shared" si="158"/>
        <v>0</v>
      </c>
      <c r="AO400" s="14">
        <f t="shared" si="158"/>
        <v>0</v>
      </c>
      <c r="AP400" s="14">
        <f t="shared" si="158"/>
        <v>0</v>
      </c>
      <c r="AQ400" s="14">
        <f t="shared" si="158"/>
        <v>0</v>
      </c>
      <c r="AR400" s="14">
        <f t="shared" si="158"/>
        <v>0</v>
      </c>
      <c r="AS400" s="14">
        <f t="shared" si="158"/>
        <v>0</v>
      </c>
      <c r="AT400" s="14">
        <f t="shared" si="158"/>
        <v>0</v>
      </c>
      <c r="AU400" s="14">
        <f t="shared" si="158"/>
        <v>0</v>
      </c>
      <c r="AV400" s="14">
        <f t="shared" si="158"/>
        <v>0</v>
      </c>
      <c r="AW400" s="14">
        <f t="shared" si="158"/>
        <v>0</v>
      </c>
      <c r="AX400" s="14">
        <f t="shared" si="158"/>
        <v>0</v>
      </c>
      <c r="AY400" s="14">
        <f t="shared" si="158"/>
        <v>0</v>
      </c>
      <c r="AZ400" s="14">
        <f t="shared" si="158"/>
        <v>0</v>
      </c>
      <c r="BA400" s="14">
        <f t="shared" si="158"/>
        <v>0</v>
      </c>
      <c r="BB400" s="14">
        <f t="shared" si="158"/>
        <v>0</v>
      </c>
      <c r="BC400" s="14">
        <f t="shared" si="158"/>
        <v>0</v>
      </c>
      <c r="BD400" s="14">
        <f t="shared" si="158"/>
        <v>0</v>
      </c>
      <c r="BE400" s="14">
        <f t="shared" si="158"/>
        <v>0</v>
      </c>
      <c r="BG400" s="14">
        <f t="shared" si="145"/>
        <v>90361.93933054393</v>
      </c>
      <c r="BH400" s="14">
        <f t="shared" si="145"/>
        <v>0</v>
      </c>
      <c r="BI400" s="14">
        <f t="shared" si="145"/>
        <v>0</v>
      </c>
      <c r="BJ400" s="14">
        <f t="shared" si="145"/>
        <v>0</v>
      </c>
      <c r="BK400" s="14">
        <f t="shared" si="145"/>
        <v>0</v>
      </c>
      <c r="BL400" s="14">
        <f t="shared" si="145"/>
        <v>0</v>
      </c>
      <c r="BM400" s="14">
        <f t="shared" si="145"/>
        <v>0</v>
      </c>
    </row>
    <row r="401" spans="1:65">
      <c r="F401" s="18" t="str">
        <f t="shared" si="142"/>
        <v>Disposal Installations</v>
      </c>
      <c r="G401" s="17" t="str">
        <f t="shared" si="143"/>
        <v>£ Nominal</v>
      </c>
      <c r="I401" s="22" t="str">
        <f>iOptions!Q155</f>
        <v>Other Inflation</v>
      </c>
      <c r="AA401" s="14">
        <f t="shared" ref="AA401:BE401" si="159">AA367*_xlfn.IFNA(INDEX(AA$34:AA$38,MATCH($I401,$F$34:$F$38,0)),0)</f>
        <v>17849.271966527198</v>
      </c>
      <c r="AB401" s="14">
        <f t="shared" si="159"/>
        <v>0</v>
      </c>
      <c r="AC401" s="14">
        <f t="shared" si="159"/>
        <v>0</v>
      </c>
      <c r="AD401" s="14">
        <f t="shared" si="159"/>
        <v>0</v>
      </c>
      <c r="AE401" s="14">
        <f t="shared" si="159"/>
        <v>0</v>
      </c>
      <c r="AF401" s="14">
        <f t="shared" si="159"/>
        <v>0</v>
      </c>
      <c r="AG401" s="14">
        <f t="shared" si="159"/>
        <v>0</v>
      </c>
      <c r="AH401" s="14">
        <f t="shared" si="159"/>
        <v>0</v>
      </c>
      <c r="AI401" s="14">
        <f t="shared" si="159"/>
        <v>0</v>
      </c>
      <c r="AJ401" s="14">
        <f t="shared" si="159"/>
        <v>0</v>
      </c>
      <c r="AK401" s="14">
        <f t="shared" si="159"/>
        <v>0</v>
      </c>
      <c r="AL401" s="14">
        <f t="shared" si="159"/>
        <v>0</v>
      </c>
      <c r="AM401" s="14">
        <f t="shared" si="159"/>
        <v>0</v>
      </c>
      <c r="AN401" s="14">
        <f t="shared" si="159"/>
        <v>0</v>
      </c>
      <c r="AO401" s="14">
        <f t="shared" si="159"/>
        <v>0</v>
      </c>
      <c r="AP401" s="14">
        <f t="shared" si="159"/>
        <v>0</v>
      </c>
      <c r="AQ401" s="14">
        <f t="shared" si="159"/>
        <v>0</v>
      </c>
      <c r="AR401" s="14">
        <f t="shared" si="159"/>
        <v>0</v>
      </c>
      <c r="AS401" s="14">
        <f t="shared" si="159"/>
        <v>0</v>
      </c>
      <c r="AT401" s="14">
        <f t="shared" si="159"/>
        <v>0</v>
      </c>
      <c r="AU401" s="14">
        <f t="shared" si="159"/>
        <v>0</v>
      </c>
      <c r="AV401" s="14">
        <f t="shared" si="159"/>
        <v>0</v>
      </c>
      <c r="AW401" s="14">
        <f t="shared" si="159"/>
        <v>0</v>
      </c>
      <c r="AX401" s="14">
        <f t="shared" si="159"/>
        <v>0</v>
      </c>
      <c r="AY401" s="14">
        <f t="shared" si="159"/>
        <v>0</v>
      </c>
      <c r="AZ401" s="14">
        <f t="shared" si="159"/>
        <v>0</v>
      </c>
      <c r="BA401" s="14">
        <f t="shared" si="159"/>
        <v>0</v>
      </c>
      <c r="BB401" s="14">
        <f t="shared" si="159"/>
        <v>0</v>
      </c>
      <c r="BC401" s="14">
        <f t="shared" si="159"/>
        <v>0</v>
      </c>
      <c r="BD401" s="14">
        <f t="shared" si="159"/>
        <v>0</v>
      </c>
      <c r="BE401" s="14">
        <f t="shared" si="159"/>
        <v>0</v>
      </c>
      <c r="BG401" s="14">
        <f t="shared" si="145"/>
        <v>17849.271966527198</v>
      </c>
      <c r="BH401" s="14">
        <f t="shared" si="145"/>
        <v>0</v>
      </c>
      <c r="BI401" s="14">
        <f t="shared" si="145"/>
        <v>0</v>
      </c>
      <c r="BJ401" s="14">
        <f t="shared" si="145"/>
        <v>0</v>
      </c>
      <c r="BK401" s="14">
        <f t="shared" si="145"/>
        <v>0</v>
      </c>
      <c r="BL401" s="14">
        <f t="shared" si="145"/>
        <v>0</v>
      </c>
      <c r="BM401" s="14">
        <f t="shared" si="145"/>
        <v>0</v>
      </c>
    </row>
    <row r="402" spans="1:65">
      <c r="F402" s="18" t="str">
        <f t="shared" si="142"/>
        <v>Water Installations</v>
      </c>
      <c r="G402" s="17" t="str">
        <f t="shared" si="143"/>
        <v>£ Nominal</v>
      </c>
      <c r="I402" s="22" t="str">
        <f>iOptions!Q156</f>
        <v>Other Inflation</v>
      </c>
      <c r="AA402" s="14">
        <f t="shared" ref="AA402:BE402" si="160">AA368*_xlfn.IFNA(INDEX(AA$34:AA$38,MATCH($I402,$F$34:$F$38,0)),0)</f>
        <v>14502.53347280335</v>
      </c>
      <c r="AB402" s="14">
        <f t="shared" si="160"/>
        <v>0</v>
      </c>
      <c r="AC402" s="14">
        <f t="shared" si="160"/>
        <v>0</v>
      </c>
      <c r="AD402" s="14">
        <f t="shared" si="160"/>
        <v>0</v>
      </c>
      <c r="AE402" s="14">
        <f t="shared" si="160"/>
        <v>0</v>
      </c>
      <c r="AF402" s="14">
        <f t="shared" si="160"/>
        <v>0</v>
      </c>
      <c r="AG402" s="14">
        <f t="shared" si="160"/>
        <v>0</v>
      </c>
      <c r="AH402" s="14">
        <f t="shared" si="160"/>
        <v>0</v>
      </c>
      <c r="AI402" s="14">
        <f t="shared" si="160"/>
        <v>0</v>
      </c>
      <c r="AJ402" s="14">
        <f t="shared" si="160"/>
        <v>0</v>
      </c>
      <c r="AK402" s="14">
        <f t="shared" si="160"/>
        <v>0</v>
      </c>
      <c r="AL402" s="14">
        <f t="shared" si="160"/>
        <v>0</v>
      </c>
      <c r="AM402" s="14">
        <f t="shared" si="160"/>
        <v>0</v>
      </c>
      <c r="AN402" s="14">
        <f t="shared" si="160"/>
        <v>0</v>
      </c>
      <c r="AO402" s="14">
        <f t="shared" si="160"/>
        <v>0</v>
      </c>
      <c r="AP402" s="14">
        <f t="shared" si="160"/>
        <v>0</v>
      </c>
      <c r="AQ402" s="14">
        <f t="shared" si="160"/>
        <v>0</v>
      </c>
      <c r="AR402" s="14">
        <f t="shared" si="160"/>
        <v>0</v>
      </c>
      <c r="AS402" s="14">
        <f t="shared" si="160"/>
        <v>0</v>
      </c>
      <c r="AT402" s="14">
        <f t="shared" si="160"/>
        <v>0</v>
      </c>
      <c r="AU402" s="14">
        <f t="shared" si="160"/>
        <v>0</v>
      </c>
      <c r="AV402" s="14">
        <f t="shared" si="160"/>
        <v>0</v>
      </c>
      <c r="AW402" s="14">
        <f t="shared" si="160"/>
        <v>0</v>
      </c>
      <c r="AX402" s="14">
        <f t="shared" si="160"/>
        <v>0</v>
      </c>
      <c r="AY402" s="14">
        <f t="shared" si="160"/>
        <v>0</v>
      </c>
      <c r="AZ402" s="14">
        <f t="shared" si="160"/>
        <v>0</v>
      </c>
      <c r="BA402" s="14">
        <f t="shared" si="160"/>
        <v>0</v>
      </c>
      <c r="BB402" s="14">
        <f t="shared" si="160"/>
        <v>0</v>
      </c>
      <c r="BC402" s="14">
        <f t="shared" si="160"/>
        <v>0</v>
      </c>
      <c r="BD402" s="14">
        <f t="shared" si="160"/>
        <v>0</v>
      </c>
      <c r="BE402" s="14">
        <f t="shared" si="160"/>
        <v>0</v>
      </c>
      <c r="BG402" s="14">
        <f t="shared" si="145"/>
        <v>14502.53347280335</v>
      </c>
      <c r="BH402" s="14">
        <f t="shared" si="145"/>
        <v>0</v>
      </c>
      <c r="BI402" s="14">
        <f t="shared" si="145"/>
        <v>0</v>
      </c>
      <c r="BJ402" s="14">
        <f t="shared" si="145"/>
        <v>0</v>
      </c>
      <c r="BK402" s="14">
        <f t="shared" si="145"/>
        <v>0</v>
      </c>
      <c r="BL402" s="14">
        <f t="shared" si="145"/>
        <v>0</v>
      </c>
      <c r="BM402" s="14">
        <f t="shared" si="145"/>
        <v>0</v>
      </c>
    </row>
    <row r="403" spans="1:65">
      <c r="F403" s="18" t="str">
        <f t="shared" si="142"/>
        <v>Space Heating &amp; Air Treatment</v>
      </c>
      <c r="G403" s="17" t="str">
        <f t="shared" si="143"/>
        <v>£ Nominal</v>
      </c>
      <c r="I403" s="22" t="str">
        <f>iOptions!Q157</f>
        <v>Other Inflation</v>
      </c>
      <c r="AA403" s="14">
        <f t="shared" ref="AA403:BE403" si="161">AA369*_xlfn.IFNA(INDEX(AA$34:AA$38,MATCH($I403,$F$34:$F$38,0)),0)</f>
        <v>497548.45606694568</v>
      </c>
      <c r="AB403" s="14">
        <f t="shared" si="161"/>
        <v>0</v>
      </c>
      <c r="AC403" s="14">
        <f t="shared" si="161"/>
        <v>0</v>
      </c>
      <c r="AD403" s="14">
        <f t="shared" si="161"/>
        <v>0</v>
      </c>
      <c r="AE403" s="14">
        <f t="shared" si="161"/>
        <v>0</v>
      </c>
      <c r="AF403" s="14">
        <f t="shared" si="161"/>
        <v>0</v>
      </c>
      <c r="AG403" s="14">
        <f t="shared" si="161"/>
        <v>0</v>
      </c>
      <c r="AH403" s="14">
        <f t="shared" si="161"/>
        <v>0</v>
      </c>
      <c r="AI403" s="14">
        <f t="shared" si="161"/>
        <v>0</v>
      </c>
      <c r="AJ403" s="14">
        <f t="shared" si="161"/>
        <v>0</v>
      </c>
      <c r="AK403" s="14">
        <f t="shared" si="161"/>
        <v>0</v>
      </c>
      <c r="AL403" s="14">
        <f t="shared" si="161"/>
        <v>0</v>
      </c>
      <c r="AM403" s="14">
        <f t="shared" si="161"/>
        <v>0</v>
      </c>
      <c r="AN403" s="14">
        <f t="shared" si="161"/>
        <v>0</v>
      </c>
      <c r="AO403" s="14">
        <f t="shared" si="161"/>
        <v>0</v>
      </c>
      <c r="AP403" s="14">
        <f t="shared" si="161"/>
        <v>0</v>
      </c>
      <c r="AQ403" s="14">
        <f t="shared" si="161"/>
        <v>0</v>
      </c>
      <c r="AR403" s="14">
        <f t="shared" si="161"/>
        <v>0</v>
      </c>
      <c r="AS403" s="14">
        <f t="shared" si="161"/>
        <v>0</v>
      </c>
      <c r="AT403" s="14">
        <f t="shared" si="161"/>
        <v>0</v>
      </c>
      <c r="AU403" s="14">
        <f t="shared" si="161"/>
        <v>0</v>
      </c>
      <c r="AV403" s="14">
        <f t="shared" si="161"/>
        <v>0</v>
      </c>
      <c r="AW403" s="14">
        <f t="shared" si="161"/>
        <v>0</v>
      </c>
      <c r="AX403" s="14">
        <f t="shared" si="161"/>
        <v>0</v>
      </c>
      <c r="AY403" s="14">
        <f t="shared" si="161"/>
        <v>0</v>
      </c>
      <c r="AZ403" s="14">
        <f t="shared" si="161"/>
        <v>0</v>
      </c>
      <c r="BA403" s="14">
        <f t="shared" si="161"/>
        <v>0</v>
      </c>
      <c r="BB403" s="14">
        <f t="shared" si="161"/>
        <v>0</v>
      </c>
      <c r="BC403" s="14">
        <f t="shared" si="161"/>
        <v>0</v>
      </c>
      <c r="BD403" s="14">
        <f t="shared" si="161"/>
        <v>0</v>
      </c>
      <c r="BE403" s="14">
        <f t="shared" si="161"/>
        <v>0</v>
      </c>
      <c r="BG403" s="14">
        <f t="shared" si="145"/>
        <v>497548.45606694568</v>
      </c>
      <c r="BH403" s="14">
        <f t="shared" si="145"/>
        <v>0</v>
      </c>
      <c r="BI403" s="14">
        <f t="shared" si="145"/>
        <v>0</v>
      </c>
      <c r="BJ403" s="14">
        <f t="shared" si="145"/>
        <v>0</v>
      </c>
      <c r="BK403" s="14">
        <f t="shared" si="145"/>
        <v>0</v>
      </c>
      <c r="BL403" s="14">
        <f t="shared" si="145"/>
        <v>0</v>
      </c>
      <c r="BM403" s="14">
        <f t="shared" si="145"/>
        <v>0</v>
      </c>
    </row>
    <row r="404" spans="1:65">
      <c r="F404" s="18" t="str">
        <f t="shared" si="142"/>
        <v>Electrical Installations</v>
      </c>
      <c r="G404" s="17" t="str">
        <f t="shared" si="143"/>
        <v>£ Nominal</v>
      </c>
      <c r="I404" s="22" t="str">
        <f>iOptions!Q158</f>
        <v>Other Inflation</v>
      </c>
      <c r="AA404" s="14">
        <f t="shared" ref="AA404:BE404" si="162">AA370*_xlfn.IFNA(INDEX(AA$34:AA$38,MATCH($I404,$F$34:$F$38,0)),0)</f>
        <v>184070.61715481171</v>
      </c>
      <c r="AB404" s="14">
        <f t="shared" si="162"/>
        <v>0</v>
      </c>
      <c r="AC404" s="14">
        <f t="shared" si="162"/>
        <v>0</v>
      </c>
      <c r="AD404" s="14">
        <f t="shared" si="162"/>
        <v>0</v>
      </c>
      <c r="AE404" s="14">
        <f t="shared" si="162"/>
        <v>0</v>
      </c>
      <c r="AF404" s="14">
        <f t="shared" si="162"/>
        <v>0</v>
      </c>
      <c r="AG404" s="14">
        <f t="shared" si="162"/>
        <v>0</v>
      </c>
      <c r="AH404" s="14">
        <f t="shared" si="162"/>
        <v>0</v>
      </c>
      <c r="AI404" s="14">
        <f t="shared" si="162"/>
        <v>0</v>
      </c>
      <c r="AJ404" s="14">
        <f t="shared" si="162"/>
        <v>0</v>
      </c>
      <c r="AK404" s="14">
        <f t="shared" si="162"/>
        <v>0</v>
      </c>
      <c r="AL404" s="14">
        <f t="shared" si="162"/>
        <v>0</v>
      </c>
      <c r="AM404" s="14">
        <f t="shared" si="162"/>
        <v>0</v>
      </c>
      <c r="AN404" s="14">
        <f t="shared" si="162"/>
        <v>0</v>
      </c>
      <c r="AO404" s="14">
        <f t="shared" si="162"/>
        <v>0</v>
      </c>
      <c r="AP404" s="14">
        <f t="shared" si="162"/>
        <v>0</v>
      </c>
      <c r="AQ404" s="14">
        <f t="shared" si="162"/>
        <v>0</v>
      </c>
      <c r="AR404" s="14">
        <f t="shared" si="162"/>
        <v>0</v>
      </c>
      <c r="AS404" s="14">
        <f t="shared" si="162"/>
        <v>0</v>
      </c>
      <c r="AT404" s="14">
        <f t="shared" si="162"/>
        <v>0</v>
      </c>
      <c r="AU404" s="14">
        <f t="shared" si="162"/>
        <v>0</v>
      </c>
      <c r="AV404" s="14">
        <f t="shared" si="162"/>
        <v>0</v>
      </c>
      <c r="AW404" s="14">
        <f t="shared" si="162"/>
        <v>0</v>
      </c>
      <c r="AX404" s="14">
        <f t="shared" si="162"/>
        <v>0</v>
      </c>
      <c r="AY404" s="14">
        <f t="shared" si="162"/>
        <v>0</v>
      </c>
      <c r="AZ404" s="14">
        <f t="shared" si="162"/>
        <v>0</v>
      </c>
      <c r="BA404" s="14">
        <f t="shared" si="162"/>
        <v>0</v>
      </c>
      <c r="BB404" s="14">
        <f t="shared" si="162"/>
        <v>0</v>
      </c>
      <c r="BC404" s="14">
        <f t="shared" si="162"/>
        <v>0</v>
      </c>
      <c r="BD404" s="14">
        <f t="shared" si="162"/>
        <v>0</v>
      </c>
      <c r="BE404" s="14">
        <f t="shared" si="162"/>
        <v>0</v>
      </c>
      <c r="BG404" s="14">
        <f t="shared" si="145"/>
        <v>184070.61715481171</v>
      </c>
      <c r="BH404" s="14">
        <f t="shared" si="145"/>
        <v>0</v>
      </c>
      <c r="BI404" s="14">
        <f t="shared" si="145"/>
        <v>0</v>
      </c>
      <c r="BJ404" s="14">
        <f t="shared" si="145"/>
        <v>0</v>
      </c>
      <c r="BK404" s="14">
        <f t="shared" si="145"/>
        <v>0</v>
      </c>
      <c r="BL404" s="14">
        <f t="shared" si="145"/>
        <v>0</v>
      </c>
      <c r="BM404" s="14">
        <f t="shared" si="145"/>
        <v>0</v>
      </c>
    </row>
    <row r="405" spans="1:65">
      <c r="F405" s="18" t="str">
        <f t="shared" si="142"/>
        <v>Lift Installations</v>
      </c>
      <c r="G405" s="17" t="str">
        <f t="shared" si="143"/>
        <v>£ Nominal</v>
      </c>
      <c r="I405" s="22" t="str">
        <f>iOptions!Q159</f>
        <v>Other Inflation</v>
      </c>
      <c r="AA405" s="14">
        <f t="shared" ref="AA405:BE405" si="163">AA371*_xlfn.IFNA(INDEX(AA$34:AA$38,MATCH($I405,$F$34:$F$38,0)),0)</f>
        <v>12271.374476987448</v>
      </c>
      <c r="AB405" s="14">
        <f t="shared" si="163"/>
        <v>0</v>
      </c>
      <c r="AC405" s="14">
        <f t="shared" si="163"/>
        <v>0</v>
      </c>
      <c r="AD405" s="14">
        <f t="shared" si="163"/>
        <v>0</v>
      </c>
      <c r="AE405" s="14">
        <f t="shared" si="163"/>
        <v>0</v>
      </c>
      <c r="AF405" s="14">
        <f t="shared" si="163"/>
        <v>0</v>
      </c>
      <c r="AG405" s="14">
        <f t="shared" si="163"/>
        <v>0</v>
      </c>
      <c r="AH405" s="14">
        <f t="shared" si="163"/>
        <v>0</v>
      </c>
      <c r="AI405" s="14">
        <f t="shared" si="163"/>
        <v>0</v>
      </c>
      <c r="AJ405" s="14">
        <f t="shared" si="163"/>
        <v>0</v>
      </c>
      <c r="AK405" s="14">
        <f t="shared" si="163"/>
        <v>0</v>
      </c>
      <c r="AL405" s="14">
        <f t="shared" si="163"/>
        <v>0</v>
      </c>
      <c r="AM405" s="14">
        <f t="shared" si="163"/>
        <v>0</v>
      </c>
      <c r="AN405" s="14">
        <f t="shared" si="163"/>
        <v>0</v>
      </c>
      <c r="AO405" s="14">
        <f t="shared" si="163"/>
        <v>0</v>
      </c>
      <c r="AP405" s="14">
        <f t="shared" si="163"/>
        <v>0</v>
      </c>
      <c r="AQ405" s="14">
        <f t="shared" si="163"/>
        <v>0</v>
      </c>
      <c r="AR405" s="14">
        <f t="shared" si="163"/>
        <v>0</v>
      </c>
      <c r="AS405" s="14">
        <f t="shared" si="163"/>
        <v>0</v>
      </c>
      <c r="AT405" s="14">
        <f t="shared" si="163"/>
        <v>0</v>
      </c>
      <c r="AU405" s="14">
        <f t="shared" si="163"/>
        <v>0</v>
      </c>
      <c r="AV405" s="14">
        <f t="shared" si="163"/>
        <v>0</v>
      </c>
      <c r="AW405" s="14">
        <f t="shared" si="163"/>
        <v>0</v>
      </c>
      <c r="AX405" s="14">
        <f t="shared" si="163"/>
        <v>0</v>
      </c>
      <c r="AY405" s="14">
        <f t="shared" si="163"/>
        <v>0</v>
      </c>
      <c r="AZ405" s="14">
        <f t="shared" si="163"/>
        <v>0</v>
      </c>
      <c r="BA405" s="14">
        <f t="shared" si="163"/>
        <v>0</v>
      </c>
      <c r="BB405" s="14">
        <f t="shared" si="163"/>
        <v>0</v>
      </c>
      <c r="BC405" s="14">
        <f t="shared" si="163"/>
        <v>0</v>
      </c>
      <c r="BD405" s="14">
        <f t="shared" si="163"/>
        <v>0</v>
      </c>
      <c r="BE405" s="14">
        <f t="shared" si="163"/>
        <v>0</v>
      </c>
      <c r="BG405" s="14">
        <f t="shared" si="145"/>
        <v>12271.374476987448</v>
      </c>
      <c r="BH405" s="14">
        <f t="shared" si="145"/>
        <v>0</v>
      </c>
      <c r="BI405" s="14">
        <f t="shared" si="145"/>
        <v>0</v>
      </c>
      <c r="BJ405" s="14">
        <f t="shared" si="145"/>
        <v>0</v>
      </c>
      <c r="BK405" s="14">
        <f t="shared" si="145"/>
        <v>0</v>
      </c>
      <c r="BL405" s="14">
        <f t="shared" si="145"/>
        <v>0</v>
      </c>
      <c r="BM405" s="14">
        <f t="shared" si="145"/>
        <v>0</v>
      </c>
    </row>
    <row r="406" spans="1:65">
      <c r="F406" s="18" t="str">
        <f t="shared" si="142"/>
        <v>Protective Installations</v>
      </c>
      <c r="G406" s="17" t="str">
        <f t="shared" si="143"/>
        <v>£ Nominal</v>
      </c>
      <c r="I406" s="22" t="str">
        <f>iOptions!Q160</f>
        <v>Other Inflation</v>
      </c>
      <c r="AA406" s="14">
        <f t="shared" ref="AA406:BE406" si="164">AA372*_xlfn.IFNA(INDEX(AA$34:AA$38,MATCH($I406,$F$34:$F$38,0)),0)</f>
        <v>15618.112970711298</v>
      </c>
      <c r="AB406" s="14">
        <f t="shared" si="164"/>
        <v>0</v>
      </c>
      <c r="AC406" s="14">
        <f t="shared" si="164"/>
        <v>0</v>
      </c>
      <c r="AD406" s="14">
        <f t="shared" si="164"/>
        <v>0</v>
      </c>
      <c r="AE406" s="14">
        <f t="shared" si="164"/>
        <v>0</v>
      </c>
      <c r="AF406" s="14">
        <f t="shared" si="164"/>
        <v>0</v>
      </c>
      <c r="AG406" s="14">
        <f t="shared" si="164"/>
        <v>0</v>
      </c>
      <c r="AH406" s="14">
        <f t="shared" si="164"/>
        <v>0</v>
      </c>
      <c r="AI406" s="14">
        <f t="shared" si="164"/>
        <v>0</v>
      </c>
      <c r="AJ406" s="14">
        <f t="shared" si="164"/>
        <v>0</v>
      </c>
      <c r="AK406" s="14">
        <f t="shared" si="164"/>
        <v>0</v>
      </c>
      <c r="AL406" s="14">
        <f t="shared" si="164"/>
        <v>0</v>
      </c>
      <c r="AM406" s="14">
        <f t="shared" si="164"/>
        <v>0</v>
      </c>
      <c r="AN406" s="14">
        <f t="shared" si="164"/>
        <v>0</v>
      </c>
      <c r="AO406" s="14">
        <f t="shared" si="164"/>
        <v>0</v>
      </c>
      <c r="AP406" s="14">
        <f t="shared" si="164"/>
        <v>0</v>
      </c>
      <c r="AQ406" s="14">
        <f t="shared" si="164"/>
        <v>0</v>
      </c>
      <c r="AR406" s="14">
        <f t="shared" si="164"/>
        <v>0</v>
      </c>
      <c r="AS406" s="14">
        <f t="shared" si="164"/>
        <v>0</v>
      </c>
      <c r="AT406" s="14">
        <f t="shared" si="164"/>
        <v>0</v>
      </c>
      <c r="AU406" s="14">
        <f t="shared" si="164"/>
        <v>0</v>
      </c>
      <c r="AV406" s="14">
        <f t="shared" si="164"/>
        <v>0</v>
      </c>
      <c r="AW406" s="14">
        <f t="shared" si="164"/>
        <v>0</v>
      </c>
      <c r="AX406" s="14">
        <f t="shared" si="164"/>
        <v>0</v>
      </c>
      <c r="AY406" s="14">
        <f t="shared" si="164"/>
        <v>0</v>
      </c>
      <c r="AZ406" s="14">
        <f t="shared" si="164"/>
        <v>0</v>
      </c>
      <c r="BA406" s="14">
        <f t="shared" si="164"/>
        <v>0</v>
      </c>
      <c r="BB406" s="14">
        <f t="shared" si="164"/>
        <v>0</v>
      </c>
      <c r="BC406" s="14">
        <f t="shared" si="164"/>
        <v>0</v>
      </c>
      <c r="BD406" s="14">
        <f t="shared" si="164"/>
        <v>0</v>
      </c>
      <c r="BE406" s="14">
        <f t="shared" si="164"/>
        <v>0</v>
      </c>
      <c r="BG406" s="14">
        <f t="shared" si="145"/>
        <v>15618.112970711298</v>
      </c>
      <c r="BH406" s="14">
        <f t="shared" si="145"/>
        <v>0</v>
      </c>
      <c r="BI406" s="14">
        <f t="shared" si="145"/>
        <v>0</v>
      </c>
      <c r="BJ406" s="14">
        <f t="shared" si="145"/>
        <v>0</v>
      </c>
      <c r="BK406" s="14">
        <f t="shared" si="145"/>
        <v>0</v>
      </c>
      <c r="BL406" s="14">
        <f t="shared" si="145"/>
        <v>0</v>
      </c>
      <c r="BM406" s="14">
        <f t="shared" si="145"/>
        <v>0</v>
      </c>
    </row>
    <row r="407" spans="1:65">
      <c r="F407" s="18" t="str">
        <f t="shared" si="142"/>
        <v>Communications Installations</v>
      </c>
      <c r="G407" s="17" t="str">
        <f t="shared" si="143"/>
        <v>£ Nominal</v>
      </c>
      <c r="I407" s="22" t="str">
        <f>iOptions!Q161</f>
        <v>Other Inflation</v>
      </c>
      <c r="AA407" s="14">
        <f t="shared" ref="AA407:BE407" si="165">AA373*_xlfn.IFNA(INDEX(AA$34:AA$38,MATCH($I407,$F$34:$F$38,0)),0)</f>
        <v>264392.34100418416</v>
      </c>
      <c r="AB407" s="14">
        <f t="shared" si="165"/>
        <v>0</v>
      </c>
      <c r="AC407" s="14">
        <f t="shared" si="165"/>
        <v>0</v>
      </c>
      <c r="AD407" s="14">
        <f t="shared" si="165"/>
        <v>0</v>
      </c>
      <c r="AE407" s="14">
        <f t="shared" si="165"/>
        <v>0</v>
      </c>
      <c r="AF407" s="14">
        <f t="shared" si="165"/>
        <v>0</v>
      </c>
      <c r="AG407" s="14">
        <f t="shared" si="165"/>
        <v>0</v>
      </c>
      <c r="AH407" s="14">
        <f t="shared" si="165"/>
        <v>0</v>
      </c>
      <c r="AI407" s="14">
        <f t="shared" si="165"/>
        <v>0</v>
      </c>
      <c r="AJ407" s="14">
        <f t="shared" si="165"/>
        <v>0</v>
      </c>
      <c r="AK407" s="14">
        <f t="shared" si="165"/>
        <v>0</v>
      </c>
      <c r="AL407" s="14">
        <f t="shared" si="165"/>
        <v>0</v>
      </c>
      <c r="AM407" s="14">
        <f t="shared" si="165"/>
        <v>0</v>
      </c>
      <c r="AN407" s="14">
        <f t="shared" si="165"/>
        <v>0</v>
      </c>
      <c r="AO407" s="14">
        <f t="shared" si="165"/>
        <v>0</v>
      </c>
      <c r="AP407" s="14">
        <f t="shared" si="165"/>
        <v>0</v>
      </c>
      <c r="AQ407" s="14">
        <f t="shared" si="165"/>
        <v>0</v>
      </c>
      <c r="AR407" s="14">
        <f t="shared" si="165"/>
        <v>0</v>
      </c>
      <c r="AS407" s="14">
        <f t="shared" si="165"/>
        <v>0</v>
      </c>
      <c r="AT407" s="14">
        <f t="shared" si="165"/>
        <v>0</v>
      </c>
      <c r="AU407" s="14">
        <f t="shared" si="165"/>
        <v>0</v>
      </c>
      <c r="AV407" s="14">
        <f t="shared" si="165"/>
        <v>0</v>
      </c>
      <c r="AW407" s="14">
        <f t="shared" si="165"/>
        <v>0</v>
      </c>
      <c r="AX407" s="14">
        <f t="shared" si="165"/>
        <v>0</v>
      </c>
      <c r="AY407" s="14">
        <f t="shared" si="165"/>
        <v>0</v>
      </c>
      <c r="AZ407" s="14">
        <f t="shared" si="165"/>
        <v>0</v>
      </c>
      <c r="BA407" s="14">
        <f t="shared" si="165"/>
        <v>0</v>
      </c>
      <c r="BB407" s="14">
        <f t="shared" si="165"/>
        <v>0</v>
      </c>
      <c r="BC407" s="14">
        <f t="shared" si="165"/>
        <v>0</v>
      </c>
      <c r="BD407" s="14">
        <f t="shared" si="165"/>
        <v>0</v>
      </c>
      <c r="BE407" s="14">
        <f t="shared" si="165"/>
        <v>0</v>
      </c>
      <c r="BG407" s="14">
        <f t="shared" si="145"/>
        <v>264392.34100418416</v>
      </c>
      <c r="BH407" s="14">
        <f t="shared" si="145"/>
        <v>0</v>
      </c>
      <c r="BI407" s="14">
        <f t="shared" si="145"/>
        <v>0</v>
      </c>
      <c r="BJ407" s="14">
        <f t="shared" si="145"/>
        <v>0</v>
      </c>
      <c r="BK407" s="14">
        <f t="shared" si="145"/>
        <v>0</v>
      </c>
      <c r="BL407" s="14">
        <f t="shared" si="145"/>
        <v>0</v>
      </c>
      <c r="BM407" s="14">
        <f t="shared" si="145"/>
        <v>0</v>
      </c>
    </row>
    <row r="408" spans="1:65">
      <c r="F408" s="18" t="str">
        <f t="shared" si="142"/>
        <v>Special Installations</v>
      </c>
      <c r="G408" s="17" t="str">
        <f t="shared" si="143"/>
        <v>£ Nominal</v>
      </c>
      <c r="I408" s="22" t="str">
        <f>iOptions!Q162</f>
        <v>Other Inflation</v>
      </c>
      <c r="AA408" s="14">
        <f t="shared" ref="AA408:BE408" si="166">AA374*_xlfn.IFNA(INDEX(AA$34:AA$38,MATCH($I408,$F$34:$F$38,0)),0)</f>
        <v>71397.087866108792</v>
      </c>
      <c r="AB408" s="14">
        <f t="shared" si="166"/>
        <v>0</v>
      </c>
      <c r="AC408" s="14">
        <f t="shared" si="166"/>
        <v>0</v>
      </c>
      <c r="AD408" s="14">
        <f t="shared" si="166"/>
        <v>0</v>
      </c>
      <c r="AE408" s="14">
        <f t="shared" si="166"/>
        <v>0</v>
      </c>
      <c r="AF408" s="14">
        <f t="shared" si="166"/>
        <v>0</v>
      </c>
      <c r="AG408" s="14">
        <f t="shared" si="166"/>
        <v>0</v>
      </c>
      <c r="AH408" s="14">
        <f t="shared" si="166"/>
        <v>0</v>
      </c>
      <c r="AI408" s="14">
        <f t="shared" si="166"/>
        <v>0</v>
      </c>
      <c r="AJ408" s="14">
        <f t="shared" si="166"/>
        <v>0</v>
      </c>
      <c r="AK408" s="14">
        <f t="shared" si="166"/>
        <v>0</v>
      </c>
      <c r="AL408" s="14">
        <f t="shared" si="166"/>
        <v>0</v>
      </c>
      <c r="AM408" s="14">
        <f t="shared" si="166"/>
        <v>0</v>
      </c>
      <c r="AN408" s="14">
        <f t="shared" si="166"/>
        <v>0</v>
      </c>
      <c r="AO408" s="14">
        <f t="shared" si="166"/>
        <v>0</v>
      </c>
      <c r="AP408" s="14">
        <f t="shared" si="166"/>
        <v>0</v>
      </c>
      <c r="AQ408" s="14">
        <f t="shared" si="166"/>
        <v>0</v>
      </c>
      <c r="AR408" s="14">
        <f t="shared" si="166"/>
        <v>0</v>
      </c>
      <c r="AS408" s="14">
        <f t="shared" si="166"/>
        <v>0</v>
      </c>
      <c r="AT408" s="14">
        <f t="shared" si="166"/>
        <v>0</v>
      </c>
      <c r="AU408" s="14">
        <f t="shared" si="166"/>
        <v>0</v>
      </c>
      <c r="AV408" s="14">
        <f t="shared" si="166"/>
        <v>0</v>
      </c>
      <c r="AW408" s="14">
        <f t="shared" si="166"/>
        <v>0</v>
      </c>
      <c r="AX408" s="14">
        <f t="shared" si="166"/>
        <v>0</v>
      </c>
      <c r="AY408" s="14">
        <f t="shared" si="166"/>
        <v>0</v>
      </c>
      <c r="AZ408" s="14">
        <f t="shared" si="166"/>
        <v>0</v>
      </c>
      <c r="BA408" s="14">
        <f t="shared" si="166"/>
        <v>0</v>
      </c>
      <c r="BB408" s="14">
        <f t="shared" si="166"/>
        <v>0</v>
      </c>
      <c r="BC408" s="14">
        <f t="shared" si="166"/>
        <v>0</v>
      </c>
      <c r="BD408" s="14">
        <f t="shared" si="166"/>
        <v>0</v>
      </c>
      <c r="BE408" s="14">
        <f t="shared" si="166"/>
        <v>0</v>
      </c>
      <c r="BG408" s="14">
        <f t="shared" si="145"/>
        <v>71397.087866108792</v>
      </c>
      <c r="BH408" s="14">
        <f t="shared" si="145"/>
        <v>0</v>
      </c>
      <c r="BI408" s="14">
        <f t="shared" si="145"/>
        <v>0</v>
      </c>
      <c r="BJ408" s="14">
        <f t="shared" si="145"/>
        <v>0</v>
      </c>
      <c r="BK408" s="14">
        <f t="shared" si="145"/>
        <v>0</v>
      </c>
      <c r="BL408" s="14">
        <f t="shared" si="145"/>
        <v>0</v>
      </c>
      <c r="BM408" s="14">
        <f t="shared" si="145"/>
        <v>0</v>
      </c>
    </row>
    <row r="409" spans="1:65">
      <c r="F409" s="18" t="str">
        <f t="shared" si="142"/>
        <v>Builders Work in Connection</v>
      </c>
      <c r="G409" s="17" t="str">
        <f t="shared" si="143"/>
        <v>£ Nominal</v>
      </c>
      <c r="I409" s="22" t="str">
        <f>iOptions!Q163</f>
        <v>Other Inflation</v>
      </c>
      <c r="AA409" s="14">
        <f t="shared" ref="AA409:BE409" si="167">AA375*_xlfn.IFNA(INDEX(AA$34:AA$38,MATCH($I409,$F$34:$F$38,0)),0)</f>
        <v>35698.543933054396</v>
      </c>
      <c r="AB409" s="14">
        <f t="shared" si="167"/>
        <v>0</v>
      </c>
      <c r="AC409" s="14">
        <f t="shared" si="167"/>
        <v>0</v>
      </c>
      <c r="AD409" s="14">
        <f t="shared" si="167"/>
        <v>0</v>
      </c>
      <c r="AE409" s="14">
        <f t="shared" si="167"/>
        <v>0</v>
      </c>
      <c r="AF409" s="14">
        <f t="shared" si="167"/>
        <v>0</v>
      </c>
      <c r="AG409" s="14">
        <f t="shared" si="167"/>
        <v>0</v>
      </c>
      <c r="AH409" s="14">
        <f t="shared" si="167"/>
        <v>0</v>
      </c>
      <c r="AI409" s="14">
        <f t="shared" si="167"/>
        <v>0</v>
      </c>
      <c r="AJ409" s="14">
        <f t="shared" si="167"/>
        <v>0</v>
      </c>
      <c r="AK409" s="14">
        <f t="shared" si="167"/>
        <v>0</v>
      </c>
      <c r="AL409" s="14">
        <f t="shared" si="167"/>
        <v>0</v>
      </c>
      <c r="AM409" s="14">
        <f t="shared" si="167"/>
        <v>0</v>
      </c>
      <c r="AN409" s="14">
        <f t="shared" si="167"/>
        <v>0</v>
      </c>
      <c r="AO409" s="14">
        <f t="shared" si="167"/>
        <v>0</v>
      </c>
      <c r="AP409" s="14">
        <f t="shared" si="167"/>
        <v>0</v>
      </c>
      <c r="AQ409" s="14">
        <f t="shared" si="167"/>
        <v>0</v>
      </c>
      <c r="AR409" s="14">
        <f t="shared" si="167"/>
        <v>0</v>
      </c>
      <c r="AS409" s="14">
        <f t="shared" si="167"/>
        <v>0</v>
      </c>
      <c r="AT409" s="14">
        <f t="shared" si="167"/>
        <v>0</v>
      </c>
      <c r="AU409" s="14">
        <f t="shared" si="167"/>
        <v>0</v>
      </c>
      <c r="AV409" s="14">
        <f t="shared" si="167"/>
        <v>0</v>
      </c>
      <c r="AW409" s="14">
        <f t="shared" si="167"/>
        <v>0</v>
      </c>
      <c r="AX409" s="14">
        <f t="shared" si="167"/>
        <v>0</v>
      </c>
      <c r="AY409" s="14">
        <f t="shared" si="167"/>
        <v>0</v>
      </c>
      <c r="AZ409" s="14">
        <f t="shared" si="167"/>
        <v>0</v>
      </c>
      <c r="BA409" s="14">
        <f t="shared" si="167"/>
        <v>0</v>
      </c>
      <c r="BB409" s="14">
        <f t="shared" si="167"/>
        <v>0</v>
      </c>
      <c r="BC409" s="14">
        <f t="shared" si="167"/>
        <v>0</v>
      </c>
      <c r="BD409" s="14">
        <f t="shared" si="167"/>
        <v>0</v>
      </c>
      <c r="BE409" s="14">
        <f t="shared" si="167"/>
        <v>0</v>
      </c>
      <c r="BG409" s="14">
        <f t="shared" si="145"/>
        <v>35698.543933054396</v>
      </c>
      <c r="BH409" s="14">
        <f t="shared" si="145"/>
        <v>0</v>
      </c>
      <c r="BI409" s="14">
        <f t="shared" si="145"/>
        <v>0</v>
      </c>
      <c r="BJ409" s="14">
        <f t="shared" si="145"/>
        <v>0</v>
      </c>
      <c r="BK409" s="14">
        <f t="shared" si="145"/>
        <v>0</v>
      </c>
      <c r="BL409" s="14">
        <f t="shared" si="145"/>
        <v>0</v>
      </c>
      <c r="BM409" s="14">
        <f t="shared" si="145"/>
        <v>0</v>
      </c>
    </row>
    <row r="410" spans="1:65">
      <c r="F410" s="18" t="str">
        <f t="shared" si="142"/>
        <v>Preliminaries &amp; Contingencies</v>
      </c>
      <c r="G410" s="17" t="str">
        <f t="shared" si="143"/>
        <v>£ Nominal</v>
      </c>
      <c r="I410" s="22" t="str">
        <f>iOptions!Q164</f>
        <v>Other Inflation</v>
      </c>
      <c r="AA410" s="14">
        <f t="shared" ref="AA410:BE410" si="168">AA376*_xlfn.IFNA(INDEX(AA$34:AA$38,MATCH($I410,$F$34:$F$38,0)),0)</f>
        <v>346945.22384937241</v>
      </c>
      <c r="AB410" s="14">
        <f t="shared" si="168"/>
        <v>0</v>
      </c>
      <c r="AC410" s="14">
        <f t="shared" si="168"/>
        <v>0</v>
      </c>
      <c r="AD410" s="14">
        <f t="shared" si="168"/>
        <v>0</v>
      </c>
      <c r="AE410" s="14">
        <f t="shared" si="168"/>
        <v>0</v>
      </c>
      <c r="AF410" s="14">
        <f t="shared" si="168"/>
        <v>0</v>
      </c>
      <c r="AG410" s="14">
        <f t="shared" si="168"/>
        <v>0</v>
      </c>
      <c r="AH410" s="14">
        <f t="shared" si="168"/>
        <v>0</v>
      </c>
      <c r="AI410" s="14">
        <f t="shared" si="168"/>
        <v>0</v>
      </c>
      <c r="AJ410" s="14">
        <f t="shared" si="168"/>
        <v>0</v>
      </c>
      <c r="AK410" s="14">
        <f t="shared" si="168"/>
        <v>0</v>
      </c>
      <c r="AL410" s="14">
        <f t="shared" si="168"/>
        <v>0</v>
      </c>
      <c r="AM410" s="14">
        <f t="shared" si="168"/>
        <v>0</v>
      </c>
      <c r="AN410" s="14">
        <f t="shared" si="168"/>
        <v>0</v>
      </c>
      <c r="AO410" s="14">
        <f t="shared" si="168"/>
        <v>0</v>
      </c>
      <c r="AP410" s="14">
        <f t="shared" si="168"/>
        <v>0</v>
      </c>
      <c r="AQ410" s="14">
        <f t="shared" si="168"/>
        <v>0</v>
      </c>
      <c r="AR410" s="14">
        <f t="shared" si="168"/>
        <v>0</v>
      </c>
      <c r="AS410" s="14">
        <f t="shared" si="168"/>
        <v>0</v>
      </c>
      <c r="AT410" s="14">
        <f t="shared" si="168"/>
        <v>0</v>
      </c>
      <c r="AU410" s="14">
        <f t="shared" si="168"/>
        <v>0</v>
      </c>
      <c r="AV410" s="14">
        <f t="shared" si="168"/>
        <v>0</v>
      </c>
      <c r="AW410" s="14">
        <f t="shared" si="168"/>
        <v>0</v>
      </c>
      <c r="AX410" s="14">
        <f t="shared" si="168"/>
        <v>0</v>
      </c>
      <c r="AY410" s="14">
        <f t="shared" si="168"/>
        <v>0</v>
      </c>
      <c r="AZ410" s="14">
        <f t="shared" si="168"/>
        <v>0</v>
      </c>
      <c r="BA410" s="14">
        <f t="shared" si="168"/>
        <v>0</v>
      </c>
      <c r="BB410" s="14">
        <f t="shared" si="168"/>
        <v>0</v>
      </c>
      <c r="BC410" s="14">
        <f t="shared" si="168"/>
        <v>0</v>
      </c>
      <c r="BD410" s="14">
        <f t="shared" si="168"/>
        <v>0</v>
      </c>
      <c r="BE410" s="14">
        <f t="shared" si="168"/>
        <v>0</v>
      </c>
      <c r="BG410" s="14">
        <f t="shared" si="145"/>
        <v>346945.22384937241</v>
      </c>
      <c r="BH410" s="14">
        <f t="shared" si="145"/>
        <v>0</v>
      </c>
      <c r="BI410" s="14">
        <f t="shared" si="145"/>
        <v>0</v>
      </c>
      <c r="BJ410" s="14">
        <f t="shared" si="145"/>
        <v>0</v>
      </c>
      <c r="BK410" s="14">
        <f t="shared" si="145"/>
        <v>0</v>
      </c>
      <c r="BL410" s="14">
        <f t="shared" si="145"/>
        <v>0</v>
      </c>
      <c r="BM410" s="14">
        <f t="shared" si="145"/>
        <v>0</v>
      </c>
    </row>
    <row r="411" spans="1:65">
      <c r="F411" s="18" t="str">
        <f t="shared" si="142"/>
        <v>Spare</v>
      </c>
      <c r="G411" s="17" t="str">
        <f t="shared" si="143"/>
        <v>£ Nominal</v>
      </c>
      <c r="I411" s="22" t="str">
        <f>iOptions!Q165</f>
        <v>Other Inflation</v>
      </c>
      <c r="AA411" s="14">
        <f t="shared" ref="AA411:BE411" si="169">AA377*_xlfn.IFNA(INDEX(AA$34:AA$38,MATCH($I411,$F$34:$F$38,0)),0)</f>
        <v>0</v>
      </c>
      <c r="AB411" s="14">
        <f t="shared" si="169"/>
        <v>0</v>
      </c>
      <c r="AC411" s="14">
        <f t="shared" si="169"/>
        <v>0</v>
      </c>
      <c r="AD411" s="14">
        <f t="shared" si="169"/>
        <v>0</v>
      </c>
      <c r="AE411" s="14">
        <f t="shared" si="169"/>
        <v>0</v>
      </c>
      <c r="AF411" s="14">
        <f t="shared" si="169"/>
        <v>0</v>
      </c>
      <c r="AG411" s="14">
        <f t="shared" si="169"/>
        <v>0</v>
      </c>
      <c r="AH411" s="14">
        <f t="shared" si="169"/>
        <v>0</v>
      </c>
      <c r="AI411" s="14">
        <f t="shared" si="169"/>
        <v>0</v>
      </c>
      <c r="AJ411" s="14">
        <f t="shared" si="169"/>
        <v>0</v>
      </c>
      <c r="AK411" s="14">
        <f t="shared" si="169"/>
        <v>0</v>
      </c>
      <c r="AL411" s="14">
        <f t="shared" si="169"/>
        <v>0</v>
      </c>
      <c r="AM411" s="14">
        <f t="shared" si="169"/>
        <v>0</v>
      </c>
      <c r="AN411" s="14">
        <f t="shared" si="169"/>
        <v>0</v>
      </c>
      <c r="AO411" s="14">
        <f t="shared" si="169"/>
        <v>0</v>
      </c>
      <c r="AP411" s="14">
        <f t="shared" si="169"/>
        <v>0</v>
      </c>
      <c r="AQ411" s="14">
        <f t="shared" si="169"/>
        <v>0</v>
      </c>
      <c r="AR411" s="14">
        <f t="shared" si="169"/>
        <v>0</v>
      </c>
      <c r="AS411" s="14">
        <f t="shared" si="169"/>
        <v>0</v>
      </c>
      <c r="AT411" s="14">
        <f t="shared" si="169"/>
        <v>0</v>
      </c>
      <c r="AU411" s="14">
        <f t="shared" si="169"/>
        <v>0</v>
      </c>
      <c r="AV411" s="14">
        <f t="shared" si="169"/>
        <v>0</v>
      </c>
      <c r="AW411" s="14">
        <f t="shared" si="169"/>
        <v>0</v>
      </c>
      <c r="AX411" s="14">
        <f t="shared" si="169"/>
        <v>0</v>
      </c>
      <c r="AY411" s="14">
        <f t="shared" si="169"/>
        <v>0</v>
      </c>
      <c r="AZ411" s="14">
        <f t="shared" si="169"/>
        <v>0</v>
      </c>
      <c r="BA411" s="14">
        <f t="shared" si="169"/>
        <v>0</v>
      </c>
      <c r="BB411" s="14">
        <f t="shared" si="169"/>
        <v>0</v>
      </c>
      <c r="BC411" s="14">
        <f t="shared" si="169"/>
        <v>0</v>
      </c>
      <c r="BD411" s="14">
        <f t="shared" si="169"/>
        <v>0</v>
      </c>
      <c r="BE411" s="14">
        <f t="shared" si="169"/>
        <v>0</v>
      </c>
      <c r="BG411" s="14">
        <f t="shared" si="145"/>
        <v>0</v>
      </c>
      <c r="BH411" s="14">
        <f t="shared" si="145"/>
        <v>0</v>
      </c>
      <c r="BI411" s="14">
        <f t="shared" si="145"/>
        <v>0</v>
      </c>
      <c r="BJ411" s="14">
        <f t="shared" si="145"/>
        <v>0</v>
      </c>
      <c r="BK411" s="14">
        <f t="shared" si="145"/>
        <v>0</v>
      </c>
      <c r="BL411" s="14">
        <f t="shared" si="145"/>
        <v>0</v>
      </c>
      <c r="BM411" s="14">
        <f t="shared" si="145"/>
        <v>0</v>
      </c>
    </row>
    <row r="412" spans="1:65">
      <c r="F412" s="18"/>
      <c r="G412" s="17"/>
    </row>
    <row r="413" spans="1:65">
      <c r="F413" s="89" t="s">
        <v>126</v>
      </c>
      <c r="G413" s="90" t="str">
        <f>cstNominalUnit</f>
        <v>£ Nominal</v>
      </c>
      <c r="AA413" s="87">
        <f>SUM(AA387:AA412)</f>
        <v>2665119.4205020922</v>
      </c>
      <c r="AB413" s="87">
        <f t="shared" ref="AB413:BE413" si="170">SUM(AB387:AB412)</f>
        <v>0</v>
      </c>
      <c r="AC413" s="87">
        <f t="shared" si="170"/>
        <v>0</v>
      </c>
      <c r="AD413" s="87">
        <f t="shared" si="170"/>
        <v>0</v>
      </c>
      <c r="AE413" s="87">
        <f t="shared" si="170"/>
        <v>0</v>
      </c>
      <c r="AF413" s="87">
        <f t="shared" si="170"/>
        <v>0</v>
      </c>
      <c r="AG413" s="87">
        <f t="shared" si="170"/>
        <v>0</v>
      </c>
      <c r="AH413" s="87">
        <f t="shared" si="170"/>
        <v>0</v>
      </c>
      <c r="AI413" s="87">
        <f t="shared" si="170"/>
        <v>0</v>
      </c>
      <c r="AJ413" s="87">
        <f t="shared" si="170"/>
        <v>0</v>
      </c>
      <c r="AK413" s="87">
        <f t="shared" si="170"/>
        <v>0</v>
      </c>
      <c r="AL413" s="87">
        <f t="shared" si="170"/>
        <v>0</v>
      </c>
      <c r="AM413" s="87">
        <f t="shared" si="170"/>
        <v>0</v>
      </c>
      <c r="AN413" s="87">
        <f t="shared" si="170"/>
        <v>0</v>
      </c>
      <c r="AO413" s="87">
        <f t="shared" si="170"/>
        <v>0</v>
      </c>
      <c r="AP413" s="87">
        <f t="shared" si="170"/>
        <v>0</v>
      </c>
      <c r="AQ413" s="87">
        <f t="shared" si="170"/>
        <v>0</v>
      </c>
      <c r="AR413" s="87">
        <f t="shared" si="170"/>
        <v>0</v>
      </c>
      <c r="AS413" s="87">
        <f t="shared" si="170"/>
        <v>0</v>
      </c>
      <c r="AT413" s="87">
        <f t="shared" si="170"/>
        <v>0</v>
      </c>
      <c r="AU413" s="87">
        <f t="shared" si="170"/>
        <v>0</v>
      </c>
      <c r="AV413" s="87">
        <f t="shared" si="170"/>
        <v>0</v>
      </c>
      <c r="AW413" s="87">
        <f t="shared" si="170"/>
        <v>0</v>
      </c>
      <c r="AX413" s="87">
        <f t="shared" si="170"/>
        <v>0</v>
      </c>
      <c r="AY413" s="87">
        <f t="shared" si="170"/>
        <v>0</v>
      </c>
      <c r="AZ413" s="87">
        <f t="shared" si="170"/>
        <v>0</v>
      </c>
      <c r="BA413" s="87">
        <f t="shared" si="170"/>
        <v>0</v>
      </c>
      <c r="BB413" s="87">
        <f t="shared" si="170"/>
        <v>0</v>
      </c>
      <c r="BC413" s="87">
        <f t="shared" si="170"/>
        <v>0</v>
      </c>
      <c r="BD413" s="87">
        <f t="shared" si="170"/>
        <v>0</v>
      </c>
      <c r="BE413" s="87">
        <f t="shared" si="170"/>
        <v>0</v>
      </c>
      <c r="BG413" s="87">
        <f t="shared" si="145"/>
        <v>2665119.4205020922</v>
      </c>
      <c r="BH413" s="87">
        <f t="shared" si="145"/>
        <v>0</v>
      </c>
      <c r="BI413" s="87">
        <f t="shared" si="145"/>
        <v>0</v>
      </c>
      <c r="BJ413" s="87">
        <f t="shared" si="145"/>
        <v>0</v>
      </c>
      <c r="BK413" s="87">
        <f t="shared" si="145"/>
        <v>0</v>
      </c>
      <c r="BL413" s="87">
        <f t="shared" si="145"/>
        <v>0</v>
      </c>
      <c r="BM413" s="87">
        <f t="shared" si="145"/>
        <v>0</v>
      </c>
    </row>
    <row r="414" spans="1:65">
      <c r="F414" s="91"/>
      <c r="G414" s="92"/>
      <c r="AA414" s="93"/>
      <c r="AB414" s="93"/>
      <c r="AC414" s="93"/>
      <c r="AD414" s="93"/>
      <c r="AE414" s="93"/>
      <c r="AF414" s="93"/>
      <c r="AG414" s="93"/>
      <c r="AH414" s="93"/>
      <c r="AI414" s="93"/>
      <c r="AJ414" s="93"/>
      <c r="AK414" s="93"/>
      <c r="AL414" s="93"/>
      <c r="AM414" s="93"/>
      <c r="AN414" s="93"/>
      <c r="AO414" s="93"/>
      <c r="AP414" s="93"/>
      <c r="AQ414" s="93"/>
      <c r="AR414" s="93"/>
      <c r="AS414" s="93"/>
      <c r="AT414" s="93"/>
      <c r="AU414" s="93"/>
      <c r="AV414" s="93"/>
      <c r="AW414" s="93"/>
      <c r="AX414" s="93"/>
      <c r="AY414" s="93"/>
      <c r="AZ414" s="93"/>
      <c r="BA414" s="93"/>
      <c r="BB414" s="93"/>
      <c r="BC414" s="93"/>
      <c r="BD414" s="93"/>
      <c r="BE414" s="93"/>
      <c r="BG414" s="93"/>
      <c r="BH414" s="93"/>
      <c r="BI414" s="93"/>
      <c r="BJ414" s="93"/>
      <c r="BK414" s="93"/>
      <c r="BL414" s="93"/>
      <c r="BM414" s="93"/>
    </row>
    <row r="415" spans="1:65">
      <c r="A415" s="19">
        <f>SUM(C415:BM415)</f>
        <v>0</v>
      </c>
      <c r="F415" s="40" t="s">
        <v>329</v>
      </c>
      <c r="G415" s="17"/>
      <c r="BG415" s="19">
        <f t="shared" ref="BG415:BM415" si="171">IF(ABS(SUM(BG387:BG412)-BG413)&lt;eTol,0,1)</f>
        <v>0</v>
      </c>
      <c r="BH415" s="19">
        <f t="shared" si="171"/>
        <v>0</v>
      </c>
      <c r="BI415" s="19">
        <f t="shared" si="171"/>
        <v>0</v>
      </c>
      <c r="BJ415" s="19">
        <f t="shared" si="171"/>
        <v>0</v>
      </c>
      <c r="BK415" s="19">
        <f t="shared" si="171"/>
        <v>0</v>
      </c>
      <c r="BL415" s="19">
        <f t="shared" si="171"/>
        <v>0</v>
      </c>
      <c r="BM415" s="19">
        <f t="shared" si="171"/>
        <v>0</v>
      </c>
    </row>
    <row r="416" spans="1:65">
      <c r="F416" s="18"/>
      <c r="G416" s="17"/>
    </row>
    <row r="417" spans="1:65">
      <c r="F417" s="18" t="str">
        <f>F383</f>
        <v>Site Preparation Costs</v>
      </c>
      <c r="G417" s="17" t="str">
        <f>cstNominalUnit</f>
        <v>£ Nominal</v>
      </c>
      <c r="I417" s="22" t="str">
        <f>iOptions!Q169</f>
        <v>Other Inflation</v>
      </c>
      <c r="AA417" s="14">
        <f t="shared" ref="AA417:BE417" si="172">AA383*_xlfn.IFNA(INDEX(AA$34:AA$38,MATCH($I417,$F$34:$F$38,0)),0)</f>
        <v>300000</v>
      </c>
      <c r="AB417" s="14">
        <f t="shared" si="172"/>
        <v>0</v>
      </c>
      <c r="AC417" s="14">
        <f t="shared" si="172"/>
        <v>0</v>
      </c>
      <c r="AD417" s="14">
        <f t="shared" si="172"/>
        <v>0</v>
      </c>
      <c r="AE417" s="14">
        <f t="shared" si="172"/>
        <v>0</v>
      </c>
      <c r="AF417" s="14">
        <f t="shared" si="172"/>
        <v>0</v>
      </c>
      <c r="AG417" s="14">
        <f t="shared" si="172"/>
        <v>0</v>
      </c>
      <c r="AH417" s="14">
        <f t="shared" si="172"/>
        <v>0</v>
      </c>
      <c r="AI417" s="14">
        <f t="shared" si="172"/>
        <v>0</v>
      </c>
      <c r="AJ417" s="14">
        <f t="shared" si="172"/>
        <v>0</v>
      </c>
      <c r="AK417" s="14">
        <f t="shared" si="172"/>
        <v>0</v>
      </c>
      <c r="AL417" s="14">
        <f t="shared" si="172"/>
        <v>0</v>
      </c>
      <c r="AM417" s="14">
        <f t="shared" si="172"/>
        <v>0</v>
      </c>
      <c r="AN417" s="14">
        <f t="shared" si="172"/>
        <v>0</v>
      </c>
      <c r="AO417" s="14">
        <f t="shared" si="172"/>
        <v>0</v>
      </c>
      <c r="AP417" s="14">
        <f t="shared" si="172"/>
        <v>0</v>
      </c>
      <c r="AQ417" s="14">
        <f t="shared" si="172"/>
        <v>0</v>
      </c>
      <c r="AR417" s="14">
        <f t="shared" si="172"/>
        <v>0</v>
      </c>
      <c r="AS417" s="14">
        <f t="shared" si="172"/>
        <v>0</v>
      </c>
      <c r="AT417" s="14">
        <f t="shared" si="172"/>
        <v>0</v>
      </c>
      <c r="AU417" s="14">
        <f t="shared" si="172"/>
        <v>0</v>
      </c>
      <c r="AV417" s="14">
        <f t="shared" si="172"/>
        <v>0</v>
      </c>
      <c r="AW417" s="14">
        <f t="shared" si="172"/>
        <v>0</v>
      </c>
      <c r="AX417" s="14">
        <f t="shared" si="172"/>
        <v>0</v>
      </c>
      <c r="AY417" s="14">
        <f t="shared" si="172"/>
        <v>0</v>
      </c>
      <c r="AZ417" s="14">
        <f t="shared" si="172"/>
        <v>0</v>
      </c>
      <c r="BA417" s="14">
        <f t="shared" si="172"/>
        <v>0</v>
      </c>
      <c r="BB417" s="14">
        <f t="shared" si="172"/>
        <v>0</v>
      </c>
      <c r="BC417" s="14">
        <f t="shared" si="172"/>
        <v>0</v>
      </c>
      <c r="BD417" s="14">
        <f t="shared" si="172"/>
        <v>0</v>
      </c>
      <c r="BE417" s="14">
        <f t="shared" si="172"/>
        <v>0</v>
      </c>
      <c r="BG417" s="14">
        <f t="shared" si="145"/>
        <v>300000</v>
      </c>
      <c r="BH417" s="14">
        <f t="shared" si="145"/>
        <v>0</v>
      </c>
      <c r="BI417" s="14">
        <f t="shared" si="145"/>
        <v>0</v>
      </c>
      <c r="BJ417" s="14">
        <f t="shared" si="145"/>
        <v>0</v>
      </c>
      <c r="BK417" s="14">
        <f t="shared" si="145"/>
        <v>0</v>
      </c>
      <c r="BL417" s="14">
        <f t="shared" si="145"/>
        <v>0</v>
      </c>
      <c r="BM417" s="14">
        <f t="shared" si="145"/>
        <v>0</v>
      </c>
    </row>
    <row r="418" spans="1:65">
      <c r="F418" s="18"/>
      <c r="G418" s="17"/>
    </row>
    <row r="419" spans="1:65" ht="14" thickBot="1">
      <c r="A419" s="25"/>
      <c r="B419" s="25"/>
      <c r="C419" s="25"/>
      <c r="D419" s="25"/>
      <c r="E419" s="25" t="s">
        <v>408</v>
      </c>
      <c r="F419" s="25" t="s">
        <v>125</v>
      </c>
      <c r="G419" s="25"/>
      <c r="H419" s="25"/>
      <c r="I419" s="25"/>
      <c r="J419" s="25"/>
      <c r="K419" s="25"/>
      <c r="L419" s="25"/>
      <c r="M419" s="25"/>
      <c r="N419" s="25"/>
      <c r="O419" s="25"/>
      <c r="P419" s="25"/>
      <c r="Q419" s="25"/>
      <c r="R419" s="25"/>
      <c r="S419" s="25"/>
      <c r="T419" s="25"/>
      <c r="U419" s="25"/>
      <c r="V419" s="25"/>
      <c r="W419" s="25"/>
      <c r="X419" s="25"/>
      <c r="Y419" s="25"/>
      <c r="Z419" s="25"/>
      <c r="AA419" s="25"/>
      <c r="AB419" s="25"/>
      <c r="AC419" s="25"/>
      <c r="AD419" s="25"/>
      <c r="AE419" s="25"/>
      <c r="AF419" s="25"/>
      <c r="AG419" s="25"/>
      <c r="AH419" s="25"/>
      <c r="AI419" s="25"/>
      <c r="AJ419" s="25"/>
      <c r="AK419" s="25"/>
      <c r="AL419" s="25"/>
      <c r="AM419" s="25"/>
      <c r="AN419" s="25"/>
      <c r="AO419" s="25"/>
      <c r="AP419" s="25"/>
      <c r="AQ419" s="25"/>
      <c r="AR419" s="25"/>
      <c r="AS419" s="25"/>
      <c r="AT419" s="25"/>
      <c r="AU419" s="25"/>
      <c r="AV419" s="25"/>
      <c r="AW419" s="25"/>
      <c r="AX419" s="25"/>
      <c r="AY419" s="25"/>
      <c r="AZ419" s="25"/>
      <c r="BA419" s="25"/>
      <c r="BB419" s="25"/>
      <c r="BC419" s="25"/>
      <c r="BD419" s="25"/>
      <c r="BE419" s="25"/>
      <c r="BF419" s="25"/>
      <c r="BG419" s="25"/>
      <c r="BH419" s="25"/>
      <c r="BI419" s="25"/>
      <c r="BJ419" s="25"/>
      <c r="BK419" s="25"/>
      <c r="BL419" s="25"/>
      <c r="BM419" s="25"/>
    </row>
    <row r="420" spans="1:65">
      <c r="F420" s="18"/>
      <c r="G420" s="17"/>
    </row>
    <row r="421" spans="1:65" ht="13">
      <c r="F421" s="26" t="s">
        <v>174</v>
      </c>
      <c r="G421" s="17"/>
    </row>
    <row r="422" spans="1:65">
      <c r="F422" s="18"/>
      <c r="G422" s="17"/>
    </row>
    <row r="423" spans="1:65">
      <c r="F423" s="18" t="s">
        <v>246</v>
      </c>
      <c r="G423" s="17" t="str">
        <f>cstConstantUnit</f>
        <v>£ 2022/23</v>
      </c>
      <c r="K423" s="11" cm="1">
        <f t="array" ref="K423">INDEX(iOptions!$M$137:$O$137,1,ActiveCostScenarioIndex)</f>
        <v>0.03</v>
      </c>
      <c r="AA423" s="39"/>
      <c r="AB423" s="39"/>
      <c r="AC423" s="39"/>
      <c r="AD423" s="39"/>
      <c r="AE423" s="39"/>
      <c r="AF423" s="39"/>
      <c r="AG423" s="39"/>
      <c r="AH423" s="39"/>
      <c r="AI423" s="39"/>
      <c r="AJ423" s="39"/>
      <c r="AK423" s="39"/>
      <c r="AL423" s="39"/>
      <c r="AM423" s="39"/>
      <c r="AN423" s="39"/>
      <c r="AO423" s="39"/>
      <c r="AP423" s="39"/>
      <c r="AQ423" s="39"/>
      <c r="AR423" s="39"/>
      <c r="AS423" s="39"/>
      <c r="AT423" s="39"/>
      <c r="AU423" s="39"/>
      <c r="AV423" s="39"/>
      <c r="AW423" s="39"/>
      <c r="AX423" s="39"/>
      <c r="AY423" s="39"/>
      <c r="AZ423" s="39"/>
      <c r="BA423" s="39"/>
      <c r="BB423" s="39"/>
      <c r="BC423" s="39"/>
      <c r="BD423" s="39"/>
      <c r="BE423" s="39"/>
      <c r="BG423" s="39"/>
      <c r="BH423" s="39"/>
      <c r="BI423" s="39"/>
      <c r="BJ423" s="39"/>
      <c r="BK423" s="39"/>
      <c r="BL423" s="39"/>
      <c r="BM423" s="39"/>
    </row>
    <row r="425" spans="1:65" ht="13">
      <c r="F425" s="26" t="s">
        <v>217</v>
      </c>
    </row>
    <row r="426" spans="1:65">
      <c r="F426" s="18"/>
      <c r="G426" s="17"/>
    </row>
    <row r="427" spans="1:65">
      <c r="F427" s="18" t="s">
        <v>126</v>
      </c>
      <c r="G427" s="17" t="str">
        <f>cstConstantUnit</f>
        <v>£ 2022/23</v>
      </c>
      <c r="AA427" s="14">
        <f>AA379</f>
        <v>2665119.4205020922</v>
      </c>
      <c r="AB427" s="14">
        <f t="shared" ref="AB427:BE427" si="173">AB379</f>
        <v>0</v>
      </c>
      <c r="AC427" s="14">
        <f t="shared" si="173"/>
        <v>0</v>
      </c>
      <c r="AD427" s="14">
        <f t="shared" si="173"/>
        <v>0</v>
      </c>
      <c r="AE427" s="14">
        <f t="shared" si="173"/>
        <v>0</v>
      </c>
      <c r="AF427" s="14">
        <f t="shared" si="173"/>
        <v>0</v>
      </c>
      <c r="AG427" s="14">
        <f t="shared" si="173"/>
        <v>0</v>
      </c>
      <c r="AH427" s="14">
        <f t="shared" si="173"/>
        <v>0</v>
      </c>
      <c r="AI427" s="14">
        <f t="shared" si="173"/>
        <v>0</v>
      </c>
      <c r="AJ427" s="14">
        <f t="shared" si="173"/>
        <v>0</v>
      </c>
      <c r="AK427" s="14">
        <f t="shared" si="173"/>
        <v>0</v>
      </c>
      <c r="AL427" s="14">
        <f t="shared" si="173"/>
        <v>0</v>
      </c>
      <c r="AM427" s="14">
        <f t="shared" si="173"/>
        <v>0</v>
      </c>
      <c r="AN427" s="14">
        <f t="shared" si="173"/>
        <v>0</v>
      </c>
      <c r="AO427" s="14">
        <f t="shared" si="173"/>
        <v>0</v>
      </c>
      <c r="AP427" s="14">
        <f t="shared" si="173"/>
        <v>0</v>
      </c>
      <c r="AQ427" s="14">
        <f t="shared" si="173"/>
        <v>0</v>
      </c>
      <c r="AR427" s="14">
        <f t="shared" si="173"/>
        <v>0</v>
      </c>
      <c r="AS427" s="14">
        <f t="shared" si="173"/>
        <v>0</v>
      </c>
      <c r="AT427" s="14">
        <f t="shared" si="173"/>
        <v>0</v>
      </c>
      <c r="AU427" s="14">
        <f t="shared" si="173"/>
        <v>0</v>
      </c>
      <c r="AV427" s="14">
        <f t="shared" si="173"/>
        <v>0</v>
      </c>
      <c r="AW427" s="14">
        <f t="shared" si="173"/>
        <v>0</v>
      </c>
      <c r="AX427" s="14">
        <f t="shared" si="173"/>
        <v>0</v>
      </c>
      <c r="AY427" s="14">
        <f t="shared" si="173"/>
        <v>0</v>
      </c>
      <c r="AZ427" s="14">
        <f t="shared" si="173"/>
        <v>0</v>
      </c>
      <c r="BA427" s="14">
        <f t="shared" si="173"/>
        <v>0</v>
      </c>
      <c r="BB427" s="14">
        <f t="shared" si="173"/>
        <v>0</v>
      </c>
      <c r="BC427" s="14">
        <f t="shared" si="173"/>
        <v>0</v>
      </c>
      <c r="BD427" s="14">
        <f t="shared" si="173"/>
        <v>0</v>
      </c>
      <c r="BE427" s="14">
        <f t="shared" si="173"/>
        <v>0</v>
      </c>
      <c r="BG427" s="14">
        <f t="shared" ref="BG427:BM427" si="174">SUMIFS($AA427:$BE427,$AA$2:$BE$2,"&gt;="&amp;BG$2,$AA$3:$BE$3,"&lt;="&amp;BG$3)</f>
        <v>2665119.4205020922</v>
      </c>
      <c r="BH427" s="14">
        <f t="shared" si="174"/>
        <v>0</v>
      </c>
      <c r="BI427" s="14">
        <f t="shared" si="174"/>
        <v>0</v>
      </c>
      <c r="BJ427" s="14">
        <f t="shared" si="174"/>
        <v>0</v>
      </c>
      <c r="BK427" s="14">
        <f t="shared" si="174"/>
        <v>0</v>
      </c>
      <c r="BL427" s="14">
        <f t="shared" si="174"/>
        <v>0</v>
      </c>
      <c r="BM427" s="14">
        <f t="shared" si="174"/>
        <v>0</v>
      </c>
    </row>
    <row r="428" spans="1:65">
      <c r="F428" s="18"/>
      <c r="G428" s="17"/>
    </row>
    <row r="429" spans="1:65">
      <c r="F429" s="18" t="s">
        <v>125</v>
      </c>
      <c r="G429" s="17" t="str">
        <f>cstConstantUnit</f>
        <v>£ 2022/23</v>
      </c>
      <c r="AA429" s="14">
        <f>$K423*AA427</f>
        <v>79953.582615062769</v>
      </c>
      <c r="AB429" s="14">
        <f t="shared" ref="AB429:BE429" si="175">$K423*AB427</f>
        <v>0</v>
      </c>
      <c r="AC429" s="14">
        <f t="shared" si="175"/>
        <v>0</v>
      </c>
      <c r="AD429" s="14">
        <f t="shared" si="175"/>
        <v>0</v>
      </c>
      <c r="AE429" s="14">
        <f t="shared" si="175"/>
        <v>0</v>
      </c>
      <c r="AF429" s="14">
        <f t="shared" si="175"/>
        <v>0</v>
      </c>
      <c r="AG429" s="14">
        <f t="shared" si="175"/>
        <v>0</v>
      </c>
      <c r="AH429" s="14">
        <f t="shared" si="175"/>
        <v>0</v>
      </c>
      <c r="AI429" s="14">
        <f t="shared" si="175"/>
        <v>0</v>
      </c>
      <c r="AJ429" s="14">
        <f t="shared" si="175"/>
        <v>0</v>
      </c>
      <c r="AK429" s="14">
        <f t="shared" si="175"/>
        <v>0</v>
      </c>
      <c r="AL429" s="14">
        <f t="shared" si="175"/>
        <v>0</v>
      </c>
      <c r="AM429" s="14">
        <f t="shared" si="175"/>
        <v>0</v>
      </c>
      <c r="AN429" s="14">
        <f t="shared" si="175"/>
        <v>0</v>
      </c>
      <c r="AO429" s="14">
        <f t="shared" si="175"/>
        <v>0</v>
      </c>
      <c r="AP429" s="14">
        <f t="shared" si="175"/>
        <v>0</v>
      </c>
      <c r="AQ429" s="14">
        <f t="shared" si="175"/>
        <v>0</v>
      </c>
      <c r="AR429" s="14">
        <f t="shared" si="175"/>
        <v>0</v>
      </c>
      <c r="AS429" s="14">
        <f t="shared" si="175"/>
        <v>0</v>
      </c>
      <c r="AT429" s="14">
        <f t="shared" si="175"/>
        <v>0</v>
      </c>
      <c r="AU429" s="14">
        <f t="shared" si="175"/>
        <v>0</v>
      </c>
      <c r="AV429" s="14">
        <f t="shared" si="175"/>
        <v>0</v>
      </c>
      <c r="AW429" s="14">
        <f t="shared" si="175"/>
        <v>0</v>
      </c>
      <c r="AX429" s="14">
        <f t="shared" si="175"/>
        <v>0</v>
      </c>
      <c r="AY429" s="14">
        <f t="shared" si="175"/>
        <v>0</v>
      </c>
      <c r="AZ429" s="14">
        <f t="shared" si="175"/>
        <v>0</v>
      </c>
      <c r="BA429" s="14">
        <f t="shared" si="175"/>
        <v>0</v>
      </c>
      <c r="BB429" s="14">
        <f t="shared" si="175"/>
        <v>0</v>
      </c>
      <c r="BC429" s="14">
        <f t="shared" si="175"/>
        <v>0</v>
      </c>
      <c r="BD429" s="14">
        <f t="shared" si="175"/>
        <v>0</v>
      </c>
      <c r="BE429" s="14">
        <f t="shared" si="175"/>
        <v>0</v>
      </c>
      <c r="BG429" s="14">
        <f t="shared" ref="BG429:BM429" si="176">SUMIFS($AA429:$BE429,$AA$2:$BE$2,"&gt;="&amp;BG$2,$AA$3:$BE$3,"&lt;="&amp;BG$3)</f>
        <v>79953.582615062769</v>
      </c>
      <c r="BH429" s="14">
        <f t="shared" si="176"/>
        <v>0</v>
      </c>
      <c r="BI429" s="14">
        <f t="shared" si="176"/>
        <v>0</v>
      </c>
      <c r="BJ429" s="14">
        <f t="shared" si="176"/>
        <v>0</v>
      </c>
      <c r="BK429" s="14">
        <f t="shared" si="176"/>
        <v>0</v>
      </c>
      <c r="BL429" s="14">
        <f t="shared" si="176"/>
        <v>0</v>
      </c>
      <c r="BM429" s="14">
        <f t="shared" si="176"/>
        <v>0</v>
      </c>
    </row>
    <row r="430" spans="1:65">
      <c r="F430" s="18"/>
      <c r="G430" s="17"/>
    </row>
    <row r="431" spans="1:65" ht="13">
      <c r="F431" s="26" t="s">
        <v>218</v>
      </c>
    </row>
    <row r="432" spans="1:65">
      <c r="F432" s="18"/>
      <c r="G432" s="17"/>
    </row>
    <row r="433" spans="1:65">
      <c r="F433" s="18" t="s">
        <v>126</v>
      </c>
      <c r="G433" s="17" t="str">
        <f>cstNominalUnit</f>
        <v>£ Nominal</v>
      </c>
      <c r="AA433" s="14">
        <f>AA413</f>
        <v>2665119.4205020922</v>
      </c>
      <c r="AB433" s="14">
        <f t="shared" ref="AB433:BE433" si="177">AB413</f>
        <v>0</v>
      </c>
      <c r="AC433" s="14">
        <f t="shared" si="177"/>
        <v>0</v>
      </c>
      <c r="AD433" s="14">
        <f t="shared" si="177"/>
        <v>0</v>
      </c>
      <c r="AE433" s="14">
        <f t="shared" si="177"/>
        <v>0</v>
      </c>
      <c r="AF433" s="14">
        <f t="shared" si="177"/>
        <v>0</v>
      </c>
      <c r="AG433" s="14">
        <f t="shared" si="177"/>
        <v>0</v>
      </c>
      <c r="AH433" s="14">
        <f t="shared" si="177"/>
        <v>0</v>
      </c>
      <c r="AI433" s="14">
        <f t="shared" si="177"/>
        <v>0</v>
      </c>
      <c r="AJ433" s="14">
        <f t="shared" si="177"/>
        <v>0</v>
      </c>
      <c r="AK433" s="14">
        <f t="shared" si="177"/>
        <v>0</v>
      </c>
      <c r="AL433" s="14">
        <f t="shared" si="177"/>
        <v>0</v>
      </c>
      <c r="AM433" s="14">
        <f t="shared" si="177"/>
        <v>0</v>
      </c>
      <c r="AN433" s="14">
        <f t="shared" si="177"/>
        <v>0</v>
      </c>
      <c r="AO433" s="14">
        <f t="shared" si="177"/>
        <v>0</v>
      </c>
      <c r="AP433" s="14">
        <f t="shared" si="177"/>
        <v>0</v>
      </c>
      <c r="AQ433" s="14">
        <f t="shared" si="177"/>
        <v>0</v>
      </c>
      <c r="AR433" s="14">
        <f t="shared" si="177"/>
        <v>0</v>
      </c>
      <c r="AS433" s="14">
        <f t="shared" si="177"/>
        <v>0</v>
      </c>
      <c r="AT433" s="14">
        <f t="shared" si="177"/>
        <v>0</v>
      </c>
      <c r="AU433" s="14">
        <f t="shared" si="177"/>
        <v>0</v>
      </c>
      <c r="AV433" s="14">
        <f t="shared" si="177"/>
        <v>0</v>
      </c>
      <c r="AW433" s="14">
        <f t="shared" si="177"/>
        <v>0</v>
      </c>
      <c r="AX433" s="14">
        <f t="shared" si="177"/>
        <v>0</v>
      </c>
      <c r="AY433" s="14">
        <f t="shared" si="177"/>
        <v>0</v>
      </c>
      <c r="AZ433" s="14">
        <f t="shared" si="177"/>
        <v>0</v>
      </c>
      <c r="BA433" s="14">
        <f t="shared" si="177"/>
        <v>0</v>
      </c>
      <c r="BB433" s="14">
        <f t="shared" si="177"/>
        <v>0</v>
      </c>
      <c r="BC433" s="14">
        <f t="shared" si="177"/>
        <v>0</v>
      </c>
      <c r="BD433" s="14">
        <f t="shared" si="177"/>
        <v>0</v>
      </c>
      <c r="BE433" s="14">
        <f t="shared" si="177"/>
        <v>0</v>
      </c>
      <c r="BG433" s="14">
        <f t="shared" ref="BG433:BM433" si="178">SUMIFS($AA433:$BE433,$AA$2:$BE$2,"&gt;="&amp;BG$2,$AA$3:$BE$3,"&lt;="&amp;BG$3)</f>
        <v>2665119.4205020922</v>
      </c>
      <c r="BH433" s="14">
        <f t="shared" si="178"/>
        <v>0</v>
      </c>
      <c r="BI433" s="14">
        <f t="shared" si="178"/>
        <v>0</v>
      </c>
      <c r="BJ433" s="14">
        <f t="shared" si="178"/>
        <v>0</v>
      </c>
      <c r="BK433" s="14">
        <f t="shared" si="178"/>
        <v>0</v>
      </c>
      <c r="BL433" s="14">
        <f t="shared" si="178"/>
        <v>0</v>
      </c>
      <c r="BM433" s="14">
        <f t="shared" si="178"/>
        <v>0</v>
      </c>
    </row>
    <row r="434" spans="1:65">
      <c r="F434" s="18"/>
      <c r="G434" s="17"/>
    </row>
    <row r="435" spans="1:65">
      <c r="F435" s="18" t="s">
        <v>125</v>
      </c>
      <c r="G435" s="17" t="str">
        <f>cstNominalUnit</f>
        <v>£ Nominal</v>
      </c>
      <c r="AA435" s="14">
        <f>$K423*AA433</f>
        <v>79953.582615062769</v>
      </c>
      <c r="AB435" s="14">
        <f t="shared" ref="AB435:BE435" si="179">$K423*AB433</f>
        <v>0</v>
      </c>
      <c r="AC435" s="14">
        <f t="shared" si="179"/>
        <v>0</v>
      </c>
      <c r="AD435" s="14">
        <f t="shared" si="179"/>
        <v>0</v>
      </c>
      <c r="AE435" s="14">
        <f t="shared" si="179"/>
        <v>0</v>
      </c>
      <c r="AF435" s="14">
        <f t="shared" si="179"/>
        <v>0</v>
      </c>
      <c r="AG435" s="14">
        <f t="shared" si="179"/>
        <v>0</v>
      </c>
      <c r="AH435" s="14">
        <f t="shared" si="179"/>
        <v>0</v>
      </c>
      <c r="AI435" s="14">
        <f t="shared" si="179"/>
        <v>0</v>
      </c>
      <c r="AJ435" s="14">
        <f t="shared" si="179"/>
        <v>0</v>
      </c>
      <c r="AK435" s="14">
        <f t="shared" si="179"/>
        <v>0</v>
      </c>
      <c r="AL435" s="14">
        <f t="shared" si="179"/>
        <v>0</v>
      </c>
      <c r="AM435" s="14">
        <f t="shared" si="179"/>
        <v>0</v>
      </c>
      <c r="AN435" s="14">
        <f t="shared" si="179"/>
        <v>0</v>
      </c>
      <c r="AO435" s="14">
        <f t="shared" si="179"/>
        <v>0</v>
      </c>
      <c r="AP435" s="14">
        <f t="shared" si="179"/>
        <v>0</v>
      </c>
      <c r="AQ435" s="14">
        <f t="shared" si="179"/>
        <v>0</v>
      </c>
      <c r="AR435" s="14">
        <f t="shared" si="179"/>
        <v>0</v>
      </c>
      <c r="AS435" s="14">
        <f t="shared" si="179"/>
        <v>0</v>
      </c>
      <c r="AT435" s="14">
        <f t="shared" si="179"/>
        <v>0</v>
      </c>
      <c r="AU435" s="14">
        <f t="shared" si="179"/>
        <v>0</v>
      </c>
      <c r="AV435" s="14">
        <f t="shared" si="179"/>
        <v>0</v>
      </c>
      <c r="AW435" s="14">
        <f t="shared" si="179"/>
        <v>0</v>
      </c>
      <c r="AX435" s="14">
        <f t="shared" si="179"/>
        <v>0</v>
      </c>
      <c r="AY435" s="14">
        <f t="shared" si="179"/>
        <v>0</v>
      </c>
      <c r="AZ435" s="14">
        <f t="shared" si="179"/>
        <v>0</v>
      </c>
      <c r="BA435" s="14">
        <f t="shared" si="179"/>
        <v>0</v>
      </c>
      <c r="BB435" s="14">
        <f t="shared" si="179"/>
        <v>0</v>
      </c>
      <c r="BC435" s="14">
        <f t="shared" si="179"/>
        <v>0</v>
      </c>
      <c r="BD435" s="14">
        <f t="shared" si="179"/>
        <v>0</v>
      </c>
      <c r="BE435" s="14">
        <f t="shared" si="179"/>
        <v>0</v>
      </c>
      <c r="BG435" s="14">
        <f t="shared" ref="BG435:BM435" si="180">SUMIFS($AA435:$BE435,$AA$2:$BE$2,"&gt;="&amp;BG$2,$AA$3:$BE$3,"&lt;="&amp;BG$3)</f>
        <v>79953.582615062769</v>
      </c>
      <c r="BH435" s="14">
        <f t="shared" si="180"/>
        <v>0</v>
      </c>
      <c r="BI435" s="14">
        <f t="shared" si="180"/>
        <v>0</v>
      </c>
      <c r="BJ435" s="14">
        <f t="shared" si="180"/>
        <v>0</v>
      </c>
      <c r="BK435" s="14">
        <f t="shared" si="180"/>
        <v>0</v>
      </c>
      <c r="BL435" s="14">
        <f t="shared" si="180"/>
        <v>0</v>
      </c>
      <c r="BM435" s="14">
        <f t="shared" si="180"/>
        <v>0</v>
      </c>
    </row>
    <row r="436" spans="1:65">
      <c r="F436" s="18"/>
      <c r="G436" s="17"/>
    </row>
    <row r="437" spans="1:65" ht="14" thickBot="1">
      <c r="A437" s="25"/>
      <c r="B437" s="25"/>
      <c r="C437" s="25"/>
      <c r="D437" s="25"/>
      <c r="E437" s="25" t="s">
        <v>409</v>
      </c>
      <c r="F437" s="25" t="s">
        <v>247</v>
      </c>
      <c r="G437" s="25"/>
      <c r="H437" s="25"/>
      <c r="I437" s="25"/>
      <c r="J437" s="25"/>
      <c r="K437" s="25"/>
      <c r="L437" s="25"/>
      <c r="M437" s="25"/>
      <c r="N437" s="25"/>
      <c r="O437" s="25"/>
      <c r="P437" s="25"/>
      <c r="Q437" s="25"/>
      <c r="R437" s="25"/>
      <c r="S437" s="25"/>
      <c r="T437" s="25"/>
      <c r="U437" s="25"/>
      <c r="V437" s="25"/>
      <c r="W437" s="25"/>
      <c r="X437" s="25"/>
      <c r="Y437" s="25"/>
      <c r="Z437" s="25"/>
      <c r="AA437" s="25"/>
      <c r="AB437" s="25"/>
      <c r="AC437" s="25"/>
      <c r="AD437" s="25"/>
      <c r="AE437" s="25"/>
      <c r="AF437" s="25"/>
      <c r="AG437" s="25"/>
      <c r="AH437" s="25"/>
      <c r="AI437" s="25"/>
      <c r="AJ437" s="25"/>
      <c r="AK437" s="25"/>
      <c r="AL437" s="25"/>
      <c r="AM437" s="25"/>
      <c r="AN437" s="25"/>
      <c r="AO437" s="25"/>
      <c r="AP437" s="25"/>
      <c r="AQ437" s="25"/>
      <c r="AR437" s="25"/>
      <c r="AS437" s="25"/>
      <c r="AT437" s="25"/>
      <c r="AU437" s="25"/>
      <c r="AV437" s="25"/>
      <c r="AW437" s="25"/>
      <c r="AX437" s="25"/>
      <c r="AY437" s="25"/>
      <c r="AZ437" s="25"/>
      <c r="BA437" s="25"/>
      <c r="BB437" s="25"/>
      <c r="BC437" s="25"/>
      <c r="BD437" s="25"/>
      <c r="BE437" s="25"/>
      <c r="BF437" s="25"/>
      <c r="BG437" s="25"/>
      <c r="BH437" s="25"/>
      <c r="BI437" s="25"/>
      <c r="BJ437" s="25"/>
      <c r="BK437" s="25"/>
      <c r="BL437" s="25"/>
      <c r="BM437" s="25"/>
    </row>
    <row r="438" spans="1:65">
      <c r="F438" s="18"/>
      <c r="G438" s="17"/>
    </row>
    <row r="439" spans="1:65" ht="13">
      <c r="F439" s="26" t="s">
        <v>174</v>
      </c>
      <c r="G439" s="17"/>
    </row>
    <row r="440" spans="1:65">
      <c r="F440" s="18"/>
      <c r="G440" s="17"/>
    </row>
    <row r="441" spans="1:65">
      <c r="F441" s="18" t="str">
        <f>iOptions!F175</f>
        <v>Maintenance &amp; Repair</v>
      </c>
      <c r="G441" s="17" t="str">
        <f>cstConstantUnit&amp;" per "&amp;cstArea</f>
        <v>£ 2022/23 per m2</v>
      </c>
      <c r="K441" s="9" cm="1">
        <f t="array" ref="K441">INDEX(iOptions!$M175:$O175,1,ActiveCostScenarioIndex)</f>
        <v>10</v>
      </c>
      <c r="AA441" s="39"/>
      <c r="AB441" s="39"/>
      <c r="AC441" s="39"/>
      <c r="AD441" s="39"/>
      <c r="AE441" s="39"/>
      <c r="AF441" s="39"/>
      <c r="AG441" s="39"/>
      <c r="AH441" s="39"/>
      <c r="AI441" s="39"/>
      <c r="AJ441" s="39"/>
      <c r="AK441" s="39"/>
      <c r="AL441" s="39"/>
      <c r="AM441" s="39"/>
      <c r="AN441" s="39"/>
      <c r="AO441" s="39"/>
      <c r="AP441" s="39"/>
      <c r="AQ441" s="39"/>
      <c r="AR441" s="39"/>
      <c r="AS441" s="39"/>
      <c r="AT441" s="39"/>
      <c r="AU441" s="39"/>
      <c r="AV441" s="39"/>
      <c r="AW441" s="39"/>
      <c r="AX441" s="39"/>
      <c r="AY441" s="39"/>
      <c r="AZ441" s="39"/>
      <c r="BA441" s="39"/>
      <c r="BB441" s="39"/>
      <c r="BC441" s="39"/>
      <c r="BD441" s="39"/>
      <c r="BE441" s="39"/>
      <c r="BG441" s="39"/>
      <c r="BH441" s="39"/>
      <c r="BI441" s="39"/>
      <c r="BJ441" s="39"/>
      <c r="BK441" s="39"/>
      <c r="BL441" s="39"/>
      <c r="BM441" s="39"/>
    </row>
    <row r="442" spans="1:65">
      <c r="F442" s="18" t="str">
        <f>iOptions!F176</f>
        <v>Utilities</v>
      </c>
      <c r="G442" s="17" t="str">
        <f>cstConstantUnit&amp;" per "&amp;cstArea</f>
        <v>£ 2022/23 per m2</v>
      </c>
      <c r="K442" s="9" cm="1">
        <f t="array" ref="K442">INDEX(iOptions!$M176:$O176,1,ActiveCostScenarioIndex)</f>
        <v>15</v>
      </c>
      <c r="AA442" s="39"/>
      <c r="AB442" s="39"/>
      <c r="AC442" s="39"/>
      <c r="AD442" s="39"/>
      <c r="AE442" s="39"/>
      <c r="AF442" s="39"/>
      <c r="AG442" s="39"/>
      <c r="AH442" s="39"/>
      <c r="AI442" s="39"/>
      <c r="AJ442" s="39"/>
      <c r="AK442" s="39"/>
      <c r="AL442" s="39"/>
      <c r="AM442" s="39"/>
      <c r="AN442" s="39"/>
      <c r="AO442" s="39"/>
      <c r="AP442" s="39"/>
      <c r="AQ442" s="39"/>
      <c r="AR442" s="39"/>
      <c r="AS442" s="39"/>
      <c r="AT442" s="39"/>
      <c r="AU442" s="39"/>
      <c r="AV442" s="39"/>
      <c r="AW442" s="39"/>
      <c r="AX442" s="39"/>
      <c r="AY442" s="39"/>
      <c r="AZ442" s="39"/>
      <c r="BA442" s="39"/>
      <c r="BB442" s="39"/>
      <c r="BC442" s="39"/>
      <c r="BD442" s="39"/>
      <c r="BE442" s="39"/>
      <c r="BG442" s="39"/>
      <c r="BH442" s="39"/>
      <c r="BI442" s="39"/>
      <c r="BJ442" s="39"/>
      <c r="BK442" s="39"/>
      <c r="BL442" s="39"/>
      <c r="BM442" s="39"/>
    </row>
    <row r="443" spans="1:65">
      <c r="F443" s="18" t="str">
        <f>iOptions!F177</f>
        <v>Cleaning</v>
      </c>
      <c r="G443" s="17" t="str">
        <f>cstConstantUnit&amp;" per "&amp;cstArea</f>
        <v>£ 2022/23 per m2</v>
      </c>
      <c r="K443" s="9" cm="1">
        <f t="array" ref="K443">INDEX(iOptions!$M177:$O177,1,ActiveCostScenarioIndex)</f>
        <v>10</v>
      </c>
      <c r="AA443" s="39"/>
      <c r="AB443" s="39"/>
      <c r="AC443" s="39"/>
      <c r="AD443" s="39"/>
      <c r="AE443" s="39"/>
      <c r="AF443" s="39"/>
      <c r="AG443" s="39"/>
      <c r="AH443" s="39"/>
      <c r="AI443" s="39"/>
      <c r="AJ443" s="39"/>
      <c r="AK443" s="39"/>
      <c r="AL443" s="39"/>
      <c r="AM443" s="39"/>
      <c r="AN443" s="39"/>
      <c r="AO443" s="39"/>
      <c r="AP443" s="39"/>
      <c r="AQ443" s="39"/>
      <c r="AR443" s="39"/>
      <c r="AS443" s="39"/>
      <c r="AT443" s="39"/>
      <c r="AU443" s="39"/>
      <c r="AV443" s="39"/>
      <c r="AW443" s="39"/>
      <c r="AX443" s="39"/>
      <c r="AY443" s="39"/>
      <c r="AZ443" s="39"/>
      <c r="BA443" s="39"/>
      <c r="BB443" s="39"/>
      <c r="BC443" s="39"/>
      <c r="BD443" s="39"/>
      <c r="BE443" s="39"/>
      <c r="BG443" s="39"/>
      <c r="BH443" s="39"/>
      <c r="BI443" s="39"/>
      <c r="BJ443" s="39"/>
      <c r="BK443" s="39"/>
      <c r="BL443" s="39"/>
      <c r="BM443" s="39"/>
    </row>
    <row r="444" spans="1:65">
      <c r="F444" s="18" t="str">
        <f>iOptions!F178</f>
        <v>Spare 1</v>
      </c>
      <c r="G444" s="17" t="str">
        <f>cstConstantUnit&amp;" per "&amp;cstArea</f>
        <v>£ 2022/23 per m2</v>
      </c>
      <c r="K444" s="9" cm="1">
        <f t="array" ref="K444">INDEX(iOptions!$M178:$O178,1,ActiveCostScenarioIndex)</f>
        <v>0</v>
      </c>
      <c r="AA444" s="39"/>
      <c r="AB444" s="39"/>
      <c r="AC444" s="39"/>
      <c r="AD444" s="39"/>
      <c r="AE444" s="39"/>
      <c r="AF444" s="39"/>
      <c r="AG444" s="39"/>
      <c r="AH444" s="39"/>
      <c r="AI444" s="39"/>
      <c r="AJ444" s="39"/>
      <c r="AK444" s="39"/>
      <c r="AL444" s="39"/>
      <c r="AM444" s="39"/>
      <c r="AN444" s="39"/>
      <c r="AO444" s="39"/>
      <c r="AP444" s="39"/>
      <c r="AQ444" s="39"/>
      <c r="AR444" s="39"/>
      <c r="AS444" s="39"/>
      <c r="AT444" s="39"/>
      <c r="AU444" s="39"/>
      <c r="AV444" s="39"/>
      <c r="AW444" s="39"/>
      <c r="AX444" s="39"/>
      <c r="AY444" s="39"/>
      <c r="AZ444" s="39"/>
      <c r="BA444" s="39"/>
      <c r="BB444" s="39"/>
      <c r="BC444" s="39"/>
      <c r="BD444" s="39"/>
      <c r="BE444" s="39"/>
      <c r="BG444" s="39"/>
      <c r="BH444" s="39"/>
      <c r="BI444" s="39"/>
      <c r="BJ444" s="39"/>
      <c r="BK444" s="39"/>
      <c r="BL444" s="39"/>
      <c r="BM444" s="39"/>
    </row>
    <row r="445" spans="1:65">
      <c r="F445" s="18" t="str">
        <f>iOptions!F179</f>
        <v>Spare 2</v>
      </c>
      <c r="G445" s="17" t="str">
        <f>cstConstantUnit&amp;" per "&amp;cstArea</f>
        <v>£ 2022/23 per m2</v>
      </c>
      <c r="K445" s="9" cm="1">
        <f t="array" ref="K445">INDEX(iOptions!$M179:$O179,1,ActiveCostScenarioIndex)</f>
        <v>0</v>
      </c>
      <c r="AA445" s="39"/>
      <c r="AB445" s="39"/>
      <c r="AC445" s="39"/>
      <c r="AD445" s="39"/>
      <c r="AE445" s="39"/>
      <c r="AF445" s="39"/>
      <c r="AG445" s="39"/>
      <c r="AH445" s="39"/>
      <c r="AI445" s="39"/>
      <c r="AJ445" s="39"/>
      <c r="AK445" s="39"/>
      <c r="AL445" s="39"/>
      <c r="AM445" s="39"/>
      <c r="AN445" s="39"/>
      <c r="AO445" s="39"/>
      <c r="AP445" s="39"/>
      <c r="AQ445" s="39"/>
      <c r="AR445" s="39"/>
      <c r="AS445" s="39"/>
      <c r="AT445" s="39"/>
      <c r="AU445" s="39"/>
      <c r="AV445" s="39"/>
      <c r="AW445" s="39"/>
      <c r="AX445" s="39"/>
      <c r="AY445" s="39"/>
      <c r="AZ445" s="39"/>
      <c r="BA445" s="39"/>
      <c r="BB445" s="39"/>
      <c r="BC445" s="39"/>
      <c r="BD445" s="39"/>
      <c r="BE445" s="39"/>
      <c r="BG445" s="39"/>
      <c r="BH445" s="39"/>
      <c r="BI445" s="39"/>
      <c r="BJ445" s="39"/>
      <c r="BK445" s="39"/>
      <c r="BL445" s="39"/>
      <c r="BM445" s="39"/>
    </row>
    <row r="447" spans="1:65">
      <c r="F447" s="18" t="s">
        <v>123</v>
      </c>
      <c r="G447" s="17" t="str">
        <f>cstArea</f>
        <v>m2</v>
      </c>
      <c r="AA447" s="9">
        <f>cVolumetrics!AA99</f>
        <v>858.13807531380758</v>
      </c>
      <c r="AB447" s="9">
        <f>cVolumetrics!AB99</f>
        <v>858.13807531380758</v>
      </c>
      <c r="AC447" s="9">
        <f>cVolumetrics!AC99</f>
        <v>858.13807531380758</v>
      </c>
      <c r="AD447" s="9">
        <f>cVolumetrics!AD99</f>
        <v>858.13807531380758</v>
      </c>
      <c r="AE447" s="9">
        <f>cVolumetrics!AE99</f>
        <v>858.13807531380758</v>
      </c>
      <c r="AF447" s="9">
        <f>cVolumetrics!AF99</f>
        <v>858.13807531380758</v>
      </c>
      <c r="AG447" s="9">
        <f>cVolumetrics!AG99</f>
        <v>858.13807531380758</v>
      </c>
      <c r="AH447" s="9">
        <f>cVolumetrics!AH99</f>
        <v>858.13807531380758</v>
      </c>
      <c r="AI447" s="9">
        <f>cVolumetrics!AI99</f>
        <v>858.13807531380758</v>
      </c>
      <c r="AJ447" s="9">
        <f>cVolumetrics!AJ99</f>
        <v>858.13807531380758</v>
      </c>
      <c r="AK447" s="9">
        <f>cVolumetrics!AK99</f>
        <v>858.13807531380758</v>
      </c>
      <c r="AL447" s="9">
        <f>cVolumetrics!AL99</f>
        <v>858.13807531380758</v>
      </c>
      <c r="AM447" s="9">
        <f>cVolumetrics!AM99</f>
        <v>858.13807531380758</v>
      </c>
      <c r="AN447" s="9">
        <f>cVolumetrics!AN99</f>
        <v>858.13807531380758</v>
      </c>
      <c r="AO447" s="9">
        <f>cVolumetrics!AO99</f>
        <v>858.13807531380758</v>
      </c>
      <c r="AP447" s="9">
        <f>cVolumetrics!AP99</f>
        <v>858.13807531380758</v>
      </c>
      <c r="AQ447" s="9">
        <f>cVolumetrics!AQ99</f>
        <v>858.13807531380758</v>
      </c>
      <c r="AR447" s="9">
        <f>cVolumetrics!AR99</f>
        <v>858.13807531380758</v>
      </c>
      <c r="AS447" s="9">
        <f>cVolumetrics!AS99</f>
        <v>858.13807531380758</v>
      </c>
      <c r="AT447" s="9">
        <f>cVolumetrics!AT99</f>
        <v>858.13807531380758</v>
      </c>
      <c r="AU447" s="9">
        <f>cVolumetrics!AU99</f>
        <v>858.13807531380758</v>
      </c>
      <c r="AV447" s="9">
        <f>cVolumetrics!AV99</f>
        <v>858.13807531380758</v>
      </c>
      <c r="AW447" s="9">
        <f>cVolumetrics!AW99</f>
        <v>858.13807531380758</v>
      </c>
      <c r="AX447" s="9">
        <f>cVolumetrics!AX99</f>
        <v>858.13807531380758</v>
      </c>
      <c r="AY447" s="9">
        <f>cVolumetrics!AY99</f>
        <v>858.13807531380758</v>
      </c>
      <c r="AZ447" s="9">
        <f>cVolumetrics!AZ99</f>
        <v>858.13807531380758</v>
      </c>
      <c r="BA447" s="9">
        <f>cVolumetrics!BA99</f>
        <v>858.13807531380758</v>
      </c>
      <c r="BB447" s="9">
        <f>cVolumetrics!BB99</f>
        <v>858.13807531380758</v>
      </c>
      <c r="BC447" s="9">
        <f>cVolumetrics!BC99</f>
        <v>858.13807531380758</v>
      </c>
      <c r="BD447" s="9">
        <f>cVolumetrics!BD99</f>
        <v>858.13807531380758</v>
      </c>
      <c r="BE447" s="9">
        <f>cVolumetrics!BE99</f>
        <v>858.13807531380758</v>
      </c>
      <c r="BG447" s="39"/>
      <c r="BH447" s="39"/>
      <c r="BI447" s="39"/>
      <c r="BJ447" s="39"/>
      <c r="BK447" s="39"/>
      <c r="BL447" s="39"/>
      <c r="BM447" s="39"/>
    </row>
    <row r="449" spans="1:65" ht="13">
      <c r="F449" s="26" t="s">
        <v>217</v>
      </c>
    </row>
    <row r="450" spans="1:65">
      <c r="F450" s="18"/>
      <c r="G450" s="17"/>
    </row>
    <row r="451" spans="1:65">
      <c r="F451" s="18" t="str">
        <f>F441</f>
        <v>Maintenance &amp; Repair</v>
      </c>
      <c r="G451" s="17" t="str">
        <f>cstConstantUnit</f>
        <v>£ 2022/23</v>
      </c>
      <c r="AA451" s="14">
        <f t="shared" ref="AA451:BE451" si="181">$K441*AA$447*AA$20</f>
        <v>0</v>
      </c>
      <c r="AB451" s="14">
        <f t="shared" si="181"/>
        <v>8581.3807531380753</v>
      </c>
      <c r="AC451" s="14">
        <f t="shared" si="181"/>
        <v>8581.3807531380753</v>
      </c>
      <c r="AD451" s="14">
        <f t="shared" si="181"/>
        <v>8581.3807531380753</v>
      </c>
      <c r="AE451" s="14">
        <f t="shared" si="181"/>
        <v>8581.3807531380753</v>
      </c>
      <c r="AF451" s="14">
        <f t="shared" si="181"/>
        <v>8581.3807531380753</v>
      </c>
      <c r="AG451" s="14">
        <f t="shared" si="181"/>
        <v>8581.3807531380753</v>
      </c>
      <c r="AH451" s="14">
        <f t="shared" si="181"/>
        <v>8581.3807531380753</v>
      </c>
      <c r="AI451" s="14">
        <f t="shared" si="181"/>
        <v>8581.3807531380753</v>
      </c>
      <c r="AJ451" s="14">
        <f t="shared" si="181"/>
        <v>8581.3807531380753</v>
      </c>
      <c r="AK451" s="14">
        <f t="shared" si="181"/>
        <v>8581.3807531380753</v>
      </c>
      <c r="AL451" s="14">
        <f t="shared" si="181"/>
        <v>8581.3807531380753</v>
      </c>
      <c r="AM451" s="14">
        <f t="shared" si="181"/>
        <v>8581.3807531380753</v>
      </c>
      <c r="AN451" s="14">
        <f t="shared" si="181"/>
        <v>8581.3807531380753</v>
      </c>
      <c r="AO451" s="14">
        <f t="shared" si="181"/>
        <v>8581.3807531380753</v>
      </c>
      <c r="AP451" s="14">
        <f t="shared" si="181"/>
        <v>8581.3807531380753</v>
      </c>
      <c r="AQ451" s="14">
        <f t="shared" si="181"/>
        <v>8581.3807531380753</v>
      </c>
      <c r="AR451" s="14">
        <f t="shared" si="181"/>
        <v>8581.3807531380753</v>
      </c>
      <c r="AS451" s="14">
        <f t="shared" si="181"/>
        <v>8581.3807531380753</v>
      </c>
      <c r="AT451" s="14">
        <f t="shared" si="181"/>
        <v>8581.3807531380753</v>
      </c>
      <c r="AU451" s="14">
        <f t="shared" si="181"/>
        <v>8581.3807531380753</v>
      </c>
      <c r="AV451" s="14">
        <f t="shared" si="181"/>
        <v>8581.3807531380753</v>
      </c>
      <c r="AW451" s="14">
        <f t="shared" si="181"/>
        <v>8581.3807531380753</v>
      </c>
      <c r="AX451" s="14">
        <f t="shared" si="181"/>
        <v>8581.3807531380753</v>
      </c>
      <c r="AY451" s="14">
        <f t="shared" si="181"/>
        <v>8581.3807531380753</v>
      </c>
      <c r="AZ451" s="14">
        <f t="shared" si="181"/>
        <v>8581.3807531380753</v>
      </c>
      <c r="BA451" s="14">
        <f t="shared" si="181"/>
        <v>8581.3807531380753</v>
      </c>
      <c r="BB451" s="14">
        <f t="shared" si="181"/>
        <v>8581.3807531380753</v>
      </c>
      <c r="BC451" s="14">
        <f t="shared" si="181"/>
        <v>8581.3807531380753</v>
      </c>
      <c r="BD451" s="14">
        <f t="shared" si="181"/>
        <v>8581.3807531380753</v>
      </c>
      <c r="BE451" s="14">
        <f t="shared" si="181"/>
        <v>8581.3807531380753</v>
      </c>
      <c r="BG451" s="14">
        <f t="shared" ref="BG451:BM455" si="182">SUMIFS($AA451:$BE451,$AA$2:$BE$2,"&gt;="&amp;BG$2,$AA$3:$BE$3,"&lt;="&amp;BG$3)</f>
        <v>0</v>
      </c>
      <c r="BH451" s="14">
        <f t="shared" si="182"/>
        <v>42906.903765690375</v>
      </c>
      <c r="BI451" s="14">
        <f t="shared" si="182"/>
        <v>42906.903765690375</v>
      </c>
      <c r="BJ451" s="14">
        <f t="shared" si="182"/>
        <v>42906.903765690375</v>
      </c>
      <c r="BK451" s="14">
        <f t="shared" si="182"/>
        <v>42906.903765690375</v>
      </c>
      <c r="BL451" s="14">
        <f t="shared" si="182"/>
        <v>42906.903765690375</v>
      </c>
      <c r="BM451" s="14">
        <f t="shared" si="182"/>
        <v>42906.903765690375</v>
      </c>
    </row>
    <row r="452" spans="1:65">
      <c r="F452" s="18" t="str">
        <f>F442</f>
        <v>Utilities</v>
      </c>
      <c r="G452" s="17" t="str">
        <f>cstConstantUnit</f>
        <v>£ 2022/23</v>
      </c>
      <c r="AA452" s="14">
        <f t="shared" ref="AA452:BE452" si="183">$K442*AA$447*AA$20</f>
        <v>0</v>
      </c>
      <c r="AB452" s="14">
        <f t="shared" si="183"/>
        <v>12872.071129707114</v>
      </c>
      <c r="AC452" s="14">
        <f t="shared" si="183"/>
        <v>12872.071129707114</v>
      </c>
      <c r="AD452" s="14">
        <f t="shared" si="183"/>
        <v>12872.071129707114</v>
      </c>
      <c r="AE452" s="14">
        <f t="shared" si="183"/>
        <v>12872.071129707114</v>
      </c>
      <c r="AF452" s="14">
        <f t="shared" si="183"/>
        <v>12872.071129707114</v>
      </c>
      <c r="AG452" s="14">
        <f t="shared" si="183"/>
        <v>12872.071129707114</v>
      </c>
      <c r="AH452" s="14">
        <f t="shared" si="183"/>
        <v>12872.071129707114</v>
      </c>
      <c r="AI452" s="14">
        <f t="shared" si="183"/>
        <v>12872.071129707114</v>
      </c>
      <c r="AJ452" s="14">
        <f t="shared" si="183"/>
        <v>12872.071129707114</v>
      </c>
      <c r="AK452" s="14">
        <f t="shared" si="183"/>
        <v>12872.071129707114</v>
      </c>
      <c r="AL452" s="14">
        <f t="shared" si="183"/>
        <v>12872.071129707114</v>
      </c>
      <c r="AM452" s="14">
        <f t="shared" si="183"/>
        <v>12872.071129707114</v>
      </c>
      <c r="AN452" s="14">
        <f t="shared" si="183"/>
        <v>12872.071129707114</v>
      </c>
      <c r="AO452" s="14">
        <f t="shared" si="183"/>
        <v>12872.071129707114</v>
      </c>
      <c r="AP452" s="14">
        <f t="shared" si="183"/>
        <v>12872.071129707114</v>
      </c>
      <c r="AQ452" s="14">
        <f t="shared" si="183"/>
        <v>12872.071129707114</v>
      </c>
      <c r="AR452" s="14">
        <f t="shared" si="183"/>
        <v>12872.071129707114</v>
      </c>
      <c r="AS452" s="14">
        <f t="shared" si="183"/>
        <v>12872.071129707114</v>
      </c>
      <c r="AT452" s="14">
        <f t="shared" si="183"/>
        <v>12872.071129707114</v>
      </c>
      <c r="AU452" s="14">
        <f t="shared" si="183"/>
        <v>12872.071129707114</v>
      </c>
      <c r="AV452" s="14">
        <f t="shared" si="183"/>
        <v>12872.071129707114</v>
      </c>
      <c r="AW452" s="14">
        <f t="shared" si="183"/>
        <v>12872.071129707114</v>
      </c>
      <c r="AX452" s="14">
        <f t="shared" si="183"/>
        <v>12872.071129707114</v>
      </c>
      <c r="AY452" s="14">
        <f t="shared" si="183"/>
        <v>12872.071129707114</v>
      </c>
      <c r="AZ452" s="14">
        <f t="shared" si="183"/>
        <v>12872.071129707114</v>
      </c>
      <c r="BA452" s="14">
        <f t="shared" si="183"/>
        <v>12872.071129707114</v>
      </c>
      <c r="BB452" s="14">
        <f t="shared" si="183"/>
        <v>12872.071129707114</v>
      </c>
      <c r="BC452" s="14">
        <f t="shared" si="183"/>
        <v>12872.071129707114</v>
      </c>
      <c r="BD452" s="14">
        <f t="shared" si="183"/>
        <v>12872.071129707114</v>
      </c>
      <c r="BE452" s="14">
        <f t="shared" si="183"/>
        <v>12872.071129707114</v>
      </c>
      <c r="BG452" s="14">
        <f t="shared" si="182"/>
        <v>0</v>
      </c>
      <c r="BH452" s="14">
        <f t="shared" si="182"/>
        <v>64360.355648535566</v>
      </c>
      <c r="BI452" s="14">
        <f t="shared" si="182"/>
        <v>64360.355648535566</v>
      </c>
      <c r="BJ452" s="14">
        <f t="shared" si="182"/>
        <v>64360.355648535566</v>
      </c>
      <c r="BK452" s="14">
        <f t="shared" si="182"/>
        <v>64360.355648535566</v>
      </c>
      <c r="BL452" s="14">
        <f t="shared" si="182"/>
        <v>64360.355648535566</v>
      </c>
      <c r="BM452" s="14">
        <f t="shared" si="182"/>
        <v>64360.355648535566</v>
      </c>
    </row>
    <row r="453" spans="1:65">
      <c r="F453" s="18" t="str">
        <f>F443</f>
        <v>Cleaning</v>
      </c>
      <c r="G453" s="17" t="str">
        <f>cstConstantUnit</f>
        <v>£ 2022/23</v>
      </c>
      <c r="AA453" s="14">
        <f t="shared" ref="AA453:BE453" si="184">$K443*AA$447*AA$20</f>
        <v>0</v>
      </c>
      <c r="AB453" s="14">
        <f t="shared" si="184"/>
        <v>8581.3807531380753</v>
      </c>
      <c r="AC453" s="14">
        <f t="shared" si="184"/>
        <v>8581.3807531380753</v>
      </c>
      <c r="AD453" s="14">
        <f t="shared" si="184"/>
        <v>8581.3807531380753</v>
      </c>
      <c r="AE453" s="14">
        <f t="shared" si="184"/>
        <v>8581.3807531380753</v>
      </c>
      <c r="AF453" s="14">
        <f t="shared" si="184"/>
        <v>8581.3807531380753</v>
      </c>
      <c r="AG453" s="14">
        <f t="shared" si="184"/>
        <v>8581.3807531380753</v>
      </c>
      <c r="AH453" s="14">
        <f t="shared" si="184"/>
        <v>8581.3807531380753</v>
      </c>
      <c r="AI453" s="14">
        <f t="shared" si="184"/>
        <v>8581.3807531380753</v>
      </c>
      <c r="AJ453" s="14">
        <f t="shared" si="184"/>
        <v>8581.3807531380753</v>
      </c>
      <c r="AK453" s="14">
        <f t="shared" si="184"/>
        <v>8581.3807531380753</v>
      </c>
      <c r="AL453" s="14">
        <f t="shared" si="184"/>
        <v>8581.3807531380753</v>
      </c>
      <c r="AM453" s="14">
        <f t="shared" si="184"/>
        <v>8581.3807531380753</v>
      </c>
      <c r="AN453" s="14">
        <f t="shared" si="184"/>
        <v>8581.3807531380753</v>
      </c>
      <c r="AO453" s="14">
        <f t="shared" si="184"/>
        <v>8581.3807531380753</v>
      </c>
      <c r="AP453" s="14">
        <f t="shared" si="184"/>
        <v>8581.3807531380753</v>
      </c>
      <c r="AQ453" s="14">
        <f t="shared" si="184"/>
        <v>8581.3807531380753</v>
      </c>
      <c r="AR453" s="14">
        <f t="shared" si="184"/>
        <v>8581.3807531380753</v>
      </c>
      <c r="AS453" s="14">
        <f t="shared" si="184"/>
        <v>8581.3807531380753</v>
      </c>
      <c r="AT453" s="14">
        <f t="shared" si="184"/>
        <v>8581.3807531380753</v>
      </c>
      <c r="AU453" s="14">
        <f t="shared" si="184"/>
        <v>8581.3807531380753</v>
      </c>
      <c r="AV453" s="14">
        <f t="shared" si="184"/>
        <v>8581.3807531380753</v>
      </c>
      <c r="AW453" s="14">
        <f t="shared" si="184"/>
        <v>8581.3807531380753</v>
      </c>
      <c r="AX453" s="14">
        <f t="shared" si="184"/>
        <v>8581.3807531380753</v>
      </c>
      <c r="AY453" s="14">
        <f t="shared" si="184"/>
        <v>8581.3807531380753</v>
      </c>
      <c r="AZ453" s="14">
        <f t="shared" si="184"/>
        <v>8581.3807531380753</v>
      </c>
      <c r="BA453" s="14">
        <f t="shared" si="184"/>
        <v>8581.3807531380753</v>
      </c>
      <c r="BB453" s="14">
        <f t="shared" si="184"/>
        <v>8581.3807531380753</v>
      </c>
      <c r="BC453" s="14">
        <f t="shared" si="184"/>
        <v>8581.3807531380753</v>
      </c>
      <c r="BD453" s="14">
        <f t="shared" si="184"/>
        <v>8581.3807531380753</v>
      </c>
      <c r="BE453" s="14">
        <f t="shared" si="184"/>
        <v>8581.3807531380753</v>
      </c>
      <c r="BG453" s="14">
        <f t="shared" si="182"/>
        <v>0</v>
      </c>
      <c r="BH453" s="14">
        <f t="shared" si="182"/>
        <v>42906.903765690375</v>
      </c>
      <c r="BI453" s="14">
        <f t="shared" si="182"/>
        <v>42906.903765690375</v>
      </c>
      <c r="BJ453" s="14">
        <f t="shared" si="182"/>
        <v>42906.903765690375</v>
      </c>
      <c r="BK453" s="14">
        <f t="shared" si="182"/>
        <v>42906.903765690375</v>
      </c>
      <c r="BL453" s="14">
        <f t="shared" si="182"/>
        <v>42906.903765690375</v>
      </c>
      <c r="BM453" s="14">
        <f t="shared" si="182"/>
        <v>42906.903765690375</v>
      </c>
    </row>
    <row r="454" spans="1:65">
      <c r="F454" s="18" t="str">
        <f>F444</f>
        <v>Spare 1</v>
      </c>
      <c r="G454" s="17" t="str">
        <f>cstConstantUnit</f>
        <v>£ 2022/23</v>
      </c>
      <c r="AA454" s="14">
        <f t="shared" ref="AA454:BE454" si="185">$K444*AA$447*AA$20</f>
        <v>0</v>
      </c>
      <c r="AB454" s="14">
        <f t="shared" si="185"/>
        <v>0</v>
      </c>
      <c r="AC454" s="14">
        <f t="shared" si="185"/>
        <v>0</v>
      </c>
      <c r="AD454" s="14">
        <f t="shared" si="185"/>
        <v>0</v>
      </c>
      <c r="AE454" s="14">
        <f t="shared" si="185"/>
        <v>0</v>
      </c>
      <c r="AF454" s="14">
        <f t="shared" si="185"/>
        <v>0</v>
      </c>
      <c r="AG454" s="14">
        <f t="shared" si="185"/>
        <v>0</v>
      </c>
      <c r="AH454" s="14">
        <f t="shared" si="185"/>
        <v>0</v>
      </c>
      <c r="AI454" s="14">
        <f t="shared" si="185"/>
        <v>0</v>
      </c>
      <c r="AJ454" s="14">
        <f t="shared" si="185"/>
        <v>0</v>
      </c>
      <c r="AK454" s="14">
        <f t="shared" si="185"/>
        <v>0</v>
      </c>
      <c r="AL454" s="14">
        <f t="shared" si="185"/>
        <v>0</v>
      </c>
      <c r="AM454" s="14">
        <f t="shared" si="185"/>
        <v>0</v>
      </c>
      <c r="AN454" s="14">
        <f t="shared" si="185"/>
        <v>0</v>
      </c>
      <c r="AO454" s="14">
        <f t="shared" si="185"/>
        <v>0</v>
      </c>
      <c r="AP454" s="14">
        <f t="shared" si="185"/>
        <v>0</v>
      </c>
      <c r="AQ454" s="14">
        <f t="shared" si="185"/>
        <v>0</v>
      </c>
      <c r="AR454" s="14">
        <f t="shared" si="185"/>
        <v>0</v>
      </c>
      <c r="AS454" s="14">
        <f t="shared" si="185"/>
        <v>0</v>
      </c>
      <c r="AT454" s="14">
        <f t="shared" si="185"/>
        <v>0</v>
      </c>
      <c r="AU454" s="14">
        <f t="shared" si="185"/>
        <v>0</v>
      </c>
      <c r="AV454" s="14">
        <f t="shared" si="185"/>
        <v>0</v>
      </c>
      <c r="AW454" s="14">
        <f t="shared" si="185"/>
        <v>0</v>
      </c>
      <c r="AX454" s="14">
        <f t="shared" si="185"/>
        <v>0</v>
      </c>
      <c r="AY454" s="14">
        <f t="shared" si="185"/>
        <v>0</v>
      </c>
      <c r="AZ454" s="14">
        <f t="shared" si="185"/>
        <v>0</v>
      </c>
      <c r="BA454" s="14">
        <f t="shared" si="185"/>
        <v>0</v>
      </c>
      <c r="BB454" s="14">
        <f t="shared" si="185"/>
        <v>0</v>
      </c>
      <c r="BC454" s="14">
        <f t="shared" si="185"/>
        <v>0</v>
      </c>
      <c r="BD454" s="14">
        <f t="shared" si="185"/>
        <v>0</v>
      </c>
      <c r="BE454" s="14">
        <f t="shared" si="185"/>
        <v>0</v>
      </c>
      <c r="BG454" s="14">
        <f t="shared" si="182"/>
        <v>0</v>
      </c>
      <c r="BH454" s="14">
        <f t="shared" si="182"/>
        <v>0</v>
      </c>
      <c r="BI454" s="14">
        <f t="shared" si="182"/>
        <v>0</v>
      </c>
      <c r="BJ454" s="14">
        <f t="shared" si="182"/>
        <v>0</v>
      </c>
      <c r="BK454" s="14">
        <f t="shared" si="182"/>
        <v>0</v>
      </c>
      <c r="BL454" s="14">
        <f t="shared" si="182"/>
        <v>0</v>
      </c>
      <c r="BM454" s="14">
        <f t="shared" si="182"/>
        <v>0</v>
      </c>
    </row>
    <row r="455" spans="1:65">
      <c r="F455" s="18" t="str">
        <f>F445</f>
        <v>Spare 2</v>
      </c>
      <c r="G455" s="17" t="str">
        <f>cstConstantUnit</f>
        <v>£ 2022/23</v>
      </c>
      <c r="AA455" s="14">
        <f t="shared" ref="AA455:BE455" si="186">$K445*AA$447*AA$20</f>
        <v>0</v>
      </c>
      <c r="AB455" s="14">
        <f t="shared" si="186"/>
        <v>0</v>
      </c>
      <c r="AC455" s="14">
        <f t="shared" si="186"/>
        <v>0</v>
      </c>
      <c r="AD455" s="14">
        <f t="shared" si="186"/>
        <v>0</v>
      </c>
      <c r="AE455" s="14">
        <f t="shared" si="186"/>
        <v>0</v>
      </c>
      <c r="AF455" s="14">
        <f t="shared" si="186"/>
        <v>0</v>
      </c>
      <c r="AG455" s="14">
        <f t="shared" si="186"/>
        <v>0</v>
      </c>
      <c r="AH455" s="14">
        <f t="shared" si="186"/>
        <v>0</v>
      </c>
      <c r="AI455" s="14">
        <f t="shared" si="186"/>
        <v>0</v>
      </c>
      <c r="AJ455" s="14">
        <f t="shared" si="186"/>
        <v>0</v>
      </c>
      <c r="AK455" s="14">
        <f t="shared" si="186"/>
        <v>0</v>
      </c>
      <c r="AL455" s="14">
        <f t="shared" si="186"/>
        <v>0</v>
      </c>
      <c r="AM455" s="14">
        <f t="shared" si="186"/>
        <v>0</v>
      </c>
      <c r="AN455" s="14">
        <f t="shared" si="186"/>
        <v>0</v>
      </c>
      <c r="AO455" s="14">
        <f t="shared" si="186"/>
        <v>0</v>
      </c>
      <c r="AP455" s="14">
        <f t="shared" si="186"/>
        <v>0</v>
      </c>
      <c r="AQ455" s="14">
        <f t="shared" si="186"/>
        <v>0</v>
      </c>
      <c r="AR455" s="14">
        <f t="shared" si="186"/>
        <v>0</v>
      </c>
      <c r="AS455" s="14">
        <f t="shared" si="186"/>
        <v>0</v>
      </c>
      <c r="AT455" s="14">
        <f t="shared" si="186"/>
        <v>0</v>
      </c>
      <c r="AU455" s="14">
        <f t="shared" si="186"/>
        <v>0</v>
      </c>
      <c r="AV455" s="14">
        <f t="shared" si="186"/>
        <v>0</v>
      </c>
      <c r="AW455" s="14">
        <f t="shared" si="186"/>
        <v>0</v>
      </c>
      <c r="AX455" s="14">
        <f t="shared" si="186"/>
        <v>0</v>
      </c>
      <c r="AY455" s="14">
        <f t="shared" si="186"/>
        <v>0</v>
      </c>
      <c r="AZ455" s="14">
        <f t="shared" si="186"/>
        <v>0</v>
      </c>
      <c r="BA455" s="14">
        <f t="shared" si="186"/>
        <v>0</v>
      </c>
      <c r="BB455" s="14">
        <f t="shared" si="186"/>
        <v>0</v>
      </c>
      <c r="BC455" s="14">
        <f t="shared" si="186"/>
        <v>0</v>
      </c>
      <c r="BD455" s="14">
        <f t="shared" si="186"/>
        <v>0</v>
      </c>
      <c r="BE455" s="14">
        <f t="shared" si="186"/>
        <v>0</v>
      </c>
      <c r="BG455" s="14">
        <f t="shared" si="182"/>
        <v>0</v>
      </c>
      <c r="BH455" s="14">
        <f t="shared" si="182"/>
        <v>0</v>
      </c>
      <c r="BI455" s="14">
        <f t="shared" si="182"/>
        <v>0</v>
      </c>
      <c r="BJ455" s="14">
        <f t="shared" si="182"/>
        <v>0</v>
      </c>
      <c r="BK455" s="14">
        <f t="shared" si="182"/>
        <v>0</v>
      </c>
      <c r="BL455" s="14">
        <f t="shared" si="182"/>
        <v>0</v>
      </c>
      <c r="BM455" s="14">
        <f t="shared" si="182"/>
        <v>0</v>
      </c>
    </row>
    <row r="456" spans="1:65">
      <c r="F456" s="18"/>
      <c r="G456" s="17"/>
    </row>
    <row r="457" spans="1:65">
      <c r="F457" s="89" t="s">
        <v>247</v>
      </c>
      <c r="G457" s="90" t="str">
        <f>cstConstantUnit</f>
        <v>£ 2022/23</v>
      </c>
      <c r="AA457" s="87">
        <f>SUM(AA451:AA456)</f>
        <v>0</v>
      </c>
      <c r="AB457" s="87">
        <f t="shared" ref="AB457:BE457" si="187">SUM(AB451:AB456)</f>
        <v>30034.832635983264</v>
      </c>
      <c r="AC457" s="87">
        <f t="shared" si="187"/>
        <v>30034.832635983264</v>
      </c>
      <c r="AD457" s="87">
        <f t="shared" si="187"/>
        <v>30034.832635983264</v>
      </c>
      <c r="AE457" s="87">
        <f t="shared" si="187"/>
        <v>30034.832635983264</v>
      </c>
      <c r="AF457" s="87">
        <f t="shared" si="187"/>
        <v>30034.832635983264</v>
      </c>
      <c r="AG457" s="87">
        <f t="shared" si="187"/>
        <v>30034.832635983264</v>
      </c>
      <c r="AH457" s="87">
        <f t="shared" si="187"/>
        <v>30034.832635983264</v>
      </c>
      <c r="AI457" s="87">
        <f t="shared" si="187"/>
        <v>30034.832635983264</v>
      </c>
      <c r="AJ457" s="87">
        <f t="shared" si="187"/>
        <v>30034.832635983264</v>
      </c>
      <c r="AK457" s="87">
        <f t="shared" si="187"/>
        <v>30034.832635983264</v>
      </c>
      <c r="AL457" s="87">
        <f t="shared" si="187"/>
        <v>30034.832635983264</v>
      </c>
      <c r="AM457" s="87">
        <f t="shared" si="187"/>
        <v>30034.832635983264</v>
      </c>
      <c r="AN457" s="87">
        <f t="shared" si="187"/>
        <v>30034.832635983264</v>
      </c>
      <c r="AO457" s="87">
        <f t="shared" si="187"/>
        <v>30034.832635983264</v>
      </c>
      <c r="AP457" s="87">
        <f t="shared" si="187"/>
        <v>30034.832635983264</v>
      </c>
      <c r="AQ457" s="87">
        <f t="shared" si="187"/>
        <v>30034.832635983264</v>
      </c>
      <c r="AR457" s="87">
        <f t="shared" si="187"/>
        <v>30034.832635983264</v>
      </c>
      <c r="AS457" s="87">
        <f t="shared" si="187"/>
        <v>30034.832635983264</v>
      </c>
      <c r="AT457" s="87">
        <f t="shared" si="187"/>
        <v>30034.832635983264</v>
      </c>
      <c r="AU457" s="87">
        <f t="shared" si="187"/>
        <v>30034.832635983264</v>
      </c>
      <c r="AV457" s="87">
        <f t="shared" si="187"/>
        <v>30034.832635983264</v>
      </c>
      <c r="AW457" s="87">
        <f t="shared" si="187"/>
        <v>30034.832635983264</v>
      </c>
      <c r="AX457" s="87">
        <f t="shared" si="187"/>
        <v>30034.832635983264</v>
      </c>
      <c r="AY457" s="87">
        <f t="shared" si="187"/>
        <v>30034.832635983264</v>
      </c>
      <c r="AZ457" s="87">
        <f t="shared" si="187"/>
        <v>30034.832635983264</v>
      </c>
      <c r="BA457" s="87">
        <f t="shared" si="187"/>
        <v>30034.832635983264</v>
      </c>
      <c r="BB457" s="87">
        <f t="shared" si="187"/>
        <v>30034.832635983264</v>
      </c>
      <c r="BC457" s="87">
        <f t="shared" si="187"/>
        <v>30034.832635983264</v>
      </c>
      <c r="BD457" s="87">
        <f t="shared" si="187"/>
        <v>30034.832635983264</v>
      </c>
      <c r="BE457" s="87">
        <f t="shared" si="187"/>
        <v>30034.832635983264</v>
      </c>
      <c r="BG457" s="87">
        <f t="shared" ref="BG457:BM457" si="188">SUMIFS($AA457:$BE457,$AA$2:$BE$2,"&gt;="&amp;BG$2,$AA$3:$BE$3,"&lt;="&amp;BG$3)</f>
        <v>0</v>
      </c>
      <c r="BH457" s="87">
        <f t="shared" si="188"/>
        <v>150174.16317991633</v>
      </c>
      <c r="BI457" s="87">
        <f t="shared" si="188"/>
        <v>150174.16317991633</v>
      </c>
      <c r="BJ457" s="87">
        <f t="shared" si="188"/>
        <v>150174.16317991633</v>
      </c>
      <c r="BK457" s="87">
        <f t="shared" si="188"/>
        <v>150174.16317991633</v>
      </c>
      <c r="BL457" s="87">
        <f t="shared" si="188"/>
        <v>150174.16317991633</v>
      </c>
      <c r="BM457" s="87">
        <f t="shared" si="188"/>
        <v>150174.16317991633</v>
      </c>
    </row>
    <row r="458" spans="1:65">
      <c r="F458" s="91"/>
      <c r="G458" s="92"/>
      <c r="AA458" s="93"/>
      <c r="AB458" s="93"/>
      <c r="AC458" s="93"/>
      <c r="AD458" s="93"/>
      <c r="AE458" s="93"/>
      <c r="AF458" s="93"/>
      <c r="AG458" s="93"/>
      <c r="AH458" s="93"/>
      <c r="AI458" s="93"/>
      <c r="AJ458" s="93"/>
      <c r="AK458" s="93"/>
      <c r="AL458" s="93"/>
      <c r="AM458" s="93"/>
      <c r="AN458" s="93"/>
      <c r="AO458" s="93"/>
      <c r="AP458" s="93"/>
      <c r="AQ458" s="93"/>
      <c r="AR458" s="93"/>
      <c r="AS458" s="93"/>
      <c r="AT458" s="93"/>
      <c r="AU458" s="93"/>
      <c r="AV458" s="93"/>
      <c r="AW458" s="93"/>
      <c r="AX458" s="93"/>
      <c r="AY458" s="93"/>
      <c r="AZ458" s="93"/>
      <c r="BA458" s="93"/>
      <c r="BB458" s="93"/>
      <c r="BC458" s="93"/>
      <c r="BD458" s="93"/>
      <c r="BE458" s="93"/>
      <c r="BG458" s="93"/>
      <c r="BH458" s="93"/>
      <c r="BI458" s="93"/>
      <c r="BJ458" s="93"/>
      <c r="BK458" s="93"/>
      <c r="BL458" s="93"/>
      <c r="BM458" s="93"/>
    </row>
    <row r="459" spans="1:65">
      <c r="A459" s="19">
        <f>SUM(C459:BM459)</f>
        <v>0</v>
      </c>
      <c r="F459" s="40" t="s">
        <v>329</v>
      </c>
      <c r="G459" s="17"/>
      <c r="BG459" s="19">
        <f t="shared" ref="BG459:BM459" si="189">IF(ABS(SUM(BG451:BG456)-BG457)&lt;eTol,0,1)</f>
        <v>0</v>
      </c>
      <c r="BH459" s="19">
        <f t="shared" si="189"/>
        <v>0</v>
      </c>
      <c r="BI459" s="19">
        <f t="shared" si="189"/>
        <v>0</v>
      </c>
      <c r="BJ459" s="19">
        <f t="shared" si="189"/>
        <v>0</v>
      </c>
      <c r="BK459" s="19">
        <f t="shared" si="189"/>
        <v>0</v>
      </c>
      <c r="BL459" s="19">
        <f t="shared" si="189"/>
        <v>0</v>
      </c>
      <c r="BM459" s="19">
        <f t="shared" si="189"/>
        <v>0</v>
      </c>
    </row>
    <row r="460" spans="1:65">
      <c r="F460" s="18"/>
      <c r="G460" s="17"/>
    </row>
    <row r="461" spans="1:65" ht="13">
      <c r="F461" s="26" t="s">
        <v>218</v>
      </c>
    </row>
    <row r="462" spans="1:65">
      <c r="F462" s="18"/>
      <c r="G462" s="17"/>
    </row>
    <row r="463" spans="1:65">
      <c r="F463" s="18" t="str">
        <f>F451</f>
        <v>Maintenance &amp; Repair</v>
      </c>
      <c r="G463" s="17" t="str">
        <f>cstNominalUnit</f>
        <v>£ Nominal</v>
      </c>
      <c r="I463" s="22" t="str">
        <f>iOptions!Q175</f>
        <v>Other Inflation</v>
      </c>
      <c r="AA463" s="14">
        <f t="shared" ref="AA463:BE463" si="190">AA451*_xlfn.IFNA(INDEX(AA$34:AA$38,MATCH($I463,$F$34:$F$38,0)),0)</f>
        <v>0</v>
      </c>
      <c r="AB463" s="14">
        <f t="shared" si="190"/>
        <v>8838.8221757322171</v>
      </c>
      <c r="AC463" s="14">
        <f t="shared" si="190"/>
        <v>9103.9868410041836</v>
      </c>
      <c r="AD463" s="14">
        <f t="shared" si="190"/>
        <v>9377.1064462343093</v>
      </c>
      <c r="AE463" s="14">
        <f t="shared" si="190"/>
        <v>9658.4196396213392</v>
      </c>
      <c r="AF463" s="14">
        <f t="shared" si="190"/>
        <v>9948.1722288099791</v>
      </c>
      <c r="AG463" s="14">
        <f t="shared" si="190"/>
        <v>10246.61739567428</v>
      </c>
      <c r="AH463" s="14">
        <f t="shared" si="190"/>
        <v>10554.015917544508</v>
      </c>
      <c r="AI463" s="14">
        <f t="shared" si="190"/>
        <v>10870.636395070844</v>
      </c>
      <c r="AJ463" s="14">
        <f t="shared" si="190"/>
        <v>11196.75548692297</v>
      </c>
      <c r="AK463" s="14">
        <f t="shared" si="190"/>
        <v>11532.658151530659</v>
      </c>
      <c r="AL463" s="14">
        <f t="shared" si="190"/>
        <v>11878.63789607658</v>
      </c>
      <c r="AM463" s="14">
        <f t="shared" si="190"/>
        <v>12234.997032958876</v>
      </c>
      <c r="AN463" s="14">
        <f t="shared" si="190"/>
        <v>12602.046943947644</v>
      </c>
      <c r="AO463" s="14">
        <f t="shared" si="190"/>
        <v>12980.108352266074</v>
      </c>
      <c r="AP463" s="14">
        <f t="shared" si="190"/>
        <v>13369.511602834056</v>
      </c>
      <c r="AQ463" s="14">
        <f t="shared" si="190"/>
        <v>13770.59695091908</v>
      </c>
      <c r="AR463" s="14">
        <f t="shared" si="190"/>
        <v>14183.714859446653</v>
      </c>
      <c r="AS463" s="14">
        <f t="shared" si="190"/>
        <v>14609.226305230051</v>
      </c>
      <c r="AT463" s="14">
        <f t="shared" si="190"/>
        <v>15047.503094386953</v>
      </c>
      <c r="AU463" s="14">
        <f t="shared" si="190"/>
        <v>15498.928187218564</v>
      </c>
      <c r="AV463" s="14">
        <f t="shared" si="190"/>
        <v>15963.896032835122</v>
      </c>
      <c r="AW463" s="14">
        <f t="shared" si="190"/>
        <v>16442.812913820177</v>
      </c>
      <c r="AX463" s="14">
        <f t="shared" si="190"/>
        <v>16936.097301234782</v>
      </c>
      <c r="AY463" s="14">
        <f t="shared" si="190"/>
        <v>17444.180220271828</v>
      </c>
      <c r="AZ463" s="14">
        <f t="shared" si="190"/>
        <v>17967.505626879982</v>
      </c>
      <c r="BA463" s="14">
        <f t="shared" si="190"/>
        <v>18506.530795686383</v>
      </c>
      <c r="BB463" s="14">
        <f t="shared" si="190"/>
        <v>19061.726719556973</v>
      </c>
      <c r="BC463" s="14">
        <f t="shared" si="190"/>
        <v>19633.578521143681</v>
      </c>
      <c r="BD463" s="14">
        <f t="shared" si="190"/>
        <v>20222.585876777994</v>
      </c>
      <c r="BE463" s="14">
        <f t="shared" si="190"/>
        <v>20829.263453081334</v>
      </c>
      <c r="BG463" s="14">
        <f t="shared" ref="BG463:BM467" si="191">SUMIFS($AA463:$BE463,$AA$2:$BE$2,"&gt;="&amp;BG$2,$AA$3:$BE$3,"&lt;="&amp;BG$3)</f>
        <v>0</v>
      </c>
      <c r="BH463" s="14">
        <f t="shared" si="191"/>
        <v>46926.507331402026</v>
      </c>
      <c r="BI463" s="14">
        <f t="shared" si="191"/>
        <v>54400.683346743259</v>
      </c>
      <c r="BJ463" s="14">
        <f t="shared" si="191"/>
        <v>63065.301828083233</v>
      </c>
      <c r="BK463" s="14">
        <f t="shared" si="191"/>
        <v>73109.969397201305</v>
      </c>
      <c r="BL463" s="14">
        <f t="shared" si="191"/>
        <v>84754.492095041889</v>
      </c>
      <c r="BM463" s="14">
        <f t="shared" si="191"/>
        <v>98253.685366246369</v>
      </c>
    </row>
    <row r="464" spans="1:65">
      <c r="F464" s="18" t="str">
        <f>F452</f>
        <v>Utilities</v>
      </c>
      <c r="G464" s="17" t="str">
        <f>cstNominalUnit</f>
        <v>£ Nominal</v>
      </c>
      <c r="I464" s="22" t="str">
        <f>iOptions!Q176</f>
        <v>Other Inflation</v>
      </c>
      <c r="AA464" s="14">
        <f t="shared" ref="AA464:BE464" si="192">AA452*_xlfn.IFNA(INDEX(AA$34:AA$38,MATCH($I464,$F$34:$F$38,0)),0)</f>
        <v>0</v>
      </c>
      <c r="AB464" s="14">
        <f t="shared" si="192"/>
        <v>13258.233263598328</v>
      </c>
      <c r="AC464" s="14">
        <f t="shared" si="192"/>
        <v>13655.980261506276</v>
      </c>
      <c r="AD464" s="14">
        <f t="shared" si="192"/>
        <v>14065.659669351466</v>
      </c>
      <c r="AE464" s="14">
        <f t="shared" si="192"/>
        <v>14487.629459432012</v>
      </c>
      <c r="AF464" s="14">
        <f t="shared" si="192"/>
        <v>14922.258343214971</v>
      </c>
      <c r="AG464" s="14">
        <f t="shared" si="192"/>
        <v>15369.92609351142</v>
      </c>
      <c r="AH464" s="14">
        <f t="shared" si="192"/>
        <v>15831.023876316764</v>
      </c>
      <c r="AI464" s="14">
        <f t="shared" si="192"/>
        <v>16305.954592606267</v>
      </c>
      <c r="AJ464" s="14">
        <f t="shared" si="192"/>
        <v>16795.133230384457</v>
      </c>
      <c r="AK464" s="14">
        <f t="shared" si="192"/>
        <v>17298.987227295991</v>
      </c>
      <c r="AL464" s="14">
        <f t="shared" si="192"/>
        <v>17817.956844114869</v>
      </c>
      <c r="AM464" s="14">
        <f t="shared" si="192"/>
        <v>18352.495549438314</v>
      </c>
      <c r="AN464" s="14">
        <f t="shared" si="192"/>
        <v>18903.070415921466</v>
      </c>
      <c r="AO464" s="14">
        <f t="shared" si="192"/>
        <v>19470.162528399112</v>
      </c>
      <c r="AP464" s="14">
        <f t="shared" si="192"/>
        <v>20054.267404251088</v>
      </c>
      <c r="AQ464" s="14">
        <f t="shared" si="192"/>
        <v>20655.895426378622</v>
      </c>
      <c r="AR464" s="14">
        <f t="shared" si="192"/>
        <v>21275.572289169981</v>
      </c>
      <c r="AS464" s="14">
        <f t="shared" si="192"/>
        <v>21913.839457845079</v>
      </c>
      <c r="AT464" s="14">
        <f t="shared" si="192"/>
        <v>22571.254641580432</v>
      </c>
      <c r="AU464" s="14">
        <f t="shared" si="192"/>
        <v>23248.392280827848</v>
      </c>
      <c r="AV464" s="14">
        <f t="shared" si="192"/>
        <v>23945.844049252686</v>
      </c>
      <c r="AW464" s="14">
        <f t="shared" si="192"/>
        <v>24664.219370730269</v>
      </c>
      <c r="AX464" s="14">
        <f t="shared" si="192"/>
        <v>25404.145951852177</v>
      </c>
      <c r="AY464" s="14">
        <f t="shared" si="192"/>
        <v>26166.27033040774</v>
      </c>
      <c r="AZ464" s="14">
        <f t="shared" si="192"/>
        <v>26951.258440319973</v>
      </c>
      <c r="BA464" s="14">
        <f t="shared" si="192"/>
        <v>27759.796193529575</v>
      </c>
      <c r="BB464" s="14">
        <f t="shared" si="192"/>
        <v>28592.590079335463</v>
      </c>
      <c r="BC464" s="14">
        <f t="shared" si="192"/>
        <v>29450.367781715526</v>
      </c>
      <c r="BD464" s="14">
        <f t="shared" si="192"/>
        <v>30333.878815166994</v>
      </c>
      <c r="BE464" s="14">
        <f t="shared" si="192"/>
        <v>31243.895179622003</v>
      </c>
      <c r="BG464" s="14">
        <f t="shared" si="191"/>
        <v>0</v>
      </c>
      <c r="BH464" s="14">
        <f t="shared" si="191"/>
        <v>70389.760997103062</v>
      </c>
      <c r="BI464" s="14">
        <f t="shared" si="191"/>
        <v>81601.025020114903</v>
      </c>
      <c r="BJ464" s="14">
        <f t="shared" si="191"/>
        <v>94597.952742124849</v>
      </c>
      <c r="BK464" s="14">
        <f t="shared" si="191"/>
        <v>109664.95409580196</v>
      </c>
      <c r="BL464" s="14">
        <f t="shared" si="191"/>
        <v>127131.73814256284</v>
      </c>
      <c r="BM464" s="14">
        <f t="shared" si="191"/>
        <v>147380.52804936955</v>
      </c>
    </row>
    <row r="465" spans="1:65">
      <c r="F465" s="18" t="str">
        <f>F453</f>
        <v>Cleaning</v>
      </c>
      <c r="G465" s="17" t="str">
        <f>cstNominalUnit</f>
        <v>£ Nominal</v>
      </c>
      <c r="I465" s="22" t="str">
        <f>iOptions!Q177</f>
        <v>Other Inflation</v>
      </c>
      <c r="AA465" s="14">
        <f t="shared" ref="AA465:BE465" si="193">AA453*_xlfn.IFNA(INDEX(AA$34:AA$38,MATCH($I465,$F$34:$F$38,0)),0)</f>
        <v>0</v>
      </c>
      <c r="AB465" s="14">
        <f t="shared" si="193"/>
        <v>8838.8221757322171</v>
      </c>
      <c r="AC465" s="14">
        <f t="shared" si="193"/>
        <v>9103.9868410041836</v>
      </c>
      <c r="AD465" s="14">
        <f t="shared" si="193"/>
        <v>9377.1064462343093</v>
      </c>
      <c r="AE465" s="14">
        <f t="shared" si="193"/>
        <v>9658.4196396213392</v>
      </c>
      <c r="AF465" s="14">
        <f t="shared" si="193"/>
        <v>9948.1722288099791</v>
      </c>
      <c r="AG465" s="14">
        <f t="shared" si="193"/>
        <v>10246.61739567428</v>
      </c>
      <c r="AH465" s="14">
        <f t="shared" si="193"/>
        <v>10554.015917544508</v>
      </c>
      <c r="AI465" s="14">
        <f t="shared" si="193"/>
        <v>10870.636395070844</v>
      </c>
      <c r="AJ465" s="14">
        <f t="shared" si="193"/>
        <v>11196.75548692297</v>
      </c>
      <c r="AK465" s="14">
        <f t="shared" si="193"/>
        <v>11532.658151530659</v>
      </c>
      <c r="AL465" s="14">
        <f t="shared" si="193"/>
        <v>11878.63789607658</v>
      </c>
      <c r="AM465" s="14">
        <f t="shared" si="193"/>
        <v>12234.997032958876</v>
      </c>
      <c r="AN465" s="14">
        <f t="shared" si="193"/>
        <v>12602.046943947644</v>
      </c>
      <c r="AO465" s="14">
        <f t="shared" si="193"/>
        <v>12980.108352266074</v>
      </c>
      <c r="AP465" s="14">
        <f t="shared" si="193"/>
        <v>13369.511602834056</v>
      </c>
      <c r="AQ465" s="14">
        <f t="shared" si="193"/>
        <v>13770.59695091908</v>
      </c>
      <c r="AR465" s="14">
        <f t="shared" si="193"/>
        <v>14183.714859446653</v>
      </c>
      <c r="AS465" s="14">
        <f t="shared" si="193"/>
        <v>14609.226305230051</v>
      </c>
      <c r="AT465" s="14">
        <f t="shared" si="193"/>
        <v>15047.503094386953</v>
      </c>
      <c r="AU465" s="14">
        <f t="shared" si="193"/>
        <v>15498.928187218564</v>
      </c>
      <c r="AV465" s="14">
        <f t="shared" si="193"/>
        <v>15963.896032835122</v>
      </c>
      <c r="AW465" s="14">
        <f t="shared" si="193"/>
        <v>16442.812913820177</v>
      </c>
      <c r="AX465" s="14">
        <f t="shared" si="193"/>
        <v>16936.097301234782</v>
      </c>
      <c r="AY465" s="14">
        <f t="shared" si="193"/>
        <v>17444.180220271828</v>
      </c>
      <c r="AZ465" s="14">
        <f t="shared" si="193"/>
        <v>17967.505626879982</v>
      </c>
      <c r="BA465" s="14">
        <f t="shared" si="193"/>
        <v>18506.530795686383</v>
      </c>
      <c r="BB465" s="14">
        <f t="shared" si="193"/>
        <v>19061.726719556973</v>
      </c>
      <c r="BC465" s="14">
        <f t="shared" si="193"/>
        <v>19633.578521143681</v>
      </c>
      <c r="BD465" s="14">
        <f t="shared" si="193"/>
        <v>20222.585876777994</v>
      </c>
      <c r="BE465" s="14">
        <f t="shared" si="193"/>
        <v>20829.263453081334</v>
      </c>
      <c r="BG465" s="14">
        <f t="shared" si="191"/>
        <v>0</v>
      </c>
      <c r="BH465" s="14">
        <f t="shared" si="191"/>
        <v>46926.507331402026</v>
      </c>
      <c r="BI465" s="14">
        <f t="shared" si="191"/>
        <v>54400.683346743259</v>
      </c>
      <c r="BJ465" s="14">
        <f t="shared" si="191"/>
        <v>63065.301828083233</v>
      </c>
      <c r="BK465" s="14">
        <f t="shared" si="191"/>
        <v>73109.969397201305</v>
      </c>
      <c r="BL465" s="14">
        <f t="shared" si="191"/>
        <v>84754.492095041889</v>
      </c>
      <c r="BM465" s="14">
        <f t="shared" si="191"/>
        <v>98253.685366246369</v>
      </c>
    </row>
    <row r="466" spans="1:65">
      <c r="F466" s="18" t="str">
        <f>F454</f>
        <v>Spare 1</v>
      </c>
      <c r="G466" s="17" t="str">
        <f>cstNominalUnit</f>
        <v>£ Nominal</v>
      </c>
      <c r="I466" s="22" t="str">
        <f>iOptions!Q178</f>
        <v>Other Inflation</v>
      </c>
      <c r="AA466" s="14">
        <f t="shared" ref="AA466:BE466" si="194">AA454*_xlfn.IFNA(INDEX(AA$34:AA$38,MATCH($I466,$F$34:$F$38,0)),0)</f>
        <v>0</v>
      </c>
      <c r="AB466" s="14">
        <f t="shared" si="194"/>
        <v>0</v>
      </c>
      <c r="AC466" s="14">
        <f t="shared" si="194"/>
        <v>0</v>
      </c>
      <c r="AD466" s="14">
        <f t="shared" si="194"/>
        <v>0</v>
      </c>
      <c r="AE466" s="14">
        <f t="shared" si="194"/>
        <v>0</v>
      </c>
      <c r="AF466" s="14">
        <f t="shared" si="194"/>
        <v>0</v>
      </c>
      <c r="AG466" s="14">
        <f t="shared" si="194"/>
        <v>0</v>
      </c>
      <c r="AH466" s="14">
        <f t="shared" si="194"/>
        <v>0</v>
      </c>
      <c r="AI466" s="14">
        <f t="shared" si="194"/>
        <v>0</v>
      </c>
      <c r="AJ466" s="14">
        <f t="shared" si="194"/>
        <v>0</v>
      </c>
      <c r="AK466" s="14">
        <f t="shared" si="194"/>
        <v>0</v>
      </c>
      <c r="AL466" s="14">
        <f t="shared" si="194"/>
        <v>0</v>
      </c>
      <c r="AM466" s="14">
        <f t="shared" si="194"/>
        <v>0</v>
      </c>
      <c r="AN466" s="14">
        <f t="shared" si="194"/>
        <v>0</v>
      </c>
      <c r="AO466" s="14">
        <f t="shared" si="194"/>
        <v>0</v>
      </c>
      <c r="AP466" s="14">
        <f t="shared" si="194"/>
        <v>0</v>
      </c>
      <c r="AQ466" s="14">
        <f t="shared" si="194"/>
        <v>0</v>
      </c>
      <c r="AR466" s="14">
        <f t="shared" si="194"/>
        <v>0</v>
      </c>
      <c r="AS466" s="14">
        <f t="shared" si="194"/>
        <v>0</v>
      </c>
      <c r="AT466" s="14">
        <f t="shared" si="194"/>
        <v>0</v>
      </c>
      <c r="AU466" s="14">
        <f t="shared" si="194"/>
        <v>0</v>
      </c>
      <c r="AV466" s="14">
        <f t="shared" si="194"/>
        <v>0</v>
      </c>
      <c r="AW466" s="14">
        <f t="shared" si="194"/>
        <v>0</v>
      </c>
      <c r="AX466" s="14">
        <f t="shared" si="194"/>
        <v>0</v>
      </c>
      <c r="AY466" s="14">
        <f t="shared" si="194"/>
        <v>0</v>
      </c>
      <c r="AZ466" s="14">
        <f t="shared" si="194"/>
        <v>0</v>
      </c>
      <c r="BA466" s="14">
        <f t="shared" si="194"/>
        <v>0</v>
      </c>
      <c r="BB466" s="14">
        <f t="shared" si="194"/>
        <v>0</v>
      </c>
      <c r="BC466" s="14">
        <f t="shared" si="194"/>
        <v>0</v>
      </c>
      <c r="BD466" s="14">
        <f t="shared" si="194"/>
        <v>0</v>
      </c>
      <c r="BE466" s="14">
        <f t="shared" si="194"/>
        <v>0</v>
      </c>
      <c r="BG466" s="14">
        <f t="shared" si="191"/>
        <v>0</v>
      </c>
      <c r="BH466" s="14">
        <f t="shared" si="191"/>
        <v>0</v>
      </c>
      <c r="BI466" s="14">
        <f t="shared" si="191"/>
        <v>0</v>
      </c>
      <c r="BJ466" s="14">
        <f t="shared" si="191"/>
        <v>0</v>
      </c>
      <c r="BK466" s="14">
        <f t="shared" si="191"/>
        <v>0</v>
      </c>
      <c r="BL466" s="14">
        <f t="shared" si="191"/>
        <v>0</v>
      </c>
      <c r="BM466" s="14">
        <f t="shared" si="191"/>
        <v>0</v>
      </c>
    </row>
    <row r="467" spans="1:65">
      <c r="F467" s="18" t="str">
        <f>F455</f>
        <v>Spare 2</v>
      </c>
      <c r="G467" s="17" t="str">
        <f>cstNominalUnit</f>
        <v>£ Nominal</v>
      </c>
      <c r="I467" s="22" t="str">
        <f>iOptions!Q179</f>
        <v>Other Inflation</v>
      </c>
      <c r="AA467" s="14">
        <f t="shared" ref="AA467:BE467" si="195">AA455*_xlfn.IFNA(INDEX(AA$34:AA$38,MATCH($I467,$F$34:$F$38,0)),0)</f>
        <v>0</v>
      </c>
      <c r="AB467" s="14">
        <f t="shared" si="195"/>
        <v>0</v>
      </c>
      <c r="AC467" s="14">
        <f t="shared" si="195"/>
        <v>0</v>
      </c>
      <c r="AD467" s="14">
        <f t="shared" si="195"/>
        <v>0</v>
      </c>
      <c r="AE467" s="14">
        <f t="shared" si="195"/>
        <v>0</v>
      </c>
      <c r="AF467" s="14">
        <f t="shared" si="195"/>
        <v>0</v>
      </c>
      <c r="AG467" s="14">
        <f t="shared" si="195"/>
        <v>0</v>
      </c>
      <c r="AH467" s="14">
        <f t="shared" si="195"/>
        <v>0</v>
      </c>
      <c r="AI467" s="14">
        <f t="shared" si="195"/>
        <v>0</v>
      </c>
      <c r="AJ467" s="14">
        <f t="shared" si="195"/>
        <v>0</v>
      </c>
      <c r="AK467" s="14">
        <f t="shared" si="195"/>
        <v>0</v>
      </c>
      <c r="AL467" s="14">
        <f t="shared" si="195"/>
        <v>0</v>
      </c>
      <c r="AM467" s="14">
        <f t="shared" si="195"/>
        <v>0</v>
      </c>
      <c r="AN467" s="14">
        <f t="shared" si="195"/>
        <v>0</v>
      </c>
      <c r="AO467" s="14">
        <f t="shared" si="195"/>
        <v>0</v>
      </c>
      <c r="AP467" s="14">
        <f t="shared" si="195"/>
        <v>0</v>
      </c>
      <c r="AQ467" s="14">
        <f t="shared" si="195"/>
        <v>0</v>
      </c>
      <c r="AR467" s="14">
        <f t="shared" si="195"/>
        <v>0</v>
      </c>
      <c r="AS467" s="14">
        <f t="shared" si="195"/>
        <v>0</v>
      </c>
      <c r="AT467" s="14">
        <f t="shared" si="195"/>
        <v>0</v>
      </c>
      <c r="AU467" s="14">
        <f t="shared" si="195"/>
        <v>0</v>
      </c>
      <c r="AV467" s="14">
        <f t="shared" si="195"/>
        <v>0</v>
      </c>
      <c r="AW467" s="14">
        <f t="shared" si="195"/>
        <v>0</v>
      </c>
      <c r="AX467" s="14">
        <f t="shared" si="195"/>
        <v>0</v>
      </c>
      <c r="AY467" s="14">
        <f t="shared" si="195"/>
        <v>0</v>
      </c>
      <c r="AZ467" s="14">
        <f t="shared" si="195"/>
        <v>0</v>
      </c>
      <c r="BA467" s="14">
        <f t="shared" si="195"/>
        <v>0</v>
      </c>
      <c r="BB467" s="14">
        <f t="shared" si="195"/>
        <v>0</v>
      </c>
      <c r="BC467" s="14">
        <f t="shared" si="195"/>
        <v>0</v>
      </c>
      <c r="BD467" s="14">
        <f t="shared" si="195"/>
        <v>0</v>
      </c>
      <c r="BE467" s="14">
        <f t="shared" si="195"/>
        <v>0</v>
      </c>
      <c r="BG467" s="14">
        <f t="shared" si="191"/>
        <v>0</v>
      </c>
      <c r="BH467" s="14">
        <f t="shared" si="191"/>
        <v>0</v>
      </c>
      <c r="BI467" s="14">
        <f t="shared" si="191"/>
        <v>0</v>
      </c>
      <c r="BJ467" s="14">
        <f t="shared" si="191"/>
        <v>0</v>
      </c>
      <c r="BK467" s="14">
        <f t="shared" si="191"/>
        <v>0</v>
      </c>
      <c r="BL467" s="14">
        <f t="shared" si="191"/>
        <v>0</v>
      </c>
      <c r="BM467" s="14">
        <f t="shared" si="191"/>
        <v>0</v>
      </c>
    </row>
    <row r="468" spans="1:65">
      <c r="F468" s="18"/>
      <c r="G468" s="17"/>
    </row>
    <row r="469" spans="1:65">
      <c r="F469" s="89" t="s">
        <v>247</v>
      </c>
      <c r="G469" s="90" t="str">
        <f>cstNominalUnit</f>
        <v>£ Nominal</v>
      </c>
      <c r="AA469" s="87">
        <f>SUM(AA463:AA468)</f>
        <v>0</v>
      </c>
      <c r="AB469" s="87">
        <f t="shared" ref="AB469:BE469" si="196">SUM(AB463:AB468)</f>
        <v>30935.87761506276</v>
      </c>
      <c r="AC469" s="87">
        <f t="shared" si="196"/>
        <v>31863.953943514643</v>
      </c>
      <c r="AD469" s="87">
        <f t="shared" si="196"/>
        <v>32819.872561820084</v>
      </c>
      <c r="AE469" s="87">
        <f t="shared" si="196"/>
        <v>33804.468738674688</v>
      </c>
      <c r="AF469" s="87">
        <f t="shared" si="196"/>
        <v>34818.602800834931</v>
      </c>
      <c r="AG469" s="87">
        <f t="shared" si="196"/>
        <v>35863.160884859979</v>
      </c>
      <c r="AH469" s="87">
        <f t="shared" si="196"/>
        <v>36939.055711405781</v>
      </c>
      <c r="AI469" s="87">
        <f t="shared" si="196"/>
        <v>38047.227382747951</v>
      </c>
      <c r="AJ469" s="87">
        <f t="shared" si="196"/>
        <v>39188.644204230397</v>
      </c>
      <c r="AK469" s="87">
        <f t="shared" si="196"/>
        <v>40364.303530357312</v>
      </c>
      <c r="AL469" s="87">
        <f t="shared" si="196"/>
        <v>41575.232636268032</v>
      </c>
      <c r="AM469" s="87">
        <f t="shared" si="196"/>
        <v>42822.489615356069</v>
      </c>
      <c r="AN469" s="87">
        <f t="shared" si="196"/>
        <v>44107.164303816753</v>
      </c>
      <c r="AO469" s="87">
        <f t="shared" si="196"/>
        <v>45430.379232931256</v>
      </c>
      <c r="AP469" s="87">
        <f t="shared" si="196"/>
        <v>46793.290609919204</v>
      </c>
      <c r="AQ469" s="87">
        <f t="shared" si="196"/>
        <v>48197.089328216782</v>
      </c>
      <c r="AR469" s="87">
        <f t="shared" si="196"/>
        <v>49643.002008063282</v>
      </c>
      <c r="AS469" s="87">
        <f t="shared" si="196"/>
        <v>51132.292068305178</v>
      </c>
      <c r="AT469" s="87">
        <f t="shared" si="196"/>
        <v>52666.260830354338</v>
      </c>
      <c r="AU469" s="87">
        <f t="shared" si="196"/>
        <v>54246.248655264979</v>
      </c>
      <c r="AV469" s="87">
        <f t="shared" si="196"/>
        <v>55873.636114922934</v>
      </c>
      <c r="AW469" s="87">
        <f t="shared" si="196"/>
        <v>57549.845198370618</v>
      </c>
      <c r="AX469" s="87">
        <f t="shared" si="196"/>
        <v>59276.340554321738</v>
      </c>
      <c r="AY469" s="87">
        <f t="shared" si="196"/>
        <v>61054.630770951393</v>
      </c>
      <c r="AZ469" s="87">
        <f t="shared" si="196"/>
        <v>62886.269694079936</v>
      </c>
      <c r="BA469" s="87">
        <f t="shared" si="196"/>
        <v>64772.857784902342</v>
      </c>
      <c r="BB469" s="87">
        <f t="shared" si="196"/>
        <v>66716.043518449413</v>
      </c>
      <c r="BC469" s="87">
        <f t="shared" si="196"/>
        <v>68717.524824002889</v>
      </c>
      <c r="BD469" s="87">
        <f t="shared" si="196"/>
        <v>70779.050568722974</v>
      </c>
      <c r="BE469" s="87">
        <f t="shared" si="196"/>
        <v>72902.422085784667</v>
      </c>
      <c r="BG469" s="87">
        <f t="shared" ref="BG469:BM469" si="197">SUMIFS($AA469:$BE469,$AA$2:$BE$2,"&gt;="&amp;BG$2,$AA$3:$BE$3,"&lt;="&amp;BG$3)</f>
        <v>0</v>
      </c>
      <c r="BH469" s="87">
        <f t="shared" si="197"/>
        <v>164242.77565990709</v>
      </c>
      <c r="BI469" s="87">
        <f t="shared" si="197"/>
        <v>190402.39171360142</v>
      </c>
      <c r="BJ469" s="87">
        <f t="shared" si="197"/>
        <v>220728.55639829132</v>
      </c>
      <c r="BK469" s="87">
        <f t="shared" si="197"/>
        <v>255884.89289020456</v>
      </c>
      <c r="BL469" s="87">
        <f t="shared" si="197"/>
        <v>296640.7223326466</v>
      </c>
      <c r="BM469" s="87">
        <f t="shared" si="197"/>
        <v>343887.89878186228</v>
      </c>
    </row>
    <row r="470" spans="1:65">
      <c r="F470" s="91"/>
      <c r="G470" s="92"/>
      <c r="AA470" s="93"/>
      <c r="AB470" s="93"/>
      <c r="AC470" s="93"/>
      <c r="AD470" s="93"/>
      <c r="AE470" s="93"/>
      <c r="AF470" s="93"/>
      <c r="AG470" s="93"/>
      <c r="AH470" s="93"/>
      <c r="AI470" s="93"/>
      <c r="AJ470" s="93"/>
      <c r="AK470" s="93"/>
      <c r="AL470" s="93"/>
      <c r="AM470" s="93"/>
      <c r="AN470" s="93"/>
      <c r="AO470" s="93"/>
      <c r="AP470" s="93"/>
      <c r="AQ470" s="93"/>
      <c r="AR470" s="93"/>
      <c r="AS470" s="93"/>
      <c r="AT470" s="93"/>
      <c r="AU470" s="93"/>
      <c r="AV470" s="93"/>
      <c r="AW470" s="93"/>
      <c r="AX470" s="93"/>
      <c r="AY470" s="93"/>
      <c r="AZ470" s="93"/>
      <c r="BA470" s="93"/>
      <c r="BB470" s="93"/>
      <c r="BC470" s="93"/>
      <c r="BD470" s="93"/>
      <c r="BE470" s="93"/>
      <c r="BG470" s="93"/>
      <c r="BH470" s="93"/>
      <c r="BI470" s="93"/>
      <c r="BJ470" s="93"/>
      <c r="BK470" s="93"/>
      <c r="BL470" s="93"/>
      <c r="BM470" s="93"/>
    </row>
    <row r="471" spans="1:65">
      <c r="A471" s="19">
        <f>SUM(C471:BM471)</f>
        <v>0</v>
      </c>
      <c r="F471" s="40" t="s">
        <v>329</v>
      </c>
      <c r="G471" s="17"/>
      <c r="BG471" s="19">
        <f t="shared" ref="BG471:BM471" si="198">IF(ABS(SUM(BG463:BG468)-BG469)&lt;eTol,0,1)</f>
        <v>0</v>
      </c>
      <c r="BH471" s="19">
        <f t="shared" si="198"/>
        <v>0</v>
      </c>
      <c r="BI471" s="19">
        <f t="shared" si="198"/>
        <v>0</v>
      </c>
      <c r="BJ471" s="19">
        <f t="shared" si="198"/>
        <v>0</v>
      </c>
      <c r="BK471" s="19">
        <f t="shared" si="198"/>
        <v>0</v>
      </c>
      <c r="BL471" s="19">
        <f t="shared" si="198"/>
        <v>0</v>
      </c>
      <c r="BM471" s="19">
        <f t="shared" si="198"/>
        <v>0</v>
      </c>
    </row>
    <row r="472" spans="1:65">
      <c r="F472" s="18"/>
      <c r="G472" s="17"/>
    </row>
    <row r="473" spans="1:65" ht="14" thickBot="1">
      <c r="A473" s="25"/>
      <c r="B473" s="25"/>
      <c r="C473" s="25"/>
      <c r="D473" s="25"/>
      <c r="E473" s="25" t="s">
        <v>410</v>
      </c>
      <c r="F473" s="25" t="s">
        <v>310</v>
      </c>
      <c r="G473" s="25"/>
      <c r="H473" s="25"/>
      <c r="I473" s="25"/>
      <c r="J473" s="25"/>
      <c r="K473" s="25"/>
      <c r="L473" s="25"/>
      <c r="M473" s="25"/>
      <c r="N473" s="25"/>
      <c r="O473" s="25"/>
      <c r="P473" s="25"/>
      <c r="Q473" s="25"/>
      <c r="R473" s="25"/>
      <c r="S473" s="25"/>
      <c r="T473" s="25"/>
      <c r="U473" s="25"/>
      <c r="V473" s="25"/>
      <c r="W473" s="25"/>
      <c r="X473" s="25"/>
      <c r="Y473" s="25"/>
      <c r="Z473" s="25"/>
      <c r="AA473" s="25"/>
      <c r="AB473" s="25"/>
      <c r="AC473" s="25"/>
      <c r="AD473" s="25"/>
      <c r="AE473" s="25"/>
      <c r="AF473" s="25"/>
      <c r="AG473" s="25"/>
      <c r="AH473" s="25"/>
      <c r="AI473" s="25"/>
      <c r="AJ473" s="25"/>
      <c r="AK473" s="25"/>
      <c r="AL473" s="25"/>
      <c r="AM473" s="25"/>
      <c r="AN473" s="25"/>
      <c r="AO473" s="25"/>
      <c r="AP473" s="25"/>
      <c r="AQ473" s="25"/>
      <c r="AR473" s="25"/>
      <c r="AS473" s="25"/>
      <c r="AT473" s="25"/>
      <c r="AU473" s="25"/>
      <c r="AV473" s="25"/>
      <c r="AW473" s="25"/>
      <c r="AX473" s="25"/>
      <c r="AY473" s="25"/>
      <c r="AZ473" s="25"/>
      <c r="BA473" s="25"/>
      <c r="BB473" s="25"/>
      <c r="BC473" s="25"/>
      <c r="BD473" s="25"/>
      <c r="BE473" s="25"/>
      <c r="BF473" s="25"/>
      <c r="BG473" s="25"/>
      <c r="BH473" s="25"/>
      <c r="BI473" s="25"/>
      <c r="BJ473" s="25"/>
      <c r="BK473" s="25"/>
      <c r="BL473" s="25"/>
      <c r="BM473" s="25"/>
    </row>
    <row r="474" spans="1:65">
      <c r="F474" s="18"/>
      <c r="G474" s="17"/>
    </row>
    <row r="475" spans="1:65">
      <c r="F475" s="40" t="s">
        <v>126</v>
      </c>
      <c r="G475" s="17" t="str">
        <f>cstNominalUnit</f>
        <v>£ Nominal</v>
      </c>
      <c r="AA475" s="14">
        <f t="shared" ref="AA475:BE475" si="199">AA413</f>
        <v>2665119.4205020922</v>
      </c>
      <c r="AB475" s="14">
        <f t="shared" si="199"/>
        <v>0</v>
      </c>
      <c r="AC475" s="14">
        <f t="shared" si="199"/>
        <v>0</v>
      </c>
      <c r="AD475" s="14">
        <f t="shared" si="199"/>
        <v>0</v>
      </c>
      <c r="AE475" s="14">
        <f t="shared" si="199"/>
        <v>0</v>
      </c>
      <c r="AF475" s="14">
        <f t="shared" si="199"/>
        <v>0</v>
      </c>
      <c r="AG475" s="14">
        <f t="shared" si="199"/>
        <v>0</v>
      </c>
      <c r="AH475" s="14">
        <f t="shared" si="199"/>
        <v>0</v>
      </c>
      <c r="AI475" s="14">
        <f t="shared" si="199"/>
        <v>0</v>
      </c>
      <c r="AJ475" s="14">
        <f t="shared" si="199"/>
        <v>0</v>
      </c>
      <c r="AK475" s="14">
        <f t="shared" si="199"/>
        <v>0</v>
      </c>
      <c r="AL475" s="14">
        <f t="shared" si="199"/>
        <v>0</v>
      </c>
      <c r="AM475" s="14">
        <f t="shared" si="199"/>
        <v>0</v>
      </c>
      <c r="AN475" s="14">
        <f t="shared" si="199"/>
        <v>0</v>
      </c>
      <c r="AO475" s="14">
        <f t="shared" si="199"/>
        <v>0</v>
      </c>
      <c r="AP475" s="14">
        <f t="shared" si="199"/>
        <v>0</v>
      </c>
      <c r="AQ475" s="14">
        <f t="shared" si="199"/>
        <v>0</v>
      </c>
      <c r="AR475" s="14">
        <f t="shared" si="199"/>
        <v>0</v>
      </c>
      <c r="AS475" s="14">
        <f t="shared" si="199"/>
        <v>0</v>
      </c>
      <c r="AT475" s="14">
        <f t="shared" si="199"/>
        <v>0</v>
      </c>
      <c r="AU475" s="14">
        <f t="shared" si="199"/>
        <v>0</v>
      </c>
      <c r="AV475" s="14">
        <f t="shared" si="199"/>
        <v>0</v>
      </c>
      <c r="AW475" s="14">
        <f t="shared" si="199"/>
        <v>0</v>
      </c>
      <c r="AX475" s="14">
        <f t="shared" si="199"/>
        <v>0</v>
      </c>
      <c r="AY475" s="14">
        <f t="shared" si="199"/>
        <v>0</v>
      </c>
      <c r="AZ475" s="14">
        <f t="shared" si="199"/>
        <v>0</v>
      </c>
      <c r="BA475" s="14">
        <f t="shared" si="199"/>
        <v>0</v>
      </c>
      <c r="BB475" s="14">
        <f t="shared" si="199"/>
        <v>0</v>
      </c>
      <c r="BC475" s="14">
        <f t="shared" si="199"/>
        <v>0</v>
      </c>
      <c r="BD475" s="14">
        <f t="shared" si="199"/>
        <v>0</v>
      </c>
      <c r="BE475" s="14">
        <f t="shared" si="199"/>
        <v>0</v>
      </c>
      <c r="BG475" s="14">
        <f t="shared" ref="BG475:BM478" si="200">SUMIFS($AA475:$BE475,$AA$2:$BE$2,"&gt;="&amp;BG$2,$AA$3:$BE$3,"&lt;="&amp;BG$3)</f>
        <v>2665119.4205020922</v>
      </c>
      <c r="BH475" s="14">
        <f t="shared" si="200"/>
        <v>0</v>
      </c>
      <c r="BI475" s="14">
        <f t="shared" si="200"/>
        <v>0</v>
      </c>
      <c r="BJ475" s="14">
        <f t="shared" si="200"/>
        <v>0</v>
      </c>
      <c r="BK475" s="14">
        <f t="shared" si="200"/>
        <v>0</v>
      </c>
      <c r="BL475" s="14">
        <f t="shared" si="200"/>
        <v>0</v>
      </c>
      <c r="BM475" s="14">
        <f t="shared" si="200"/>
        <v>0</v>
      </c>
    </row>
    <row r="476" spans="1:65">
      <c r="F476" s="40" t="s">
        <v>150</v>
      </c>
      <c r="G476" s="17" t="str">
        <f>cstNominalUnit</f>
        <v>£ Nominal</v>
      </c>
      <c r="AA476" s="14">
        <f t="shared" ref="AA476:BE476" si="201">AA417</f>
        <v>300000</v>
      </c>
      <c r="AB476" s="14">
        <f t="shared" si="201"/>
        <v>0</v>
      </c>
      <c r="AC476" s="14">
        <f t="shared" si="201"/>
        <v>0</v>
      </c>
      <c r="AD476" s="14">
        <f t="shared" si="201"/>
        <v>0</v>
      </c>
      <c r="AE476" s="14">
        <f t="shared" si="201"/>
        <v>0</v>
      </c>
      <c r="AF476" s="14">
        <f t="shared" si="201"/>
        <v>0</v>
      </c>
      <c r="AG476" s="14">
        <f t="shared" si="201"/>
        <v>0</v>
      </c>
      <c r="AH476" s="14">
        <f t="shared" si="201"/>
        <v>0</v>
      </c>
      <c r="AI476" s="14">
        <f t="shared" si="201"/>
        <v>0</v>
      </c>
      <c r="AJ476" s="14">
        <f t="shared" si="201"/>
        <v>0</v>
      </c>
      <c r="AK476" s="14">
        <f t="shared" si="201"/>
        <v>0</v>
      </c>
      <c r="AL476" s="14">
        <f t="shared" si="201"/>
        <v>0</v>
      </c>
      <c r="AM476" s="14">
        <f t="shared" si="201"/>
        <v>0</v>
      </c>
      <c r="AN476" s="14">
        <f t="shared" si="201"/>
        <v>0</v>
      </c>
      <c r="AO476" s="14">
        <f t="shared" si="201"/>
        <v>0</v>
      </c>
      <c r="AP476" s="14">
        <f t="shared" si="201"/>
        <v>0</v>
      </c>
      <c r="AQ476" s="14">
        <f t="shared" si="201"/>
        <v>0</v>
      </c>
      <c r="AR476" s="14">
        <f t="shared" si="201"/>
        <v>0</v>
      </c>
      <c r="AS476" s="14">
        <f t="shared" si="201"/>
        <v>0</v>
      </c>
      <c r="AT476" s="14">
        <f t="shared" si="201"/>
        <v>0</v>
      </c>
      <c r="AU476" s="14">
        <f t="shared" si="201"/>
        <v>0</v>
      </c>
      <c r="AV476" s="14">
        <f t="shared" si="201"/>
        <v>0</v>
      </c>
      <c r="AW476" s="14">
        <f t="shared" si="201"/>
        <v>0</v>
      </c>
      <c r="AX476" s="14">
        <f t="shared" si="201"/>
        <v>0</v>
      </c>
      <c r="AY476" s="14">
        <f t="shared" si="201"/>
        <v>0</v>
      </c>
      <c r="AZ476" s="14">
        <f t="shared" si="201"/>
        <v>0</v>
      </c>
      <c r="BA476" s="14">
        <f t="shared" si="201"/>
        <v>0</v>
      </c>
      <c r="BB476" s="14">
        <f t="shared" si="201"/>
        <v>0</v>
      </c>
      <c r="BC476" s="14">
        <f t="shared" si="201"/>
        <v>0</v>
      </c>
      <c r="BD476" s="14">
        <f t="shared" si="201"/>
        <v>0</v>
      </c>
      <c r="BE476" s="14">
        <f t="shared" si="201"/>
        <v>0</v>
      </c>
      <c r="BG476" s="14">
        <f t="shared" si="200"/>
        <v>300000</v>
      </c>
      <c r="BH476" s="14">
        <f t="shared" si="200"/>
        <v>0</v>
      </c>
      <c r="BI476" s="14">
        <f t="shared" si="200"/>
        <v>0</v>
      </c>
      <c r="BJ476" s="14">
        <f t="shared" si="200"/>
        <v>0</v>
      </c>
      <c r="BK476" s="14">
        <f t="shared" si="200"/>
        <v>0</v>
      </c>
      <c r="BL476" s="14">
        <f t="shared" si="200"/>
        <v>0</v>
      </c>
      <c r="BM476" s="14">
        <f t="shared" si="200"/>
        <v>0</v>
      </c>
    </row>
    <row r="477" spans="1:65">
      <c r="F477" s="40" t="s">
        <v>125</v>
      </c>
      <c r="G477" s="17" t="str">
        <f>cstNominalUnit</f>
        <v>£ Nominal</v>
      </c>
      <c r="AA477" s="14">
        <f t="shared" ref="AA477:BE477" si="202">AA435</f>
        <v>79953.582615062769</v>
      </c>
      <c r="AB477" s="14">
        <f t="shared" si="202"/>
        <v>0</v>
      </c>
      <c r="AC477" s="14">
        <f t="shared" si="202"/>
        <v>0</v>
      </c>
      <c r="AD477" s="14">
        <f t="shared" si="202"/>
        <v>0</v>
      </c>
      <c r="AE477" s="14">
        <f t="shared" si="202"/>
        <v>0</v>
      </c>
      <c r="AF477" s="14">
        <f t="shared" si="202"/>
        <v>0</v>
      </c>
      <c r="AG477" s="14">
        <f t="shared" si="202"/>
        <v>0</v>
      </c>
      <c r="AH477" s="14">
        <f t="shared" si="202"/>
        <v>0</v>
      </c>
      <c r="AI477" s="14">
        <f t="shared" si="202"/>
        <v>0</v>
      </c>
      <c r="AJ477" s="14">
        <f t="shared" si="202"/>
        <v>0</v>
      </c>
      <c r="AK477" s="14">
        <f t="shared" si="202"/>
        <v>0</v>
      </c>
      <c r="AL477" s="14">
        <f t="shared" si="202"/>
        <v>0</v>
      </c>
      <c r="AM477" s="14">
        <f t="shared" si="202"/>
        <v>0</v>
      </c>
      <c r="AN477" s="14">
        <f t="shared" si="202"/>
        <v>0</v>
      </c>
      <c r="AO477" s="14">
        <f t="shared" si="202"/>
        <v>0</v>
      </c>
      <c r="AP477" s="14">
        <f t="shared" si="202"/>
        <v>0</v>
      </c>
      <c r="AQ477" s="14">
        <f t="shared" si="202"/>
        <v>0</v>
      </c>
      <c r="AR477" s="14">
        <f t="shared" si="202"/>
        <v>0</v>
      </c>
      <c r="AS477" s="14">
        <f t="shared" si="202"/>
        <v>0</v>
      </c>
      <c r="AT477" s="14">
        <f t="shared" si="202"/>
        <v>0</v>
      </c>
      <c r="AU477" s="14">
        <f t="shared" si="202"/>
        <v>0</v>
      </c>
      <c r="AV477" s="14">
        <f t="shared" si="202"/>
        <v>0</v>
      </c>
      <c r="AW477" s="14">
        <f t="shared" si="202"/>
        <v>0</v>
      </c>
      <c r="AX477" s="14">
        <f t="shared" si="202"/>
        <v>0</v>
      </c>
      <c r="AY477" s="14">
        <f t="shared" si="202"/>
        <v>0</v>
      </c>
      <c r="AZ477" s="14">
        <f t="shared" si="202"/>
        <v>0</v>
      </c>
      <c r="BA477" s="14">
        <f t="shared" si="202"/>
        <v>0</v>
      </c>
      <c r="BB477" s="14">
        <f t="shared" si="202"/>
        <v>0</v>
      </c>
      <c r="BC477" s="14">
        <f t="shared" si="202"/>
        <v>0</v>
      </c>
      <c r="BD477" s="14">
        <f t="shared" si="202"/>
        <v>0</v>
      </c>
      <c r="BE477" s="14">
        <f t="shared" si="202"/>
        <v>0</v>
      </c>
      <c r="BG477" s="14">
        <f t="shared" si="200"/>
        <v>79953.582615062769</v>
      </c>
      <c r="BH477" s="14">
        <f t="shared" si="200"/>
        <v>0</v>
      </c>
      <c r="BI477" s="14">
        <f t="shared" si="200"/>
        <v>0</v>
      </c>
      <c r="BJ477" s="14">
        <f t="shared" si="200"/>
        <v>0</v>
      </c>
      <c r="BK477" s="14">
        <f t="shared" si="200"/>
        <v>0</v>
      </c>
      <c r="BL477" s="14">
        <f t="shared" si="200"/>
        <v>0</v>
      </c>
      <c r="BM477" s="14">
        <f t="shared" si="200"/>
        <v>0</v>
      </c>
    </row>
    <row r="478" spans="1:65">
      <c r="F478" s="40" t="s">
        <v>247</v>
      </c>
      <c r="G478" s="17" t="str">
        <f>cstNominalUnit</f>
        <v>£ Nominal</v>
      </c>
      <c r="AA478" s="14">
        <f t="shared" ref="AA478:BE478" si="203">AA469</f>
        <v>0</v>
      </c>
      <c r="AB478" s="14">
        <f t="shared" si="203"/>
        <v>30935.87761506276</v>
      </c>
      <c r="AC478" s="14">
        <f t="shared" si="203"/>
        <v>31863.953943514643</v>
      </c>
      <c r="AD478" s="14">
        <f t="shared" si="203"/>
        <v>32819.872561820084</v>
      </c>
      <c r="AE478" s="14">
        <f t="shared" si="203"/>
        <v>33804.468738674688</v>
      </c>
      <c r="AF478" s="14">
        <f t="shared" si="203"/>
        <v>34818.602800834931</v>
      </c>
      <c r="AG478" s="14">
        <f t="shared" si="203"/>
        <v>35863.160884859979</v>
      </c>
      <c r="AH478" s="14">
        <f t="shared" si="203"/>
        <v>36939.055711405781</v>
      </c>
      <c r="AI478" s="14">
        <f t="shared" si="203"/>
        <v>38047.227382747951</v>
      </c>
      <c r="AJ478" s="14">
        <f t="shared" si="203"/>
        <v>39188.644204230397</v>
      </c>
      <c r="AK478" s="14">
        <f t="shared" si="203"/>
        <v>40364.303530357312</v>
      </c>
      <c r="AL478" s="14">
        <f t="shared" si="203"/>
        <v>41575.232636268032</v>
      </c>
      <c r="AM478" s="14">
        <f t="shared" si="203"/>
        <v>42822.489615356069</v>
      </c>
      <c r="AN478" s="14">
        <f t="shared" si="203"/>
        <v>44107.164303816753</v>
      </c>
      <c r="AO478" s="14">
        <f t="shared" si="203"/>
        <v>45430.379232931256</v>
      </c>
      <c r="AP478" s="14">
        <f t="shared" si="203"/>
        <v>46793.290609919204</v>
      </c>
      <c r="AQ478" s="14">
        <f t="shared" si="203"/>
        <v>48197.089328216782</v>
      </c>
      <c r="AR478" s="14">
        <f t="shared" si="203"/>
        <v>49643.002008063282</v>
      </c>
      <c r="AS478" s="14">
        <f t="shared" si="203"/>
        <v>51132.292068305178</v>
      </c>
      <c r="AT478" s="14">
        <f t="shared" si="203"/>
        <v>52666.260830354338</v>
      </c>
      <c r="AU478" s="14">
        <f t="shared" si="203"/>
        <v>54246.248655264979</v>
      </c>
      <c r="AV478" s="14">
        <f t="shared" si="203"/>
        <v>55873.636114922934</v>
      </c>
      <c r="AW478" s="14">
        <f t="shared" si="203"/>
        <v>57549.845198370618</v>
      </c>
      <c r="AX478" s="14">
        <f t="shared" si="203"/>
        <v>59276.340554321738</v>
      </c>
      <c r="AY478" s="14">
        <f t="shared" si="203"/>
        <v>61054.630770951393</v>
      </c>
      <c r="AZ478" s="14">
        <f t="shared" si="203"/>
        <v>62886.269694079936</v>
      </c>
      <c r="BA478" s="14">
        <f t="shared" si="203"/>
        <v>64772.857784902342</v>
      </c>
      <c r="BB478" s="14">
        <f t="shared" si="203"/>
        <v>66716.043518449413</v>
      </c>
      <c r="BC478" s="14">
        <f t="shared" si="203"/>
        <v>68717.524824002889</v>
      </c>
      <c r="BD478" s="14">
        <f t="shared" si="203"/>
        <v>70779.050568722974</v>
      </c>
      <c r="BE478" s="14">
        <f t="shared" si="203"/>
        <v>72902.422085784667</v>
      </c>
      <c r="BG478" s="14">
        <f t="shared" si="200"/>
        <v>0</v>
      </c>
      <c r="BH478" s="14">
        <f t="shared" si="200"/>
        <v>164242.77565990709</v>
      </c>
      <c r="BI478" s="14">
        <f t="shared" si="200"/>
        <v>190402.39171360142</v>
      </c>
      <c r="BJ478" s="14">
        <f t="shared" si="200"/>
        <v>220728.55639829132</v>
      </c>
      <c r="BK478" s="14">
        <f t="shared" si="200"/>
        <v>255884.89289020456</v>
      </c>
      <c r="BL478" s="14">
        <f t="shared" si="200"/>
        <v>296640.7223326466</v>
      </c>
      <c r="BM478" s="14">
        <f t="shared" si="200"/>
        <v>343887.89878186228</v>
      </c>
    </row>
    <row r="479" spans="1:65">
      <c r="G479" s="17"/>
    </row>
    <row r="480" spans="1:65">
      <c r="F480" s="89" t="s">
        <v>353</v>
      </c>
      <c r="G480" s="90" t="str">
        <f>cstNominalUnit</f>
        <v>£ Nominal</v>
      </c>
      <c r="AA480" s="87">
        <f t="shared" ref="AA480:BE480" si="204">SUM(AA475:AA479)</f>
        <v>3045073.0031171548</v>
      </c>
      <c r="AB480" s="87">
        <f t="shared" si="204"/>
        <v>30935.87761506276</v>
      </c>
      <c r="AC480" s="87">
        <f t="shared" si="204"/>
        <v>31863.953943514643</v>
      </c>
      <c r="AD480" s="87">
        <f t="shared" si="204"/>
        <v>32819.872561820084</v>
      </c>
      <c r="AE480" s="87">
        <f t="shared" si="204"/>
        <v>33804.468738674688</v>
      </c>
      <c r="AF480" s="87">
        <f t="shared" si="204"/>
        <v>34818.602800834931</v>
      </c>
      <c r="AG480" s="87">
        <f t="shared" si="204"/>
        <v>35863.160884859979</v>
      </c>
      <c r="AH480" s="87">
        <f t="shared" si="204"/>
        <v>36939.055711405781</v>
      </c>
      <c r="AI480" s="87">
        <f t="shared" si="204"/>
        <v>38047.227382747951</v>
      </c>
      <c r="AJ480" s="87">
        <f t="shared" si="204"/>
        <v>39188.644204230397</v>
      </c>
      <c r="AK480" s="87">
        <f t="shared" si="204"/>
        <v>40364.303530357312</v>
      </c>
      <c r="AL480" s="87">
        <f t="shared" si="204"/>
        <v>41575.232636268032</v>
      </c>
      <c r="AM480" s="87">
        <f t="shared" si="204"/>
        <v>42822.489615356069</v>
      </c>
      <c r="AN480" s="87">
        <f t="shared" si="204"/>
        <v>44107.164303816753</v>
      </c>
      <c r="AO480" s="87">
        <f t="shared" si="204"/>
        <v>45430.379232931256</v>
      </c>
      <c r="AP480" s="87">
        <f t="shared" si="204"/>
        <v>46793.290609919204</v>
      </c>
      <c r="AQ480" s="87">
        <f t="shared" si="204"/>
        <v>48197.089328216782</v>
      </c>
      <c r="AR480" s="87">
        <f t="shared" si="204"/>
        <v>49643.002008063282</v>
      </c>
      <c r="AS480" s="87">
        <f t="shared" si="204"/>
        <v>51132.292068305178</v>
      </c>
      <c r="AT480" s="87">
        <f t="shared" si="204"/>
        <v>52666.260830354338</v>
      </c>
      <c r="AU480" s="87">
        <f t="shared" si="204"/>
        <v>54246.248655264979</v>
      </c>
      <c r="AV480" s="87">
        <f t="shared" si="204"/>
        <v>55873.636114922934</v>
      </c>
      <c r="AW480" s="87">
        <f t="shared" si="204"/>
        <v>57549.845198370618</v>
      </c>
      <c r="AX480" s="87">
        <f t="shared" si="204"/>
        <v>59276.340554321738</v>
      </c>
      <c r="AY480" s="87">
        <f t="shared" si="204"/>
        <v>61054.630770951393</v>
      </c>
      <c r="AZ480" s="87">
        <f t="shared" si="204"/>
        <v>62886.269694079936</v>
      </c>
      <c r="BA480" s="87">
        <f t="shared" si="204"/>
        <v>64772.857784902342</v>
      </c>
      <c r="BB480" s="87">
        <f t="shared" si="204"/>
        <v>66716.043518449413</v>
      </c>
      <c r="BC480" s="87">
        <f t="shared" si="204"/>
        <v>68717.524824002889</v>
      </c>
      <c r="BD480" s="87">
        <f t="shared" si="204"/>
        <v>70779.050568722974</v>
      </c>
      <c r="BE480" s="87">
        <f t="shared" si="204"/>
        <v>72902.422085784667</v>
      </c>
      <c r="BG480" s="87">
        <f t="shared" ref="BG480:BM480" si="205">SUMIFS($AA480:$BE480,$AA$2:$BE$2,"&gt;="&amp;BG$2,$AA$3:$BE$3,"&lt;="&amp;BG$3)</f>
        <v>3045073.0031171548</v>
      </c>
      <c r="BH480" s="87">
        <f t="shared" si="205"/>
        <v>164242.77565990709</v>
      </c>
      <c r="BI480" s="87">
        <f t="shared" si="205"/>
        <v>190402.39171360142</v>
      </c>
      <c r="BJ480" s="87">
        <f t="shared" si="205"/>
        <v>220728.55639829132</v>
      </c>
      <c r="BK480" s="87">
        <f t="shared" si="205"/>
        <v>255884.89289020456</v>
      </c>
      <c r="BL480" s="87">
        <f t="shared" si="205"/>
        <v>296640.7223326466</v>
      </c>
      <c r="BM480" s="87">
        <f t="shared" si="205"/>
        <v>343887.89878186228</v>
      </c>
    </row>
    <row r="481" spans="1:66">
      <c r="F481" s="91"/>
      <c r="G481" s="92"/>
      <c r="AA481" s="93"/>
      <c r="AB481" s="93"/>
      <c r="AC481" s="93"/>
      <c r="AD481" s="93"/>
      <c r="AE481" s="93"/>
      <c r="AF481" s="93"/>
      <c r="AG481" s="93"/>
      <c r="AH481" s="93"/>
      <c r="AI481" s="93"/>
      <c r="AJ481" s="93"/>
      <c r="AK481" s="93"/>
      <c r="AL481" s="93"/>
      <c r="AM481" s="93"/>
      <c r="AN481" s="93"/>
      <c r="AO481" s="93"/>
      <c r="AP481" s="93"/>
      <c r="AQ481" s="93"/>
      <c r="AR481" s="93"/>
      <c r="AS481" s="93"/>
      <c r="AT481" s="93"/>
      <c r="AU481" s="93"/>
      <c r="AV481" s="93"/>
      <c r="AW481" s="93"/>
      <c r="AX481" s="93"/>
      <c r="AY481" s="93"/>
      <c r="AZ481" s="93"/>
      <c r="BA481" s="93"/>
      <c r="BB481" s="93"/>
      <c r="BC481" s="93"/>
      <c r="BD481" s="93"/>
      <c r="BE481" s="93"/>
      <c r="BG481" s="93"/>
      <c r="BH481" s="93"/>
      <c r="BI481" s="93"/>
      <c r="BJ481" s="93"/>
      <c r="BK481" s="93"/>
      <c r="BL481" s="93"/>
      <c r="BM481" s="93"/>
    </row>
    <row r="482" spans="1:66">
      <c r="A482" s="19">
        <f>SUM(C482:BM482)</f>
        <v>0</v>
      </c>
      <c r="F482" s="94" t="s">
        <v>329</v>
      </c>
      <c r="G482" s="17"/>
      <c r="BG482" s="19">
        <f t="shared" ref="BG482:BM482" si="206">IF(ABS(SUM(BG475:BG479)-BG480)&lt;eTol,0,1)</f>
        <v>0</v>
      </c>
      <c r="BH482" s="19">
        <f t="shared" si="206"/>
        <v>0</v>
      </c>
      <c r="BI482" s="19">
        <f t="shared" si="206"/>
        <v>0</v>
      </c>
      <c r="BJ482" s="19">
        <f t="shared" si="206"/>
        <v>0</v>
      </c>
      <c r="BK482" s="19">
        <f t="shared" si="206"/>
        <v>0</v>
      </c>
      <c r="BL482" s="19">
        <f t="shared" si="206"/>
        <v>0</v>
      </c>
      <c r="BM482" s="19">
        <f t="shared" si="206"/>
        <v>0</v>
      </c>
    </row>
    <row r="483" spans="1:66">
      <c r="G483" s="17"/>
    </row>
    <row r="484" spans="1:66" ht="16">
      <c r="A484" s="24"/>
      <c r="B484" s="24"/>
      <c r="C484" s="24"/>
      <c r="D484" s="24" t="s">
        <v>8</v>
      </c>
      <c r="E484" s="24"/>
      <c r="F484" s="24"/>
      <c r="G484" s="24"/>
      <c r="H484" s="24"/>
      <c r="I484" s="24"/>
      <c r="J484" s="24"/>
      <c r="K484" s="24"/>
      <c r="L484" s="24"/>
      <c r="M484" s="24"/>
      <c r="N484" s="24"/>
      <c r="O484" s="24"/>
      <c r="P484" s="24"/>
      <c r="Q484" s="24"/>
      <c r="R484" s="24"/>
      <c r="S484" s="24"/>
      <c r="T484" s="24"/>
      <c r="U484" s="24"/>
      <c r="V484" s="24"/>
      <c r="W484" s="24"/>
      <c r="X484" s="24"/>
      <c r="Y484" s="24"/>
      <c r="Z484" s="24"/>
      <c r="AA484" s="24"/>
      <c r="AB484" s="24"/>
      <c r="AC484" s="24"/>
      <c r="AD484" s="24"/>
      <c r="AE484" s="24"/>
      <c r="AF484" s="24"/>
      <c r="AG484" s="24"/>
      <c r="AH484" s="24"/>
      <c r="AI484" s="24"/>
      <c r="AJ484" s="24"/>
      <c r="AK484" s="24"/>
      <c r="AL484" s="24"/>
      <c r="AM484" s="24"/>
      <c r="AN484" s="24"/>
      <c r="AO484" s="24"/>
      <c r="AP484" s="24"/>
      <c r="AQ484" s="24"/>
      <c r="AR484" s="24"/>
      <c r="AS484" s="24"/>
      <c r="AT484" s="24"/>
      <c r="AU484" s="24"/>
      <c r="AV484" s="24"/>
      <c r="AW484" s="24"/>
      <c r="AX484" s="24"/>
      <c r="AY484" s="24"/>
      <c r="AZ484" s="24"/>
      <c r="BA484" s="24"/>
      <c r="BB484" s="24"/>
      <c r="BC484" s="24"/>
      <c r="BD484" s="24"/>
      <c r="BE484" s="24"/>
      <c r="BF484" s="24"/>
      <c r="BG484" s="24"/>
      <c r="BH484" s="24"/>
      <c r="BI484" s="24"/>
      <c r="BJ484" s="24"/>
      <c r="BK484" s="24"/>
      <c r="BL484" s="24"/>
      <c r="BM484" s="24"/>
      <c r="BN484" s="24"/>
    </row>
  </sheetData>
  <sheetProtection algorithmName="SHA-512" hashValue="NYOpNfV9BuvM+scolIWU3jwtCfnmSyzTgMFkc3erBevPitjEAtPxzX3hahy9fvg01e4ulqNYdOUmoKW/5G4cWQ==" saltValue="8E0IUCo2vUAxaZLhYVQMGA==" spinCount="100000" sheet="1" objects="1" scenarios="1" formatColumns="0" formatRows="0"/>
  <conditionalFormatting sqref="C5:F5">
    <cfRule type="expression" dxfId="17" priority="1">
      <formula>IF(AND(sysChk=0,sysWarn=0),1,0)</formula>
    </cfRule>
    <cfRule type="expression" dxfId="16" priority="2">
      <formula>IF(AND(sysChk=0,sysWarn&lt;&gt;0),1,0)</formula>
    </cfRule>
    <cfRule type="expression" dxfId="15" priority="3">
      <formula>IF(sysChk&lt;&gt;0,1,0)</formula>
    </cfRule>
  </conditionalFormatting>
  <pageMargins left="0.70866141732283472" right="0.70866141732283472" top="0.74803149606299213" bottom="0.74803149606299213" header="0.31496062992125984" footer="0.31496062992125984"/>
  <pageSetup paperSize="9" scale="10" orientation="landscape" r:id="rId1"/>
  <headerFooter>
    <oddFooter>&amp;F</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8193" r:id="rId4" name="Drop Down 1">
              <controlPr defaultSize="0" autoLine="0" autoPict="0">
                <anchor moveWithCells="1">
                  <from>
                    <xdr:col>7</xdr:col>
                    <xdr:colOff>139700</xdr:colOff>
                    <xdr:row>12</xdr:row>
                    <xdr:rowOff>139700</xdr:rowOff>
                  </from>
                  <to>
                    <xdr:col>10</xdr:col>
                    <xdr:colOff>368300</xdr:colOff>
                    <xdr:row>14</xdr:row>
                    <xdr:rowOff>12700</xdr:rowOff>
                  </to>
                </anchor>
              </controlPr>
            </control>
          </mc:Choice>
        </mc:AlternateContent>
        <mc:AlternateContent xmlns:mc="http://schemas.openxmlformats.org/markup-compatibility/2006">
          <mc:Choice Requires="x14">
            <control shapeId="8194" r:id="rId5" name="Drop Down 2">
              <controlPr defaultSize="0" autoLine="0" autoPict="0">
                <anchor moveWithCells="1">
                  <from>
                    <xdr:col>7</xdr:col>
                    <xdr:colOff>139700</xdr:colOff>
                    <xdr:row>14</xdr:row>
                    <xdr:rowOff>139700</xdr:rowOff>
                  </from>
                  <to>
                    <xdr:col>10</xdr:col>
                    <xdr:colOff>368300</xdr:colOff>
                    <xdr:row>16</xdr:row>
                    <xdr:rowOff>12700</xdr:rowOff>
                  </to>
                </anchor>
              </controlPr>
            </control>
          </mc:Choice>
        </mc:AlternateContent>
      </controls>
    </mc:Choice>
  </mc:AlternateConten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A7112-024E-45BF-8619-78A34BD9F567}">
  <sheetPr codeName="Sheet25">
    <tabColor rgb="FF00B050"/>
    <pageSetUpPr fitToPage="1"/>
  </sheetPr>
  <dimension ref="A1:BR197"/>
  <sheetViews>
    <sheetView showGridLines="0" zoomScale="80" zoomScaleNormal="80" workbookViewId="0">
      <pane xSplit="26" ySplit="9" topLeftCell="AA10" activePane="bottomRight" state="frozen"/>
      <selection pane="topRight"/>
      <selection pane="bottomLeft"/>
      <selection pane="bottomRight"/>
    </sheetView>
  </sheetViews>
  <sheetFormatPr baseColWidth="10" defaultColWidth="0" defaultRowHeight="12" outlineLevelRow="1" outlineLevelCol="1"/>
  <cols>
    <col min="1" max="2" width="5.796875" style="40" customWidth="1"/>
    <col min="3" max="3" width="8" style="40" bestFit="1" customWidth="1"/>
    <col min="4" max="5" width="3.59765625" style="40" customWidth="1"/>
    <col min="6" max="6" width="31" style="40" bestFit="1" customWidth="1"/>
    <col min="7" max="7" width="8.796875" style="40" bestFit="1" customWidth="1"/>
    <col min="8" max="8" width="2.19921875" style="40" customWidth="1"/>
    <col min="9" max="9" width="21.19921875" style="40" bestFit="1" customWidth="1"/>
    <col min="10" max="10" width="2.19921875" style="40" customWidth="1"/>
    <col min="11" max="11" width="14.796875" style="40" bestFit="1" customWidth="1"/>
    <col min="12" max="25" width="2.19921875" style="40" hidden="1" customWidth="1" outlineLevel="1"/>
    <col min="26" max="26" width="2.19921875" style="40" customWidth="1" collapsed="1"/>
    <col min="27" max="65" width="16.19921875" style="40" customWidth="1"/>
    <col min="66" max="66" width="8.796875" style="40" hidden="1" customWidth="1"/>
    <col min="67" max="70" width="0" style="40" hidden="1" customWidth="1"/>
    <col min="71" max="16384" width="8.796875" style="40" hidden="1"/>
  </cols>
  <sheetData>
    <row r="1" spans="1:66">
      <c r="A1" s="95"/>
      <c r="B1" s="95"/>
      <c r="C1" s="96" t="s">
        <v>436</v>
      </c>
      <c r="D1" s="95"/>
      <c r="E1" s="95"/>
      <c r="F1" s="95"/>
      <c r="G1" s="95"/>
      <c r="H1" s="95"/>
      <c r="I1" s="95"/>
      <c r="J1" s="95"/>
      <c r="K1" s="95"/>
      <c r="L1" s="95"/>
      <c r="M1" s="95"/>
      <c r="N1" s="95"/>
      <c r="O1" s="95"/>
      <c r="P1" s="95"/>
      <c r="Q1" s="95"/>
      <c r="R1" s="95"/>
      <c r="S1" s="95"/>
      <c r="T1" s="95"/>
      <c r="U1" s="95"/>
      <c r="V1" s="95"/>
      <c r="W1" s="95"/>
      <c r="X1" s="95"/>
      <c r="Y1" s="95"/>
      <c r="Z1" s="95"/>
      <c r="AA1" s="95"/>
      <c r="AB1" s="95"/>
      <c r="AC1" s="95"/>
      <c r="AD1" s="95"/>
      <c r="AE1" s="95"/>
      <c r="AF1" s="95"/>
      <c r="AG1" s="95"/>
      <c r="AH1" s="95"/>
      <c r="AI1" s="95"/>
      <c r="AJ1" s="95"/>
      <c r="AK1" s="95"/>
      <c r="AL1" s="95"/>
      <c r="AM1" s="95"/>
      <c r="AN1" s="95"/>
      <c r="AO1" s="95"/>
      <c r="AP1" s="95"/>
      <c r="AQ1" s="95"/>
      <c r="AR1" s="95"/>
      <c r="AS1" s="95"/>
      <c r="AT1" s="95"/>
      <c r="AU1" s="95"/>
      <c r="AV1" s="95"/>
      <c r="AW1" s="95"/>
      <c r="AX1" s="95"/>
      <c r="AY1" s="95"/>
      <c r="AZ1" s="95"/>
      <c r="BA1" s="95"/>
      <c r="BB1" s="95"/>
      <c r="BC1" s="95"/>
      <c r="BD1" s="95"/>
      <c r="BE1" s="95"/>
      <c r="BF1" s="95"/>
      <c r="BG1" s="95"/>
      <c r="BH1" s="95"/>
      <c r="BI1" s="95"/>
      <c r="BJ1" s="95"/>
      <c r="BK1" s="95"/>
      <c r="BL1" s="95"/>
      <c r="BM1" s="95"/>
      <c r="BN1" s="21"/>
    </row>
    <row r="2" spans="1:66" ht="13">
      <c r="A2" s="95"/>
      <c r="B2" s="95"/>
      <c r="C2" s="98" t="str">
        <f>cstProjectName</f>
        <v>Should Cost Modelling Case Study - Illustrative SCM</v>
      </c>
      <c r="D2" s="95"/>
      <c r="E2" s="95"/>
      <c r="F2" s="95"/>
      <c r="G2" s="95"/>
      <c r="H2" s="95"/>
      <c r="I2" s="95"/>
      <c r="J2" s="95"/>
      <c r="K2" s="95"/>
      <c r="L2" s="95"/>
      <c r="M2" s="95"/>
      <c r="N2" s="95"/>
      <c r="O2" s="95"/>
      <c r="P2" s="95"/>
      <c r="Q2" s="95"/>
      <c r="R2" s="95"/>
      <c r="S2" s="95"/>
      <c r="T2" s="95"/>
      <c r="U2" s="95"/>
      <c r="V2" s="95"/>
      <c r="W2" s="95"/>
      <c r="X2" s="95"/>
      <c r="Y2" s="95"/>
      <c r="Z2" s="105" t="str">
        <f>SysTime!Z2</f>
        <v>Period Start</v>
      </c>
      <c r="AA2" s="57">
        <f>SysTime!AA2</f>
        <v>44652</v>
      </c>
      <c r="AB2" s="57">
        <f>SysTime!AB2</f>
        <v>45017</v>
      </c>
      <c r="AC2" s="57">
        <f>SysTime!AC2</f>
        <v>45383</v>
      </c>
      <c r="AD2" s="57">
        <f>SysTime!AD2</f>
        <v>45748</v>
      </c>
      <c r="AE2" s="57">
        <f>SysTime!AE2</f>
        <v>46113</v>
      </c>
      <c r="AF2" s="57">
        <f>SysTime!AF2</f>
        <v>46478</v>
      </c>
      <c r="AG2" s="57">
        <f>SysTime!AG2</f>
        <v>46844</v>
      </c>
      <c r="AH2" s="57">
        <f>SysTime!AH2</f>
        <v>47209</v>
      </c>
      <c r="AI2" s="57">
        <f>SysTime!AI2</f>
        <v>47574</v>
      </c>
      <c r="AJ2" s="57">
        <f>SysTime!AJ2</f>
        <v>47939</v>
      </c>
      <c r="AK2" s="57">
        <f>SysTime!AK2</f>
        <v>48305</v>
      </c>
      <c r="AL2" s="57">
        <f>SysTime!AL2</f>
        <v>48670</v>
      </c>
      <c r="AM2" s="57">
        <f>SysTime!AM2</f>
        <v>49035</v>
      </c>
      <c r="AN2" s="57">
        <f>SysTime!AN2</f>
        <v>49400</v>
      </c>
      <c r="AO2" s="57">
        <f>SysTime!AO2</f>
        <v>49766</v>
      </c>
      <c r="AP2" s="57">
        <f>SysTime!AP2</f>
        <v>50131</v>
      </c>
      <c r="AQ2" s="57">
        <f>SysTime!AQ2</f>
        <v>50496</v>
      </c>
      <c r="AR2" s="57">
        <f>SysTime!AR2</f>
        <v>50861</v>
      </c>
      <c r="AS2" s="57">
        <f>SysTime!AS2</f>
        <v>51227</v>
      </c>
      <c r="AT2" s="57">
        <f>SysTime!AT2</f>
        <v>51592</v>
      </c>
      <c r="AU2" s="57">
        <f>SysTime!AU2</f>
        <v>51957</v>
      </c>
      <c r="AV2" s="57">
        <f>SysTime!AV2</f>
        <v>52322</v>
      </c>
      <c r="AW2" s="57">
        <f>SysTime!AW2</f>
        <v>52688</v>
      </c>
      <c r="AX2" s="57">
        <f>SysTime!AX2</f>
        <v>53053</v>
      </c>
      <c r="AY2" s="57">
        <f>SysTime!AY2</f>
        <v>53418</v>
      </c>
      <c r="AZ2" s="57">
        <f>SysTime!AZ2</f>
        <v>53783</v>
      </c>
      <c r="BA2" s="57">
        <f>SysTime!BA2</f>
        <v>54149</v>
      </c>
      <c r="BB2" s="57">
        <f>SysTime!BB2</f>
        <v>54514</v>
      </c>
      <c r="BC2" s="57">
        <f>SysTime!BC2</f>
        <v>54879</v>
      </c>
      <c r="BD2" s="57">
        <f>SysTime!BD2</f>
        <v>55244</v>
      </c>
      <c r="BE2" s="57">
        <f>SysTime!BE2</f>
        <v>55610</v>
      </c>
      <c r="BF2" s="58"/>
      <c r="BG2" s="59">
        <f>SysTime!BG2</f>
        <v>44652</v>
      </c>
      <c r="BH2" s="59">
        <f>SysTime!BH2</f>
        <v>45017</v>
      </c>
      <c r="BI2" s="59">
        <f>SysTime!BI2</f>
        <v>46844</v>
      </c>
      <c r="BJ2" s="59">
        <f>SysTime!BJ2</f>
        <v>48670</v>
      </c>
      <c r="BK2" s="59">
        <f>SysTime!BK2</f>
        <v>50496</v>
      </c>
      <c r="BL2" s="59">
        <f>SysTime!BL2</f>
        <v>52322</v>
      </c>
      <c r="BM2" s="59">
        <f>SysTime!BM2</f>
        <v>54149</v>
      </c>
      <c r="BN2" s="33"/>
    </row>
    <row r="3" spans="1:66" ht="13">
      <c r="A3" s="95"/>
      <c r="B3" s="95"/>
      <c r="C3" s="100" t="str">
        <f ca="1">MID(CELL("filename",A1),FIND("]",CELL("filename",A1))+1,256)&amp;" Sheet"</f>
        <v>cOutputs Sheet</v>
      </c>
      <c r="D3" s="95"/>
      <c r="E3" s="95"/>
      <c r="F3" s="95"/>
      <c r="G3" s="95"/>
      <c r="H3" s="95"/>
      <c r="I3" s="95"/>
      <c r="J3" s="95"/>
      <c r="K3" s="95"/>
      <c r="L3" s="95"/>
      <c r="M3" s="95"/>
      <c r="N3" s="95"/>
      <c r="O3" s="95"/>
      <c r="P3" s="95"/>
      <c r="Q3" s="95"/>
      <c r="R3" s="95"/>
      <c r="S3" s="95"/>
      <c r="T3" s="95"/>
      <c r="U3" s="95"/>
      <c r="V3" s="95"/>
      <c r="W3" s="95"/>
      <c r="X3" s="95"/>
      <c r="Y3" s="95"/>
      <c r="Z3" s="105" t="str">
        <f>SysTime!Z3</f>
        <v>Period End</v>
      </c>
      <c r="AA3" s="57">
        <f>SysTime!AA3</f>
        <v>45016</v>
      </c>
      <c r="AB3" s="57">
        <f>SysTime!AB3</f>
        <v>45382</v>
      </c>
      <c r="AC3" s="57">
        <f>SysTime!AC3</f>
        <v>45747</v>
      </c>
      <c r="AD3" s="57">
        <f>SysTime!AD3</f>
        <v>46112</v>
      </c>
      <c r="AE3" s="57">
        <f>SysTime!AE3</f>
        <v>46477</v>
      </c>
      <c r="AF3" s="57">
        <f>SysTime!AF3</f>
        <v>46843</v>
      </c>
      <c r="AG3" s="57">
        <f>SysTime!AG3</f>
        <v>47208</v>
      </c>
      <c r="AH3" s="57">
        <f>SysTime!AH3</f>
        <v>47573</v>
      </c>
      <c r="AI3" s="57">
        <f>SysTime!AI3</f>
        <v>47938</v>
      </c>
      <c r="AJ3" s="57">
        <f>SysTime!AJ3</f>
        <v>48304</v>
      </c>
      <c r="AK3" s="57">
        <f>SysTime!AK3</f>
        <v>48669</v>
      </c>
      <c r="AL3" s="57">
        <f>SysTime!AL3</f>
        <v>49034</v>
      </c>
      <c r="AM3" s="57">
        <f>SysTime!AM3</f>
        <v>49399</v>
      </c>
      <c r="AN3" s="57">
        <f>SysTime!AN3</f>
        <v>49765</v>
      </c>
      <c r="AO3" s="57">
        <f>SysTime!AO3</f>
        <v>50130</v>
      </c>
      <c r="AP3" s="57">
        <f>SysTime!AP3</f>
        <v>50495</v>
      </c>
      <c r="AQ3" s="57">
        <f>SysTime!AQ3</f>
        <v>50860</v>
      </c>
      <c r="AR3" s="57">
        <f>SysTime!AR3</f>
        <v>51226</v>
      </c>
      <c r="AS3" s="57">
        <f>SysTime!AS3</f>
        <v>51591</v>
      </c>
      <c r="AT3" s="57">
        <f>SysTime!AT3</f>
        <v>51956</v>
      </c>
      <c r="AU3" s="57">
        <f>SysTime!AU3</f>
        <v>52321</v>
      </c>
      <c r="AV3" s="57">
        <f>SysTime!AV3</f>
        <v>52687</v>
      </c>
      <c r="AW3" s="57">
        <f>SysTime!AW3</f>
        <v>53052</v>
      </c>
      <c r="AX3" s="57">
        <f>SysTime!AX3</f>
        <v>53417</v>
      </c>
      <c r="AY3" s="57">
        <f>SysTime!AY3</f>
        <v>53782</v>
      </c>
      <c r="AZ3" s="57">
        <f>SysTime!AZ3</f>
        <v>54148</v>
      </c>
      <c r="BA3" s="57">
        <f>SysTime!BA3</f>
        <v>54513</v>
      </c>
      <c r="BB3" s="57">
        <f>SysTime!BB3</f>
        <v>54878</v>
      </c>
      <c r="BC3" s="57">
        <f>SysTime!BC3</f>
        <v>55243</v>
      </c>
      <c r="BD3" s="57">
        <f>SysTime!BD3</f>
        <v>55609</v>
      </c>
      <c r="BE3" s="57">
        <f>SysTime!BE3</f>
        <v>55974</v>
      </c>
      <c r="BF3" s="58"/>
      <c r="BG3" s="59">
        <f>SysTime!BG3</f>
        <v>45016</v>
      </c>
      <c r="BH3" s="59">
        <f>SysTime!BH3</f>
        <v>46843</v>
      </c>
      <c r="BI3" s="59">
        <f>SysTime!BI3</f>
        <v>48669</v>
      </c>
      <c r="BJ3" s="59">
        <f>SysTime!BJ3</f>
        <v>50495</v>
      </c>
      <c r="BK3" s="59">
        <f>SysTime!BK3</f>
        <v>52321</v>
      </c>
      <c r="BL3" s="59">
        <f>SysTime!BL3</f>
        <v>54148</v>
      </c>
      <c r="BM3" s="59">
        <f>SysTime!BM3</f>
        <v>55974</v>
      </c>
      <c r="BN3" s="33"/>
    </row>
    <row r="4" spans="1:66">
      <c r="A4" s="95"/>
      <c r="B4" s="95"/>
      <c r="C4" s="96" t="str">
        <f>IF(ISBLANK(cstProtectiveMarking),"",cstProtectiveMarking)</f>
        <v>Not Protectively Marked</v>
      </c>
      <c r="D4" s="95"/>
      <c r="E4" s="95"/>
      <c r="F4" s="95"/>
      <c r="G4" s="95"/>
      <c r="H4" s="95"/>
      <c r="I4" s="95"/>
      <c r="J4" s="95"/>
      <c r="K4" s="95"/>
      <c r="L4" s="95"/>
      <c r="M4" s="95"/>
      <c r="N4" s="95"/>
      <c r="O4" s="95"/>
      <c r="P4" s="95"/>
      <c r="Q4" s="95"/>
      <c r="R4" s="95"/>
      <c r="S4" s="95"/>
      <c r="T4" s="95"/>
      <c r="U4" s="95"/>
      <c r="V4" s="95"/>
      <c r="W4" s="95"/>
      <c r="X4" s="95"/>
      <c r="Y4" s="95"/>
      <c r="Z4" s="105" t="str">
        <f>SysTime!Z4</f>
        <v>Timeline</v>
      </c>
      <c r="AA4" s="60" t="str">
        <f>SysTime!AA4</f>
        <v>Annual</v>
      </c>
      <c r="AB4" s="60" t="str">
        <f>SysTime!AB4</f>
        <v>Annual</v>
      </c>
      <c r="AC4" s="60" t="str">
        <f>SysTime!AC4</f>
        <v>Annual</v>
      </c>
      <c r="AD4" s="60" t="str">
        <f>SysTime!AD4</f>
        <v>Annual</v>
      </c>
      <c r="AE4" s="60" t="str">
        <f>SysTime!AE4</f>
        <v>Annual</v>
      </c>
      <c r="AF4" s="60" t="str">
        <f>SysTime!AF4</f>
        <v>Annual</v>
      </c>
      <c r="AG4" s="60" t="str">
        <f>SysTime!AG4</f>
        <v>Annual</v>
      </c>
      <c r="AH4" s="60" t="str">
        <f>SysTime!AH4</f>
        <v>Annual</v>
      </c>
      <c r="AI4" s="60" t="str">
        <f>SysTime!AI4</f>
        <v>Annual</v>
      </c>
      <c r="AJ4" s="60" t="str">
        <f>SysTime!AJ4</f>
        <v>Annual</v>
      </c>
      <c r="AK4" s="60" t="str">
        <f>SysTime!AK4</f>
        <v>Annual</v>
      </c>
      <c r="AL4" s="60" t="str">
        <f>SysTime!AL4</f>
        <v>Annual</v>
      </c>
      <c r="AM4" s="60" t="str">
        <f>SysTime!AM4</f>
        <v>Annual</v>
      </c>
      <c r="AN4" s="60" t="str">
        <f>SysTime!AN4</f>
        <v>Annual</v>
      </c>
      <c r="AO4" s="60" t="str">
        <f>SysTime!AO4</f>
        <v>Annual</v>
      </c>
      <c r="AP4" s="60" t="str">
        <f>SysTime!AP4</f>
        <v>Annual</v>
      </c>
      <c r="AQ4" s="60" t="str">
        <f>SysTime!AQ4</f>
        <v>Annual</v>
      </c>
      <c r="AR4" s="60" t="str">
        <f>SysTime!AR4</f>
        <v>Annual</v>
      </c>
      <c r="AS4" s="60" t="str">
        <f>SysTime!AS4</f>
        <v>Annual</v>
      </c>
      <c r="AT4" s="60" t="str">
        <f>SysTime!AT4</f>
        <v>Annual</v>
      </c>
      <c r="AU4" s="60" t="str">
        <f>SysTime!AU4</f>
        <v>Annual</v>
      </c>
      <c r="AV4" s="60" t="str">
        <f>SysTime!AV4</f>
        <v>Annual</v>
      </c>
      <c r="AW4" s="60" t="str">
        <f>SysTime!AW4</f>
        <v>Annual</v>
      </c>
      <c r="AX4" s="60" t="str">
        <f>SysTime!AX4</f>
        <v>Annual</v>
      </c>
      <c r="AY4" s="60" t="str">
        <f>SysTime!AY4</f>
        <v>Annual</v>
      </c>
      <c r="AZ4" s="60" t="str">
        <f>SysTime!AZ4</f>
        <v>Annual</v>
      </c>
      <c r="BA4" s="60" t="str">
        <f>SysTime!BA4</f>
        <v>Annual</v>
      </c>
      <c r="BB4" s="60" t="str">
        <f>SysTime!BB4</f>
        <v>Annual</v>
      </c>
      <c r="BC4" s="60" t="str">
        <f>SysTime!BC4</f>
        <v>Annual</v>
      </c>
      <c r="BD4" s="60" t="str">
        <f>SysTime!BD4</f>
        <v>Annual</v>
      </c>
      <c r="BE4" s="60" t="str">
        <f>SysTime!BE4</f>
        <v>Annual</v>
      </c>
      <c r="BF4" s="61"/>
      <c r="BG4" s="62" t="str">
        <f>SysTime!BG4</f>
        <v>Annual</v>
      </c>
      <c r="BH4" s="62" t="str">
        <f>SysTime!BH4</f>
        <v>5 Yearly</v>
      </c>
      <c r="BI4" s="62" t="str">
        <f>SysTime!BI4</f>
        <v>5 Yearly</v>
      </c>
      <c r="BJ4" s="62" t="str">
        <f>SysTime!BJ4</f>
        <v>5 Yearly</v>
      </c>
      <c r="BK4" s="62" t="str">
        <f>SysTime!BK4</f>
        <v>5 Yearly</v>
      </c>
      <c r="BL4" s="62" t="str">
        <f>SysTime!BL4</f>
        <v>5 Yearly</v>
      </c>
      <c r="BM4" s="62" t="str">
        <f>SysTime!BM4</f>
        <v>5 Yearly</v>
      </c>
      <c r="BN4" s="34"/>
    </row>
    <row r="5" spans="1:66">
      <c r="A5" s="95"/>
      <c r="B5" s="95"/>
      <c r="C5" s="101" t="str">
        <f>HYPERLINK("#'Contents'!A1",sysChkWord)</f>
        <v>All Checks OK</v>
      </c>
      <c r="D5" s="101"/>
      <c r="E5" s="101"/>
      <c r="F5" s="101"/>
      <c r="G5" s="95"/>
      <c r="H5" s="95"/>
      <c r="I5" s="95"/>
      <c r="J5" s="95"/>
      <c r="K5" s="95"/>
      <c r="L5" s="95"/>
      <c r="M5" s="95"/>
      <c r="N5" s="95"/>
      <c r="O5" s="95"/>
      <c r="P5" s="95"/>
      <c r="Q5" s="95"/>
      <c r="R5" s="95"/>
      <c r="S5" s="95"/>
      <c r="T5" s="95"/>
      <c r="U5" s="95"/>
      <c r="V5" s="95"/>
      <c r="W5" s="95"/>
      <c r="X5" s="95"/>
      <c r="Y5" s="95"/>
      <c r="Z5" s="105" t="str">
        <f>SysTime!Z5</f>
        <v>Period index</v>
      </c>
      <c r="AA5" s="63">
        <f>SysTime!AA5</f>
        <v>1</v>
      </c>
      <c r="AB5" s="63">
        <f>SysTime!AB5</f>
        <v>2</v>
      </c>
      <c r="AC5" s="63">
        <f>SysTime!AC5</f>
        <v>3</v>
      </c>
      <c r="AD5" s="63">
        <f>SysTime!AD5</f>
        <v>4</v>
      </c>
      <c r="AE5" s="63">
        <f>SysTime!AE5</f>
        <v>5</v>
      </c>
      <c r="AF5" s="63">
        <f>SysTime!AF5</f>
        <v>6</v>
      </c>
      <c r="AG5" s="63">
        <f>SysTime!AG5</f>
        <v>7</v>
      </c>
      <c r="AH5" s="63">
        <f>SysTime!AH5</f>
        <v>8</v>
      </c>
      <c r="AI5" s="63">
        <f>SysTime!AI5</f>
        <v>9</v>
      </c>
      <c r="AJ5" s="63">
        <f>SysTime!AJ5</f>
        <v>10</v>
      </c>
      <c r="AK5" s="63">
        <f>SysTime!AK5</f>
        <v>11</v>
      </c>
      <c r="AL5" s="63">
        <f>SysTime!AL5</f>
        <v>12</v>
      </c>
      <c r="AM5" s="63">
        <f>SysTime!AM5</f>
        <v>13</v>
      </c>
      <c r="AN5" s="63">
        <f>SysTime!AN5</f>
        <v>14</v>
      </c>
      <c r="AO5" s="63">
        <f>SysTime!AO5</f>
        <v>15</v>
      </c>
      <c r="AP5" s="63">
        <f>SysTime!AP5</f>
        <v>16</v>
      </c>
      <c r="AQ5" s="63">
        <f>SysTime!AQ5</f>
        <v>17</v>
      </c>
      <c r="AR5" s="63">
        <f>SysTime!AR5</f>
        <v>18</v>
      </c>
      <c r="AS5" s="63">
        <f>SysTime!AS5</f>
        <v>19</v>
      </c>
      <c r="AT5" s="63">
        <f>SysTime!AT5</f>
        <v>20</v>
      </c>
      <c r="AU5" s="63">
        <f>SysTime!AU5</f>
        <v>21</v>
      </c>
      <c r="AV5" s="63">
        <f>SysTime!AV5</f>
        <v>22</v>
      </c>
      <c r="AW5" s="63">
        <f>SysTime!AW5</f>
        <v>23</v>
      </c>
      <c r="AX5" s="63">
        <f>SysTime!AX5</f>
        <v>24</v>
      </c>
      <c r="AY5" s="63">
        <f>SysTime!AY5</f>
        <v>25</v>
      </c>
      <c r="AZ5" s="63">
        <f>SysTime!AZ5</f>
        <v>26</v>
      </c>
      <c r="BA5" s="63">
        <f>SysTime!BA5</f>
        <v>27</v>
      </c>
      <c r="BB5" s="63">
        <f>SysTime!BB5</f>
        <v>28</v>
      </c>
      <c r="BC5" s="63">
        <f>SysTime!BC5</f>
        <v>29</v>
      </c>
      <c r="BD5" s="63">
        <f>SysTime!BD5</f>
        <v>30</v>
      </c>
      <c r="BE5" s="63">
        <f>SysTime!BE5</f>
        <v>31</v>
      </c>
      <c r="BF5" s="64"/>
      <c r="BG5" s="65">
        <f>SysTime!BG5</f>
        <v>1</v>
      </c>
      <c r="BH5" s="65">
        <f>SysTime!BH5</f>
        <v>2</v>
      </c>
      <c r="BI5" s="65">
        <f>SysTime!BI5</f>
        <v>3</v>
      </c>
      <c r="BJ5" s="65">
        <f>SysTime!BJ5</f>
        <v>4</v>
      </c>
      <c r="BK5" s="65">
        <f>SysTime!BK5</f>
        <v>5</v>
      </c>
      <c r="BL5" s="65">
        <f>SysTime!BL5</f>
        <v>6</v>
      </c>
      <c r="BM5" s="65">
        <f>SysTime!BM5</f>
        <v>7</v>
      </c>
      <c r="BN5" s="35"/>
    </row>
    <row r="6" spans="1:66" ht="13">
      <c r="A6" s="95"/>
      <c r="B6" s="102"/>
      <c r="C6" s="103" t="str">
        <f>HYPERLINK("#'Contents'!A1","Click for Contents")</f>
        <v>Click for Contents</v>
      </c>
      <c r="D6" s="101"/>
      <c r="E6" s="101"/>
      <c r="F6" s="101"/>
      <c r="G6" s="95"/>
      <c r="H6" s="95"/>
      <c r="I6" s="95"/>
      <c r="J6" s="95"/>
      <c r="K6" s="95"/>
      <c r="L6" s="95"/>
      <c r="M6" s="95"/>
      <c r="N6" s="95"/>
      <c r="O6" s="95"/>
      <c r="P6" s="95"/>
      <c r="Q6" s="95"/>
      <c r="R6" s="95"/>
      <c r="S6" s="95"/>
      <c r="T6" s="95"/>
      <c r="U6" s="95"/>
      <c r="V6" s="95"/>
      <c r="W6" s="95"/>
      <c r="X6" s="95"/>
      <c r="Y6" s="95"/>
      <c r="Z6" s="105" t="str">
        <f>SysTime!Z6</f>
        <v>Year index</v>
      </c>
      <c r="AA6" s="63">
        <f>SysTime!AA6</f>
        <v>1</v>
      </c>
      <c r="AB6" s="63">
        <f>SysTime!AB6</f>
        <v>2</v>
      </c>
      <c r="AC6" s="63">
        <f>SysTime!AC6</f>
        <v>3</v>
      </c>
      <c r="AD6" s="63">
        <f>SysTime!AD6</f>
        <v>4</v>
      </c>
      <c r="AE6" s="63">
        <f>SysTime!AE6</f>
        <v>5</v>
      </c>
      <c r="AF6" s="63">
        <f>SysTime!AF6</f>
        <v>6</v>
      </c>
      <c r="AG6" s="63">
        <f>SysTime!AG6</f>
        <v>7</v>
      </c>
      <c r="AH6" s="63">
        <f>SysTime!AH6</f>
        <v>8</v>
      </c>
      <c r="AI6" s="63">
        <f>SysTime!AI6</f>
        <v>9</v>
      </c>
      <c r="AJ6" s="63">
        <f>SysTime!AJ6</f>
        <v>10</v>
      </c>
      <c r="AK6" s="63">
        <f>SysTime!AK6</f>
        <v>11</v>
      </c>
      <c r="AL6" s="63">
        <f>SysTime!AL6</f>
        <v>12</v>
      </c>
      <c r="AM6" s="63">
        <f>SysTime!AM6</f>
        <v>13</v>
      </c>
      <c r="AN6" s="63">
        <f>SysTime!AN6</f>
        <v>14</v>
      </c>
      <c r="AO6" s="63">
        <f>SysTime!AO6</f>
        <v>15</v>
      </c>
      <c r="AP6" s="63">
        <f>SysTime!AP6</f>
        <v>16</v>
      </c>
      <c r="AQ6" s="63">
        <f>SysTime!AQ6</f>
        <v>17</v>
      </c>
      <c r="AR6" s="63">
        <f>SysTime!AR6</f>
        <v>18</v>
      </c>
      <c r="AS6" s="63">
        <f>SysTime!AS6</f>
        <v>19</v>
      </c>
      <c r="AT6" s="63">
        <f>SysTime!AT6</f>
        <v>20</v>
      </c>
      <c r="AU6" s="63">
        <f>SysTime!AU6</f>
        <v>21</v>
      </c>
      <c r="AV6" s="63">
        <f>SysTime!AV6</f>
        <v>22</v>
      </c>
      <c r="AW6" s="63">
        <f>SysTime!AW6</f>
        <v>23</v>
      </c>
      <c r="AX6" s="63">
        <f>SysTime!AX6</f>
        <v>24</v>
      </c>
      <c r="AY6" s="63">
        <f>SysTime!AY6</f>
        <v>25</v>
      </c>
      <c r="AZ6" s="63">
        <f>SysTime!AZ6</f>
        <v>26</v>
      </c>
      <c r="BA6" s="63">
        <f>SysTime!BA6</f>
        <v>27</v>
      </c>
      <c r="BB6" s="63">
        <f>SysTime!BB6</f>
        <v>28</v>
      </c>
      <c r="BC6" s="63">
        <f>SysTime!BC6</f>
        <v>29</v>
      </c>
      <c r="BD6" s="63">
        <f>SysTime!BD6</f>
        <v>30</v>
      </c>
      <c r="BE6" s="63">
        <f>SysTime!BE6</f>
        <v>31</v>
      </c>
      <c r="BF6" s="64"/>
      <c r="BG6" s="65">
        <f>SysTime!BG6</f>
        <v>0</v>
      </c>
      <c r="BH6" s="65">
        <f>SysTime!BH6</f>
        <v>0</v>
      </c>
      <c r="BI6" s="65">
        <f>SysTime!BI6</f>
        <v>0</v>
      </c>
      <c r="BJ6" s="65">
        <f>SysTime!BJ6</f>
        <v>0</v>
      </c>
      <c r="BK6" s="65">
        <f>SysTime!BK6</f>
        <v>0</v>
      </c>
      <c r="BL6" s="65">
        <f>SysTime!BL6</f>
        <v>0</v>
      </c>
      <c r="BM6" s="65">
        <f>SysTime!BM6</f>
        <v>0</v>
      </c>
      <c r="BN6" s="35"/>
    </row>
    <row r="7" spans="1:66">
      <c r="A7" s="95"/>
      <c r="B7" s="95"/>
      <c r="C7" s="95"/>
      <c r="D7" s="95"/>
      <c r="E7" s="95"/>
      <c r="F7" s="95"/>
      <c r="G7" s="95"/>
      <c r="H7" s="95"/>
      <c r="I7" s="95"/>
      <c r="J7" s="95"/>
      <c r="K7" s="95"/>
      <c r="L7" s="95"/>
      <c r="M7" s="95"/>
      <c r="N7" s="95"/>
      <c r="O7" s="95"/>
      <c r="P7" s="95"/>
      <c r="Q7" s="95"/>
      <c r="R7" s="95"/>
      <c r="S7" s="95"/>
      <c r="T7" s="95"/>
      <c r="U7" s="95"/>
      <c r="V7" s="95"/>
      <c r="W7" s="95"/>
      <c r="X7" s="95"/>
      <c r="Y7" s="95"/>
      <c r="Z7" s="105" t="str">
        <f>SysTime!Z7</f>
        <v>Relative period</v>
      </c>
      <c r="AA7" s="63">
        <f>SysTime!AA7</f>
        <v>1</v>
      </c>
      <c r="AB7" s="63">
        <f>SysTime!AB7</f>
        <v>2</v>
      </c>
      <c r="AC7" s="63">
        <f>SysTime!AC7</f>
        <v>3</v>
      </c>
      <c r="AD7" s="63">
        <f>SysTime!AD7</f>
        <v>4</v>
      </c>
      <c r="AE7" s="63">
        <f>SysTime!AE7</f>
        <v>5</v>
      </c>
      <c r="AF7" s="63">
        <f>SysTime!AF7</f>
        <v>6</v>
      </c>
      <c r="AG7" s="63">
        <f>SysTime!AG7</f>
        <v>7</v>
      </c>
      <c r="AH7" s="63">
        <f>SysTime!AH7</f>
        <v>8</v>
      </c>
      <c r="AI7" s="63">
        <f>SysTime!AI7</f>
        <v>9</v>
      </c>
      <c r="AJ7" s="63">
        <f>SysTime!AJ7</f>
        <v>10</v>
      </c>
      <c r="AK7" s="63">
        <f>SysTime!AK7</f>
        <v>11</v>
      </c>
      <c r="AL7" s="63">
        <f>SysTime!AL7</f>
        <v>12</v>
      </c>
      <c r="AM7" s="63">
        <f>SysTime!AM7</f>
        <v>13</v>
      </c>
      <c r="AN7" s="63">
        <f>SysTime!AN7</f>
        <v>14</v>
      </c>
      <c r="AO7" s="63">
        <f>SysTime!AO7</f>
        <v>15</v>
      </c>
      <c r="AP7" s="63">
        <f>SysTime!AP7</f>
        <v>16</v>
      </c>
      <c r="AQ7" s="63">
        <f>SysTime!AQ7</f>
        <v>17</v>
      </c>
      <c r="AR7" s="63">
        <f>SysTime!AR7</f>
        <v>18</v>
      </c>
      <c r="AS7" s="63">
        <f>SysTime!AS7</f>
        <v>19</v>
      </c>
      <c r="AT7" s="63">
        <f>SysTime!AT7</f>
        <v>20</v>
      </c>
      <c r="AU7" s="63">
        <f>SysTime!AU7</f>
        <v>21</v>
      </c>
      <c r="AV7" s="63">
        <f>SysTime!AV7</f>
        <v>22</v>
      </c>
      <c r="AW7" s="63">
        <f>SysTime!AW7</f>
        <v>23</v>
      </c>
      <c r="AX7" s="63">
        <f>SysTime!AX7</f>
        <v>24</v>
      </c>
      <c r="AY7" s="63">
        <f>SysTime!AY7</f>
        <v>25</v>
      </c>
      <c r="AZ7" s="63">
        <f>SysTime!AZ7</f>
        <v>26</v>
      </c>
      <c r="BA7" s="63">
        <f>SysTime!BA7</f>
        <v>27</v>
      </c>
      <c r="BB7" s="63">
        <f>SysTime!BB7</f>
        <v>28</v>
      </c>
      <c r="BC7" s="63">
        <f>SysTime!BC7</f>
        <v>29</v>
      </c>
      <c r="BD7" s="63">
        <f>SysTime!BD7</f>
        <v>30</v>
      </c>
      <c r="BE7" s="63">
        <f>SysTime!BE7</f>
        <v>31</v>
      </c>
      <c r="BF7" s="64"/>
      <c r="BG7" s="65">
        <f>SysTime!BG7</f>
        <v>1</v>
      </c>
      <c r="BH7" s="65">
        <f>SysTime!BH7</f>
        <v>2</v>
      </c>
      <c r="BI7" s="65">
        <f>SysTime!BI7</f>
        <v>3</v>
      </c>
      <c r="BJ7" s="65">
        <f>SysTime!BJ7</f>
        <v>4</v>
      </c>
      <c r="BK7" s="65">
        <f>SysTime!BK7</f>
        <v>5</v>
      </c>
      <c r="BL7" s="65">
        <f>SysTime!BL7</f>
        <v>6</v>
      </c>
      <c r="BM7" s="65">
        <f>SysTime!BM7</f>
        <v>7</v>
      </c>
      <c r="BN7" s="35"/>
    </row>
    <row r="8" spans="1:66">
      <c r="A8" s="97">
        <f>SUM(A9:A197)</f>
        <v>0</v>
      </c>
      <c r="B8" s="99">
        <f>SUM(B9:B197)</f>
        <v>0</v>
      </c>
      <c r="C8" s="104"/>
      <c r="D8" s="104"/>
      <c r="E8" s="104"/>
      <c r="F8" s="104"/>
      <c r="G8" s="104" t="s">
        <v>5</v>
      </c>
      <c r="H8" s="104"/>
      <c r="I8" s="104"/>
      <c r="J8" s="95"/>
      <c r="K8" s="95"/>
      <c r="L8" s="95"/>
      <c r="M8" s="95"/>
      <c r="N8" s="95"/>
      <c r="O8" s="95"/>
      <c r="P8" s="95"/>
      <c r="Q8" s="95"/>
      <c r="R8" s="95"/>
      <c r="S8" s="95"/>
      <c r="T8" s="95"/>
      <c r="U8" s="95"/>
      <c r="V8" s="95"/>
      <c r="W8" s="95"/>
      <c r="X8" s="95"/>
      <c r="Y8" s="95"/>
      <c r="Z8" s="95"/>
      <c r="AA8" s="95"/>
      <c r="AB8" s="95"/>
      <c r="AC8" s="95"/>
      <c r="AD8" s="95"/>
      <c r="AE8" s="95"/>
      <c r="AF8" s="95"/>
      <c r="AG8" s="95"/>
      <c r="AH8" s="95"/>
      <c r="AI8" s="95"/>
      <c r="AJ8" s="95"/>
      <c r="AK8" s="95"/>
      <c r="AL8" s="95"/>
      <c r="AM8" s="95"/>
      <c r="AN8" s="95"/>
      <c r="AO8" s="95"/>
      <c r="AP8" s="95"/>
      <c r="AQ8" s="95"/>
      <c r="AR8" s="95"/>
      <c r="AS8" s="95"/>
      <c r="AT8" s="95"/>
      <c r="AU8" s="95"/>
      <c r="AV8" s="95"/>
      <c r="AW8" s="95"/>
      <c r="AX8" s="95"/>
      <c r="AY8" s="95"/>
      <c r="AZ8" s="95"/>
      <c r="BA8" s="95"/>
      <c r="BB8" s="95"/>
      <c r="BC8" s="95"/>
      <c r="BD8" s="95"/>
      <c r="BE8" s="95"/>
      <c r="BF8" s="95"/>
      <c r="BG8" s="95"/>
      <c r="BH8" s="95"/>
      <c r="BI8" s="95"/>
      <c r="BJ8" s="95"/>
      <c r="BK8" s="95"/>
      <c r="BL8" s="95"/>
      <c r="BM8" s="95"/>
      <c r="BN8" s="21"/>
    </row>
    <row r="10" spans="1:66" ht="16">
      <c r="A10" s="24"/>
      <c r="B10" s="24"/>
      <c r="C10" s="24"/>
      <c r="D10" s="24">
        <v>1</v>
      </c>
      <c r="E10" s="24" t="s">
        <v>219</v>
      </c>
      <c r="F10" s="24"/>
      <c r="G10" s="24"/>
      <c r="H10" s="24"/>
      <c r="I10" s="24"/>
      <c r="J10" s="24"/>
      <c r="K10" s="24"/>
      <c r="L10" s="24"/>
      <c r="M10" s="24"/>
      <c r="N10" s="24"/>
      <c r="O10" s="24"/>
      <c r="P10" s="24"/>
      <c r="Q10" s="24"/>
      <c r="R10" s="24"/>
      <c r="S10" s="24"/>
      <c r="T10" s="24"/>
      <c r="U10" s="24"/>
      <c r="V10" s="24"/>
      <c r="W10" s="24"/>
      <c r="X10" s="24"/>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c r="BM10" s="24"/>
    </row>
    <row r="11" spans="1:66">
      <c r="F11" s="18"/>
      <c r="G11" s="17"/>
    </row>
    <row r="12" spans="1:66" s="25" customFormat="1" ht="14" thickBot="1">
      <c r="E12" s="25" t="s">
        <v>387</v>
      </c>
      <c r="F12" s="25" t="s">
        <v>172</v>
      </c>
    </row>
    <row r="13" spans="1:66">
      <c r="D13" s="18"/>
      <c r="E13" s="18"/>
      <c r="F13" s="18"/>
      <c r="G13" s="17"/>
    </row>
    <row r="14" spans="1:66" ht="13">
      <c r="D14" s="18"/>
      <c r="E14" s="18"/>
      <c r="F14" s="26" t="s">
        <v>168</v>
      </c>
      <c r="G14" s="17"/>
    </row>
    <row r="15" spans="1:66">
      <c r="D15" s="18"/>
      <c r="E15" s="18"/>
      <c r="F15" s="18"/>
      <c r="G15" s="17"/>
    </row>
    <row r="16" spans="1:66">
      <c r="D16" s="18"/>
      <c r="E16" s="18"/>
      <c r="F16" s="18" t="s">
        <v>169</v>
      </c>
      <c r="G16" s="17" t="s">
        <v>7</v>
      </c>
      <c r="AA16" s="12">
        <f>cFactors!AA45</f>
        <v>1</v>
      </c>
      <c r="AB16" s="12">
        <f>cFactors!AB45</f>
        <v>0.98716683119447202</v>
      </c>
      <c r="AC16" s="12">
        <f>cFactors!AC45</f>
        <v>0.97066551739869433</v>
      </c>
      <c r="AD16" s="12">
        <f>cFactors!AD45</f>
        <v>0.95256674916456763</v>
      </c>
      <c r="AE16" s="12">
        <f>cFactors!AE45</f>
        <v>0.93480544569633728</v>
      </c>
      <c r="AF16" s="12">
        <f>cFactors!AF45</f>
        <v>0.91647592715327186</v>
      </c>
      <c r="AG16" s="12">
        <f>cFactors!AG45</f>
        <v>0.89850581093458026</v>
      </c>
      <c r="AH16" s="12">
        <f>cFactors!AH45</f>
        <v>0.880888049935863</v>
      </c>
      <c r="AI16" s="12">
        <f>cFactors!AI45</f>
        <v>0.86361573523123825</v>
      </c>
      <c r="AJ16" s="12">
        <f>cFactors!AJ45</f>
        <v>0.84668209336395905</v>
      </c>
      <c r="AK16" s="12">
        <f>cFactors!AK45</f>
        <v>0.83008048369015597</v>
      </c>
      <c r="AL16" s="12">
        <f>cFactors!AL45</f>
        <v>0.81380439577466268</v>
      </c>
      <c r="AM16" s="12">
        <f>cFactors!AM45</f>
        <v>0.79784744683790454</v>
      </c>
      <c r="AN16" s="12">
        <f>cFactors!AN45</f>
        <v>0.78220337925284755</v>
      </c>
      <c r="AO16" s="12">
        <f>cFactors!AO45</f>
        <v>0.76686605809102704</v>
      </c>
      <c r="AP16" s="12">
        <f>cFactors!AP45</f>
        <v>0.75182946871669321</v>
      </c>
      <c r="AQ16" s="12">
        <f>cFactors!AQ45</f>
        <v>0.73708771442813059</v>
      </c>
      <c r="AR16" s="12">
        <f>cFactors!AR45</f>
        <v>0.72263501414522602</v>
      </c>
      <c r="AS16" s="12">
        <f>cFactors!AS45</f>
        <v>0.70846570014237842</v>
      </c>
      <c r="AT16" s="12">
        <f>cFactors!AT45</f>
        <v>0.69457421582586121</v>
      </c>
      <c r="AU16" s="12">
        <f>cFactors!AU45</f>
        <v>0.6809551135547659</v>
      </c>
      <c r="AV16" s="12">
        <f>cFactors!AV45</f>
        <v>0.66760305250467245</v>
      </c>
      <c r="AW16" s="12">
        <f>cFactors!AW45</f>
        <v>0.65451279657320827</v>
      </c>
      <c r="AX16" s="12">
        <f>cFactors!AX45</f>
        <v>0.6416792123266748</v>
      </c>
      <c r="AY16" s="12">
        <f>cFactors!AY45</f>
        <v>0.62909726698693602</v>
      </c>
      <c r="AZ16" s="12">
        <f>cFactors!AZ45</f>
        <v>0.61676202645778044</v>
      </c>
      <c r="BA16" s="12">
        <f>cFactors!BA45</f>
        <v>0.60466865338998077</v>
      </c>
      <c r="BB16" s="12">
        <f>cFactors!BB45</f>
        <v>0.59281240528429491</v>
      </c>
      <c r="BC16" s="12">
        <f>cFactors!BC45</f>
        <v>0.58118863263166165</v>
      </c>
      <c r="BD16" s="12">
        <f>cFactors!BD45</f>
        <v>0.56979277708986431</v>
      </c>
      <c r="BE16" s="12">
        <f>cFactors!BE45</f>
        <v>0.55862036969594542</v>
      </c>
      <c r="BG16" s="39"/>
      <c r="BH16" s="39"/>
      <c r="BI16" s="39"/>
      <c r="BJ16" s="39"/>
      <c r="BK16" s="39"/>
      <c r="BL16" s="39"/>
      <c r="BM16" s="39"/>
    </row>
    <row r="17" spans="1:66">
      <c r="D17" s="18"/>
      <c r="E17" s="18"/>
      <c r="F17" s="18" t="s">
        <v>170</v>
      </c>
      <c r="G17" s="17" t="s">
        <v>7</v>
      </c>
      <c r="AA17" s="12">
        <f>cFactors!AA46</f>
        <v>1</v>
      </c>
      <c r="AB17" s="12">
        <f>cFactors!AB46</f>
        <v>0.96618357487922713</v>
      </c>
      <c r="AC17" s="12">
        <f>cFactors!AC46</f>
        <v>0.93351070036640305</v>
      </c>
      <c r="AD17" s="12">
        <f>cFactors!AD46</f>
        <v>0.90194270566802237</v>
      </c>
      <c r="AE17" s="12">
        <f>cFactors!AE46</f>
        <v>0.87144222769857238</v>
      </c>
      <c r="AF17" s="12">
        <f>cFactors!AF46</f>
        <v>0.84197316685852408</v>
      </c>
      <c r="AG17" s="12">
        <f>cFactors!AG46</f>
        <v>0.81350064430775282</v>
      </c>
      <c r="AH17" s="12">
        <f>cFactors!AH46</f>
        <v>0.78599096068381924</v>
      </c>
      <c r="AI17" s="12">
        <f>cFactors!AI46</f>
        <v>0.75941155621625056</v>
      </c>
      <c r="AJ17" s="12">
        <f>cFactors!AJ46</f>
        <v>0.73373097218961414</v>
      </c>
      <c r="AK17" s="12">
        <f>cFactors!AK46</f>
        <v>0.70891881370977217</v>
      </c>
      <c r="AL17" s="12">
        <f>cFactors!AL46</f>
        <v>0.68494571372924851</v>
      </c>
      <c r="AM17" s="12">
        <f>cFactors!AM46</f>
        <v>0.66178329828912907</v>
      </c>
      <c r="AN17" s="12">
        <f>cFactors!AN46</f>
        <v>0.63940415293635666</v>
      </c>
      <c r="AO17" s="12">
        <f>cFactors!AO46</f>
        <v>0.61778179027667313</v>
      </c>
      <c r="AP17" s="12">
        <f>cFactors!AP46</f>
        <v>0.59689061862480497</v>
      </c>
      <c r="AQ17" s="12">
        <f>cFactors!AQ46</f>
        <v>0.57670591171478747</v>
      </c>
      <c r="AR17" s="12">
        <f>cFactors!AR46</f>
        <v>0.55720377943457733</v>
      </c>
      <c r="AS17" s="12">
        <f>cFactors!AS46</f>
        <v>0.53836113955031628</v>
      </c>
      <c r="AT17" s="12">
        <f>cFactors!AT46</f>
        <v>0.520155690386779</v>
      </c>
      <c r="AU17" s="12">
        <f>cFactors!AU46</f>
        <v>0.50256588443167061</v>
      </c>
      <c r="AV17" s="12">
        <f>cFactors!AV46</f>
        <v>0.48557090283253201</v>
      </c>
      <c r="AW17" s="12">
        <f>cFactors!AW46</f>
        <v>0.46915063075606961</v>
      </c>
      <c r="AX17" s="12">
        <f>cFactors!AX46</f>
        <v>0.45328563358074364</v>
      </c>
      <c r="AY17" s="12">
        <f>cFactors!AY46</f>
        <v>0.43795713389443836</v>
      </c>
      <c r="AZ17" s="12">
        <f>cFactors!AZ46</f>
        <v>0.42314698926998878</v>
      </c>
      <c r="BA17" s="12">
        <f>cFactors!BA46</f>
        <v>0.40883767079225974</v>
      </c>
      <c r="BB17" s="12">
        <f>cFactors!BB46</f>
        <v>0.39501224231136212</v>
      </c>
      <c r="BC17" s="12">
        <f>cFactors!BC46</f>
        <v>0.38165434039745133</v>
      </c>
      <c r="BD17" s="12">
        <f>cFactors!BD46</f>
        <v>0.36874815497338298</v>
      </c>
      <c r="BE17" s="12">
        <f>cFactors!BE46</f>
        <v>0.35800791744988636</v>
      </c>
      <c r="BG17" s="39"/>
      <c r="BH17" s="39"/>
      <c r="BI17" s="39"/>
      <c r="BJ17" s="39"/>
      <c r="BK17" s="39"/>
      <c r="BL17" s="39"/>
      <c r="BM17" s="39"/>
    </row>
    <row r="18" spans="1:66">
      <c r="D18" s="18"/>
      <c r="E18" s="18"/>
      <c r="F18" s="18"/>
      <c r="G18" s="17"/>
    </row>
    <row r="19" spans="1:66" ht="16">
      <c r="A19" s="24"/>
      <c r="B19" s="24"/>
      <c r="C19" s="24"/>
      <c r="D19" s="24">
        <v>2</v>
      </c>
      <c r="E19" s="24" t="s">
        <v>279</v>
      </c>
      <c r="F19" s="24"/>
      <c r="G19" s="24"/>
      <c r="H19" s="24"/>
      <c r="I19" s="24"/>
      <c r="J19" s="24"/>
      <c r="K19" s="24"/>
      <c r="L19" s="24"/>
      <c r="M19" s="24"/>
      <c r="N19" s="24"/>
      <c r="O19" s="24"/>
      <c r="P19" s="24"/>
      <c r="Q19" s="24"/>
      <c r="R19" s="24"/>
      <c r="S19" s="24"/>
      <c r="T19" s="24"/>
      <c r="U19" s="24"/>
      <c r="V19" s="24"/>
      <c r="W19" s="24"/>
      <c r="X19" s="24"/>
      <c r="Y19" s="24"/>
      <c r="Z19" s="24"/>
      <c r="AA19" s="24"/>
      <c r="AB19" s="24"/>
      <c r="AC19" s="24"/>
      <c r="AD19" s="24"/>
      <c r="AE19" s="24"/>
      <c r="AF19" s="24"/>
      <c r="AG19" s="24"/>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4"/>
      <c r="BF19" s="24"/>
      <c r="BG19" s="24"/>
      <c r="BH19" s="24"/>
      <c r="BI19" s="24"/>
      <c r="BJ19" s="24"/>
      <c r="BK19" s="24"/>
      <c r="BL19" s="24"/>
      <c r="BM19" s="24"/>
      <c r="BN19" s="24"/>
    </row>
    <row r="20" spans="1:66">
      <c r="F20" s="18"/>
      <c r="G20" s="17"/>
    </row>
    <row r="21" spans="1:66" ht="14" thickBot="1">
      <c r="A21" s="25"/>
      <c r="B21" s="25"/>
      <c r="C21" s="25"/>
      <c r="D21" s="25"/>
      <c r="E21" s="25" t="s">
        <v>388</v>
      </c>
      <c r="F21" s="25" t="s">
        <v>250</v>
      </c>
      <c r="G21" s="25"/>
      <c r="H21" s="25"/>
      <c r="I21" s="25"/>
      <c r="J21" s="25"/>
      <c r="K21" s="25"/>
      <c r="L21" s="25"/>
      <c r="M21" s="25"/>
      <c r="N21" s="25"/>
      <c r="O21" s="25"/>
      <c r="P21" s="25"/>
      <c r="Q21" s="25"/>
      <c r="R21" s="25"/>
      <c r="S21" s="25"/>
      <c r="T21" s="25"/>
      <c r="U21" s="25"/>
      <c r="V21" s="25"/>
      <c r="W21" s="25"/>
      <c r="X21" s="25"/>
      <c r="Y21" s="25"/>
      <c r="Z21" s="25"/>
      <c r="AA21" s="25"/>
      <c r="AB21" s="25"/>
      <c r="AC21" s="25"/>
      <c r="AD21" s="25"/>
      <c r="AE21" s="25"/>
      <c r="AF21" s="25"/>
      <c r="AG21" s="25"/>
      <c r="AH21" s="25"/>
      <c r="AI21" s="25"/>
      <c r="AJ21" s="25"/>
      <c r="AK21" s="25"/>
      <c r="AL21" s="25"/>
      <c r="AM21" s="25"/>
      <c r="AN21" s="25"/>
      <c r="AO21" s="25"/>
      <c r="AP21" s="25"/>
      <c r="AQ21" s="25"/>
      <c r="AR21" s="25"/>
      <c r="AS21" s="25"/>
      <c r="AT21" s="25"/>
      <c r="AU21" s="25"/>
      <c r="AV21" s="25"/>
      <c r="AW21" s="25"/>
      <c r="AX21" s="25"/>
      <c r="AY21" s="25"/>
      <c r="AZ21" s="25"/>
      <c r="BA21" s="25"/>
      <c r="BB21" s="25"/>
      <c r="BC21" s="25"/>
      <c r="BD21" s="25"/>
      <c r="BE21" s="25"/>
      <c r="BF21" s="25"/>
      <c r="BG21" s="25"/>
      <c r="BH21" s="25"/>
      <c r="BI21" s="25"/>
      <c r="BJ21" s="25"/>
      <c r="BK21" s="25"/>
      <c r="BL21" s="25"/>
      <c r="BM21" s="25"/>
      <c r="BN21" s="25"/>
    </row>
    <row r="22" spans="1:66">
      <c r="F22" s="18"/>
      <c r="G22" s="17"/>
    </row>
    <row r="23" spans="1:66" ht="13">
      <c r="F23" s="26" t="s">
        <v>278</v>
      </c>
      <c r="G23" s="17"/>
      <c r="I23" s="46" t="s">
        <v>256</v>
      </c>
    </row>
    <row r="24" spans="1:66">
      <c r="F24" s="18"/>
      <c r="G24" s="17"/>
    </row>
    <row r="25" spans="1:66">
      <c r="F25" s="37" t="s">
        <v>252</v>
      </c>
      <c r="G25" s="17" t="str">
        <f t="shared" ref="G25:G30" si="0">cstNominalUnit</f>
        <v>£ Nominal</v>
      </c>
      <c r="I25" s="80">
        <f t="shared" ref="I25:I30" si="1">SUM(AA25:BE25)</f>
        <v>108919988.90321052</v>
      </c>
      <c r="AA25" s="80">
        <f t="shared" ref="AA25:BE25" si="2">SUM(AA26:AA31)</f>
        <v>3045073.0031171548</v>
      </c>
      <c r="AB25" s="80">
        <f t="shared" si="2"/>
        <v>2910738.75</v>
      </c>
      <c r="AC25" s="80">
        <f t="shared" si="2"/>
        <v>2402943.1855648537</v>
      </c>
      <c r="AD25" s="80">
        <f t="shared" si="2"/>
        <v>2464003.1386435665</v>
      </c>
      <c r="AE25" s="80">
        <f t="shared" si="2"/>
        <v>2574911.2799505424</v>
      </c>
      <c r="AF25" s="80">
        <f t="shared" si="2"/>
        <v>2590831.1048783096</v>
      </c>
      <c r="AG25" s="80">
        <f t="shared" si="2"/>
        <v>2814891.6486798846</v>
      </c>
      <c r="AH25" s="80">
        <f t="shared" si="2"/>
        <v>2776976.9639584702</v>
      </c>
      <c r="AI25" s="80">
        <f t="shared" si="2"/>
        <v>2793455.5336361132</v>
      </c>
      <c r="AJ25" s="80">
        <f t="shared" si="2"/>
        <v>2864469.7034477959</v>
      </c>
      <c r="AK25" s="80">
        <f t="shared" si="2"/>
        <v>2994957.8517065463</v>
      </c>
      <c r="AL25" s="80">
        <f t="shared" si="2"/>
        <v>3195387.4212059551</v>
      </c>
      <c r="AM25" s="80">
        <f t="shared" si="2"/>
        <v>3088562.8377815615</v>
      </c>
      <c r="AN25" s="80">
        <f t="shared" si="2"/>
        <v>3230112.7468674565</v>
      </c>
      <c r="AO25" s="80">
        <f t="shared" si="2"/>
        <v>3247645.4464756772</v>
      </c>
      <c r="AP25" s="80">
        <f t="shared" si="2"/>
        <v>3330242.9153075623</v>
      </c>
      <c r="AQ25" s="80">
        <f t="shared" si="2"/>
        <v>3696424.0987755307</v>
      </c>
      <c r="AR25" s="80">
        <f t="shared" si="2"/>
        <v>3501813.1769409515</v>
      </c>
      <c r="AS25" s="80">
        <f t="shared" si="2"/>
        <v>3590895.2440439588</v>
      </c>
      <c r="AT25" s="80">
        <f t="shared" si="2"/>
        <v>3757487.9804268619</v>
      </c>
      <c r="AU25" s="80">
        <f t="shared" si="2"/>
        <v>3775937.051582966</v>
      </c>
      <c r="AV25" s="80">
        <f t="shared" si="2"/>
        <v>4118503.7433783379</v>
      </c>
      <c r="AW25" s="80">
        <f t="shared" si="2"/>
        <v>4052758.7568085203</v>
      </c>
      <c r="AX25" s="80">
        <f t="shared" si="2"/>
        <v>4071589.809696231</v>
      </c>
      <c r="AY25" s="80">
        <f t="shared" si="2"/>
        <v>4175214.5000939886</v>
      </c>
      <c r="AZ25" s="80">
        <f t="shared" si="2"/>
        <v>4371322.3842407493</v>
      </c>
      <c r="BA25" s="80">
        <f t="shared" si="2"/>
        <v>4676217.01377388</v>
      </c>
      <c r="BB25" s="80">
        <f t="shared" si="2"/>
        <v>4502235.4817097001</v>
      </c>
      <c r="BC25" s="80">
        <f t="shared" si="2"/>
        <v>4715024.5082963761</v>
      </c>
      <c r="BD25" s="80">
        <f t="shared" si="2"/>
        <v>4734405.2354292851</v>
      </c>
      <c r="BE25" s="80">
        <f t="shared" si="2"/>
        <v>4854956.3867917685</v>
      </c>
      <c r="BG25" s="80">
        <f t="shared" ref="BG25:BM35" si="3">SUMIFS($AA25:$BE25,$AA$2:$BE$2,"&gt;="&amp;BG$2,$AA$3:$BE$3,"&lt;="&amp;BG$3)</f>
        <v>3045073.0031171548</v>
      </c>
      <c r="BH25" s="80">
        <f t="shared" si="3"/>
        <v>12943427.459037272</v>
      </c>
      <c r="BI25" s="80">
        <f t="shared" si="3"/>
        <v>14244751.70142881</v>
      </c>
      <c r="BJ25" s="80">
        <f t="shared" si="3"/>
        <v>16091951.367638212</v>
      </c>
      <c r="BK25" s="80">
        <f t="shared" si="3"/>
        <v>18322557.55177027</v>
      </c>
      <c r="BL25" s="80">
        <f t="shared" si="3"/>
        <v>20789389.194217827</v>
      </c>
      <c r="BM25" s="80">
        <f t="shared" si="3"/>
        <v>23482838.626001012</v>
      </c>
    </row>
    <row r="26" spans="1:66" outlineLevel="1">
      <c r="F26" s="18" t="s">
        <v>214</v>
      </c>
      <c r="G26" s="17" t="str">
        <f t="shared" si="0"/>
        <v>£ Nominal</v>
      </c>
      <c r="I26" s="14">
        <f t="shared" si="1"/>
        <v>0</v>
      </c>
      <c r="AA26" s="39"/>
      <c r="AB26" s="39"/>
      <c r="AC26" s="39"/>
      <c r="AD26" s="39"/>
      <c r="AE26" s="39"/>
      <c r="AF26" s="39"/>
      <c r="AG26" s="39"/>
      <c r="AH26" s="39"/>
      <c r="AI26" s="39"/>
      <c r="AJ26" s="39"/>
      <c r="AK26" s="39"/>
      <c r="AL26" s="39"/>
      <c r="AM26" s="39"/>
      <c r="AN26" s="39"/>
      <c r="AO26" s="39"/>
      <c r="AP26" s="39"/>
      <c r="AQ26" s="39"/>
      <c r="AR26" s="39"/>
      <c r="AS26" s="39"/>
      <c r="AT26" s="39"/>
      <c r="AU26" s="39"/>
      <c r="AV26" s="39"/>
      <c r="AW26" s="39"/>
      <c r="AX26" s="39"/>
      <c r="AY26" s="39"/>
      <c r="AZ26" s="39"/>
      <c r="BA26" s="39"/>
      <c r="BB26" s="39"/>
      <c r="BC26" s="39"/>
      <c r="BD26" s="39"/>
      <c r="BE26" s="39"/>
      <c r="BG26" s="14">
        <f t="shared" si="3"/>
        <v>0</v>
      </c>
      <c r="BH26" s="14">
        <f t="shared" si="3"/>
        <v>0</v>
      </c>
      <c r="BI26" s="14">
        <f t="shared" si="3"/>
        <v>0</v>
      </c>
      <c r="BJ26" s="14">
        <f t="shared" si="3"/>
        <v>0</v>
      </c>
      <c r="BK26" s="14">
        <f t="shared" si="3"/>
        <v>0</v>
      </c>
      <c r="BL26" s="14">
        <f t="shared" si="3"/>
        <v>0</v>
      </c>
      <c r="BM26" s="14">
        <f t="shared" si="3"/>
        <v>0</v>
      </c>
    </row>
    <row r="27" spans="1:66" outlineLevel="1">
      <c r="F27" s="18" t="s">
        <v>42</v>
      </c>
      <c r="G27" s="17" t="str">
        <f t="shared" si="0"/>
        <v>£ Nominal</v>
      </c>
      <c r="I27" s="14">
        <f t="shared" si="1"/>
        <v>94472984.710976586</v>
      </c>
      <c r="AA27" s="9">
        <f>cCosts!AA133</f>
        <v>0</v>
      </c>
      <c r="AB27" s="9">
        <f>cCosts!AB133</f>
        <v>2151871.7050209204</v>
      </c>
      <c r="AC27" s="9">
        <f>cCosts!AC133</f>
        <v>2205668.4976464435</v>
      </c>
      <c r="AD27" s="9">
        <f>cCosts!AD133</f>
        <v>2260810.2100876044</v>
      </c>
      <c r="AE27" s="9">
        <f>cCosts!AE133</f>
        <v>2317330.4653397943</v>
      </c>
      <c r="AF27" s="9">
        <f>cCosts!AF133</f>
        <v>2375263.7269732892</v>
      </c>
      <c r="AG27" s="9">
        <f>cCosts!AG133</f>
        <v>2434645.320147621</v>
      </c>
      <c r="AH27" s="9">
        <f>cCosts!AH133</f>
        <v>2495511.4531513113</v>
      </c>
      <c r="AI27" s="9">
        <f>cCosts!AI133</f>
        <v>2557899.2394800941</v>
      </c>
      <c r="AJ27" s="9">
        <f>cCosts!AJ133</f>
        <v>2621846.7204670957</v>
      </c>
      <c r="AK27" s="9">
        <f>cCosts!AK133</f>
        <v>2687392.8884787722</v>
      </c>
      <c r="AL27" s="9">
        <f>cCosts!AL133</f>
        <v>2754577.7106907414</v>
      </c>
      <c r="AM27" s="9">
        <f>cCosts!AM133</f>
        <v>2823442.1534580104</v>
      </c>
      <c r="AN27" s="9">
        <f>cCosts!AN133</f>
        <v>2894028.2072944604</v>
      </c>
      <c r="AO27" s="9">
        <f>cCosts!AO133</f>
        <v>2966378.9124768213</v>
      </c>
      <c r="AP27" s="9">
        <f>cCosts!AP133</f>
        <v>3040538.3852887414</v>
      </c>
      <c r="AQ27" s="9">
        <f>cCosts!AQ133</f>
        <v>3116551.8449209598</v>
      </c>
      <c r="AR27" s="9">
        <f>cCosts!AR133</f>
        <v>3194465.6410439839</v>
      </c>
      <c r="AS27" s="9">
        <f>cCosts!AS133</f>
        <v>3274327.2820700826</v>
      </c>
      <c r="AT27" s="9">
        <f>cCosts!AT133</f>
        <v>3356185.4641218344</v>
      </c>
      <c r="AU27" s="9">
        <f>cCosts!AU133</f>
        <v>3440090.1007248801</v>
      </c>
      <c r="AV27" s="9">
        <f>cCosts!AV133</f>
        <v>3526092.3532430013</v>
      </c>
      <c r="AW27" s="9">
        <f>cCosts!AW133</f>
        <v>3614244.6620740765</v>
      </c>
      <c r="AX27" s="9">
        <f>cCosts!AX133</f>
        <v>3704600.7786259279</v>
      </c>
      <c r="AY27" s="9">
        <f>cCosts!AY133</f>
        <v>3797215.798091576</v>
      </c>
      <c r="AZ27" s="9">
        <f>cCosts!AZ133</f>
        <v>3892146.1930438648</v>
      </c>
      <c r="BA27" s="9">
        <f>cCosts!BA133</f>
        <v>3989449.8478699611</v>
      </c>
      <c r="BB27" s="9">
        <f>cCosts!BB133</f>
        <v>4089186.0940667097</v>
      </c>
      <c r="BC27" s="9">
        <f>cCosts!BC133</f>
        <v>4191415.7464183774</v>
      </c>
      <c r="BD27" s="9">
        <f>cCosts!BD133</f>
        <v>4296201.1400788361</v>
      </c>
      <c r="BE27" s="9">
        <f>cCosts!BE133</f>
        <v>4403606.1685808068</v>
      </c>
      <c r="BG27" s="14">
        <f t="shared" si="3"/>
        <v>0</v>
      </c>
      <c r="BH27" s="14">
        <f t="shared" si="3"/>
        <v>11310944.605068052</v>
      </c>
      <c r="BI27" s="14">
        <f t="shared" si="3"/>
        <v>12797295.621724894</v>
      </c>
      <c r="BJ27" s="14">
        <f t="shared" si="3"/>
        <v>14478965.369208774</v>
      </c>
      <c r="BK27" s="14">
        <f t="shared" si="3"/>
        <v>16381620.332881741</v>
      </c>
      <c r="BL27" s="14">
        <f t="shared" si="3"/>
        <v>18534299.785078447</v>
      </c>
      <c r="BM27" s="14">
        <f t="shared" si="3"/>
        <v>20969858.99701469</v>
      </c>
    </row>
    <row r="28" spans="1:66" outlineLevel="1">
      <c r="F28" s="18" t="s">
        <v>227</v>
      </c>
      <c r="G28" s="17" t="str">
        <f t="shared" si="0"/>
        <v>£ Nominal</v>
      </c>
      <c r="I28" s="14">
        <f t="shared" si="1"/>
        <v>9930143.9513402898</v>
      </c>
      <c r="AA28" s="9">
        <f>cCosts!AA293</f>
        <v>0</v>
      </c>
      <c r="AB28" s="9">
        <f>cCosts!AB293</f>
        <v>727931.16736401664</v>
      </c>
      <c r="AC28" s="9">
        <f>cCosts!AC293</f>
        <v>165410.73397489538</v>
      </c>
      <c r="AD28" s="9">
        <f>cCosts!AD293</f>
        <v>170373.05599414228</v>
      </c>
      <c r="AE28" s="9">
        <f>cCosts!AE293</f>
        <v>223776.34587207329</v>
      </c>
      <c r="AF28" s="9">
        <f>cCosts!AF293</f>
        <v>180748.77510418557</v>
      </c>
      <c r="AG28" s="9">
        <f>cCosts!AG293</f>
        <v>344383.16764740366</v>
      </c>
      <c r="AH28" s="9">
        <f>cCosts!AH293</f>
        <v>244526.45509575302</v>
      </c>
      <c r="AI28" s="9">
        <f>cCosts!AI293</f>
        <v>197509.06677327139</v>
      </c>
      <c r="AJ28" s="9">
        <f>cCosts!AJ293</f>
        <v>203434.33877646955</v>
      </c>
      <c r="AK28" s="9">
        <f>cCosts!AK293</f>
        <v>267200.65969741694</v>
      </c>
      <c r="AL28" s="9">
        <f>cCosts!AL293</f>
        <v>399234.47787894559</v>
      </c>
      <c r="AM28" s="9">
        <f>cCosts!AM293</f>
        <v>222298.19470819522</v>
      </c>
      <c r="AN28" s="9">
        <f>cCosts!AN293</f>
        <v>291977.37526917929</v>
      </c>
      <c r="AO28" s="9">
        <f>cCosts!AO293</f>
        <v>235836.15476592435</v>
      </c>
      <c r="AP28" s="9">
        <f>cCosts!AP293</f>
        <v>242911.2394089021</v>
      </c>
      <c r="AQ28" s="9">
        <f>cCosts!AQ293</f>
        <v>531675.16452635406</v>
      </c>
      <c r="AR28" s="9">
        <f>cCosts!AR293</f>
        <v>257704.53388890426</v>
      </c>
      <c r="AS28" s="9">
        <f>cCosts!AS293</f>
        <v>265435.66990557138</v>
      </c>
      <c r="AT28" s="9">
        <f>cCosts!AT293</f>
        <v>348636.25547467323</v>
      </c>
      <c r="AU28" s="9">
        <f>cCosts!AU293</f>
        <v>281600.70220282074</v>
      </c>
      <c r="AV28" s="9">
        <f>cCosts!AV293</f>
        <v>536537.75402041385</v>
      </c>
      <c r="AW28" s="9">
        <f>cCosts!AW293</f>
        <v>380964.24953607342</v>
      </c>
      <c r="AX28" s="9">
        <f>cCosts!AX293</f>
        <v>307712.6905159817</v>
      </c>
      <c r="AY28" s="9">
        <f>cCosts!AY293</f>
        <v>316944.07123146125</v>
      </c>
      <c r="AZ28" s="9">
        <f>cCosts!AZ293</f>
        <v>416289.92150280491</v>
      </c>
      <c r="BA28" s="9">
        <f>cCosts!BA293</f>
        <v>621994.30811901635</v>
      </c>
      <c r="BB28" s="9">
        <f>cCosts!BB293</f>
        <v>346333.34412454092</v>
      </c>
      <c r="BC28" s="9">
        <f>cCosts!BC293</f>
        <v>454891.23705399554</v>
      </c>
      <c r="BD28" s="9">
        <f>cCosts!BD293</f>
        <v>367425.0447817255</v>
      </c>
      <c r="BE28" s="9">
        <f>cCosts!BE293</f>
        <v>378447.79612517724</v>
      </c>
      <c r="BG28" s="14">
        <f t="shared" si="3"/>
        <v>0</v>
      </c>
      <c r="BH28" s="14">
        <f t="shared" si="3"/>
        <v>1468240.0783093132</v>
      </c>
      <c r="BI28" s="14">
        <f t="shared" si="3"/>
        <v>1257053.6879903148</v>
      </c>
      <c r="BJ28" s="14">
        <f t="shared" si="3"/>
        <v>1392257.4420311467</v>
      </c>
      <c r="BK28" s="14">
        <f t="shared" si="3"/>
        <v>1685052.3259983235</v>
      </c>
      <c r="BL28" s="14">
        <f t="shared" si="3"/>
        <v>1958448.6868067351</v>
      </c>
      <c r="BM28" s="14">
        <f t="shared" si="3"/>
        <v>2169091.7302044556</v>
      </c>
    </row>
    <row r="29" spans="1:66" outlineLevel="1">
      <c r="F29" s="18" t="s">
        <v>121</v>
      </c>
      <c r="G29" s="17" t="str">
        <f t="shared" si="0"/>
        <v>£ Nominal</v>
      </c>
      <c r="I29" s="14">
        <f t="shared" si="1"/>
        <v>0</v>
      </c>
      <c r="AA29" s="39"/>
      <c r="AB29" s="39"/>
      <c r="AC29" s="39"/>
      <c r="AD29" s="39"/>
      <c r="AE29" s="39"/>
      <c r="AF29" s="39"/>
      <c r="AG29" s="39"/>
      <c r="AH29" s="39"/>
      <c r="AI29" s="39"/>
      <c r="AJ29" s="39"/>
      <c r="AK29" s="39"/>
      <c r="AL29" s="39"/>
      <c r="AM29" s="39"/>
      <c r="AN29" s="39"/>
      <c r="AO29" s="39"/>
      <c r="AP29" s="39"/>
      <c r="AQ29" s="39"/>
      <c r="AR29" s="39"/>
      <c r="AS29" s="39"/>
      <c r="AT29" s="39"/>
      <c r="AU29" s="39"/>
      <c r="AV29" s="39"/>
      <c r="AW29" s="39"/>
      <c r="AX29" s="39"/>
      <c r="AY29" s="39"/>
      <c r="AZ29" s="39"/>
      <c r="BA29" s="39"/>
      <c r="BB29" s="39"/>
      <c r="BC29" s="39"/>
      <c r="BD29" s="39"/>
      <c r="BE29" s="39"/>
      <c r="BG29" s="14">
        <f t="shared" si="3"/>
        <v>0</v>
      </c>
      <c r="BH29" s="14">
        <f t="shared" si="3"/>
        <v>0</v>
      </c>
      <c r="BI29" s="14">
        <f t="shared" si="3"/>
        <v>0</v>
      </c>
      <c r="BJ29" s="14">
        <f t="shared" si="3"/>
        <v>0</v>
      </c>
      <c r="BK29" s="14">
        <f t="shared" si="3"/>
        <v>0</v>
      </c>
      <c r="BL29" s="14">
        <f t="shared" si="3"/>
        <v>0</v>
      </c>
      <c r="BM29" s="14">
        <f t="shared" si="3"/>
        <v>0</v>
      </c>
    </row>
    <row r="30" spans="1:66" outlineLevel="1">
      <c r="F30" s="18" t="s">
        <v>245</v>
      </c>
      <c r="G30" s="17" t="str">
        <f t="shared" si="0"/>
        <v>£ Nominal</v>
      </c>
      <c r="I30" s="14">
        <f t="shared" si="1"/>
        <v>4516860.2408936685</v>
      </c>
      <c r="AA30" s="9">
        <f>cCosts!AA480</f>
        <v>3045073.0031171548</v>
      </c>
      <c r="AB30" s="9">
        <f>cCosts!AB480</f>
        <v>30935.87761506276</v>
      </c>
      <c r="AC30" s="9">
        <f>cCosts!AC480</f>
        <v>31863.953943514643</v>
      </c>
      <c r="AD30" s="9">
        <f>cCosts!AD480</f>
        <v>32819.872561820084</v>
      </c>
      <c r="AE30" s="9">
        <f>cCosts!AE480</f>
        <v>33804.468738674688</v>
      </c>
      <c r="AF30" s="9">
        <f>cCosts!AF480</f>
        <v>34818.602800834931</v>
      </c>
      <c r="AG30" s="9">
        <f>cCosts!AG480</f>
        <v>35863.160884859979</v>
      </c>
      <c r="AH30" s="9">
        <f>cCosts!AH480</f>
        <v>36939.055711405781</v>
      </c>
      <c r="AI30" s="9">
        <f>cCosts!AI480</f>
        <v>38047.227382747951</v>
      </c>
      <c r="AJ30" s="9">
        <f>cCosts!AJ480</f>
        <v>39188.644204230397</v>
      </c>
      <c r="AK30" s="9">
        <f>cCosts!AK480</f>
        <v>40364.303530357312</v>
      </c>
      <c r="AL30" s="9">
        <f>cCosts!AL480</f>
        <v>41575.232636268032</v>
      </c>
      <c r="AM30" s="9">
        <f>cCosts!AM480</f>
        <v>42822.489615356069</v>
      </c>
      <c r="AN30" s="9">
        <f>cCosts!AN480</f>
        <v>44107.164303816753</v>
      </c>
      <c r="AO30" s="9">
        <f>cCosts!AO480</f>
        <v>45430.379232931256</v>
      </c>
      <c r="AP30" s="9">
        <f>cCosts!AP480</f>
        <v>46793.290609919204</v>
      </c>
      <c r="AQ30" s="9">
        <f>cCosts!AQ480</f>
        <v>48197.089328216782</v>
      </c>
      <c r="AR30" s="9">
        <f>cCosts!AR480</f>
        <v>49643.002008063282</v>
      </c>
      <c r="AS30" s="9">
        <f>cCosts!AS480</f>
        <v>51132.292068305178</v>
      </c>
      <c r="AT30" s="9">
        <f>cCosts!AT480</f>
        <v>52666.260830354338</v>
      </c>
      <c r="AU30" s="9">
        <f>cCosts!AU480</f>
        <v>54246.248655264979</v>
      </c>
      <c r="AV30" s="9">
        <f>cCosts!AV480</f>
        <v>55873.636114922934</v>
      </c>
      <c r="AW30" s="9">
        <f>cCosts!AW480</f>
        <v>57549.845198370618</v>
      </c>
      <c r="AX30" s="9">
        <f>cCosts!AX480</f>
        <v>59276.340554321738</v>
      </c>
      <c r="AY30" s="9">
        <f>cCosts!AY480</f>
        <v>61054.630770951393</v>
      </c>
      <c r="AZ30" s="9">
        <f>cCosts!AZ480</f>
        <v>62886.269694079936</v>
      </c>
      <c r="BA30" s="9">
        <f>cCosts!BA480</f>
        <v>64772.857784902342</v>
      </c>
      <c r="BB30" s="9">
        <f>cCosts!BB480</f>
        <v>66716.043518449413</v>
      </c>
      <c r="BC30" s="9">
        <f>cCosts!BC480</f>
        <v>68717.524824002889</v>
      </c>
      <c r="BD30" s="9">
        <f>cCosts!BD480</f>
        <v>70779.050568722974</v>
      </c>
      <c r="BE30" s="9">
        <f>cCosts!BE480</f>
        <v>72902.422085784667</v>
      </c>
      <c r="BG30" s="14">
        <f t="shared" si="3"/>
        <v>3045073.0031171548</v>
      </c>
      <c r="BH30" s="14">
        <f t="shared" si="3"/>
        <v>164242.77565990709</v>
      </c>
      <c r="BI30" s="14">
        <f t="shared" si="3"/>
        <v>190402.39171360142</v>
      </c>
      <c r="BJ30" s="14">
        <f t="shared" si="3"/>
        <v>220728.55639829132</v>
      </c>
      <c r="BK30" s="14">
        <f t="shared" si="3"/>
        <v>255884.89289020456</v>
      </c>
      <c r="BL30" s="14">
        <f t="shared" si="3"/>
        <v>296640.7223326466</v>
      </c>
      <c r="BM30" s="14">
        <f t="shared" si="3"/>
        <v>343887.89878186228</v>
      </c>
    </row>
    <row r="31" spans="1:66">
      <c r="F31" s="18"/>
      <c r="G31" s="17"/>
    </row>
    <row r="32" spans="1:66">
      <c r="F32" s="37" t="s">
        <v>253</v>
      </c>
      <c r="G32" s="17" t="str">
        <f t="shared" ref="G32:G37" si="4">cstNominalUnit</f>
        <v>£ Nominal</v>
      </c>
      <c r="I32" s="80">
        <f t="shared" ref="I32:I37" si="5">SUM(AA32:BE32)</f>
        <v>106786022.28538363</v>
      </c>
      <c r="AA32" s="80">
        <f t="shared" ref="AA32:BE32" si="6">SUM(AA33:AA38)</f>
        <v>0</v>
      </c>
      <c r="AB32" s="80">
        <f t="shared" si="6"/>
        <v>2929889.531380753</v>
      </c>
      <c r="AC32" s="80">
        <f t="shared" si="6"/>
        <v>2422668.4903870295</v>
      </c>
      <c r="AD32" s="80">
        <f t="shared" si="6"/>
        <v>2484320.202610408</v>
      </c>
      <c r="AE32" s="80">
        <f t="shared" si="6"/>
        <v>2595837.8558363887</v>
      </c>
      <c r="AF32" s="80">
        <f t="shared" si="6"/>
        <v>2612385.4780407315</v>
      </c>
      <c r="AG32" s="80">
        <f t="shared" si="6"/>
        <v>2837092.6530371788</v>
      </c>
      <c r="AH32" s="80">
        <f t="shared" si="6"/>
        <v>2799843.9984464832</v>
      </c>
      <c r="AI32" s="80">
        <f t="shared" si="6"/>
        <v>2817008.5791587667</v>
      </c>
      <c r="AJ32" s="80">
        <f t="shared" si="6"/>
        <v>2888729.3403361291</v>
      </c>
      <c r="AK32" s="80">
        <f t="shared" si="6"/>
        <v>3019945.2777015292</v>
      </c>
      <c r="AL32" s="80">
        <f t="shared" si="6"/>
        <v>3221124.4699807875</v>
      </c>
      <c r="AM32" s="80">
        <f t="shared" si="6"/>
        <v>3115071.9980196389</v>
      </c>
      <c r="AN32" s="80">
        <f t="shared" si="6"/>
        <v>3257417.1819126764</v>
      </c>
      <c r="AO32" s="80">
        <f t="shared" si="6"/>
        <v>3275769.0145722535</v>
      </c>
      <c r="AP32" s="80">
        <f t="shared" si="6"/>
        <v>3359210.1904470362</v>
      </c>
      <c r="AQ32" s="80">
        <f t="shared" si="6"/>
        <v>3726260.3921691887</v>
      </c>
      <c r="AR32" s="80">
        <f t="shared" si="6"/>
        <v>3532544.5591364191</v>
      </c>
      <c r="AS32" s="80">
        <f t="shared" si="6"/>
        <v>3622548.5677052909</v>
      </c>
      <c r="AT32" s="80">
        <f t="shared" si="6"/>
        <v>3790090.9037980335</v>
      </c>
      <c r="AU32" s="80">
        <f t="shared" si="6"/>
        <v>3809518.0626552729</v>
      </c>
      <c r="AV32" s="80">
        <f t="shared" si="6"/>
        <v>4153092.1847828142</v>
      </c>
      <c r="AW32" s="80">
        <f t="shared" si="6"/>
        <v>4088384.8514551306</v>
      </c>
      <c r="AX32" s="80">
        <f t="shared" si="6"/>
        <v>4108284.6871822397</v>
      </c>
      <c r="AY32" s="80">
        <f t="shared" si="6"/>
        <v>4213010.2239045771</v>
      </c>
      <c r="AZ32" s="80">
        <f t="shared" si="6"/>
        <v>4410251.9797656564</v>
      </c>
      <c r="BA32" s="80">
        <f t="shared" si="6"/>
        <v>4716314.4971645335</v>
      </c>
      <c r="BB32" s="80">
        <f t="shared" si="6"/>
        <v>4543535.8896020735</v>
      </c>
      <c r="BC32" s="80">
        <f t="shared" si="6"/>
        <v>4757563.9284255207</v>
      </c>
      <c r="BD32" s="80">
        <f t="shared" si="6"/>
        <v>4778220.8381623039</v>
      </c>
      <c r="BE32" s="80">
        <f t="shared" si="6"/>
        <v>4900086.4576067785</v>
      </c>
      <c r="BG32" s="80">
        <f t="shared" si="3"/>
        <v>0</v>
      </c>
      <c r="BH32" s="80">
        <f t="shared" si="3"/>
        <v>13045101.558255311</v>
      </c>
      <c r="BI32" s="80">
        <f t="shared" si="3"/>
        <v>14362619.848680086</v>
      </c>
      <c r="BJ32" s="80">
        <f t="shared" si="3"/>
        <v>16228592.854932392</v>
      </c>
      <c r="BK32" s="80">
        <f t="shared" si="3"/>
        <v>18480962.485464204</v>
      </c>
      <c r="BL32" s="80">
        <f t="shared" si="3"/>
        <v>20973023.927090418</v>
      </c>
      <c r="BM32" s="80">
        <f t="shared" si="3"/>
        <v>23695721.61096121</v>
      </c>
    </row>
    <row r="33" spans="1:66" outlineLevel="1">
      <c r="F33" s="18" t="s">
        <v>214</v>
      </c>
      <c r="G33" s="17" t="str">
        <f t="shared" si="4"/>
        <v>£ Nominal</v>
      </c>
      <c r="I33" s="14">
        <f t="shared" si="5"/>
        <v>0</v>
      </c>
      <c r="AA33" s="39"/>
      <c r="AB33" s="39"/>
      <c r="AC33" s="39"/>
      <c r="AD33" s="39"/>
      <c r="AE33" s="39"/>
      <c r="AF33" s="39"/>
      <c r="AG33" s="39"/>
      <c r="AH33" s="39"/>
      <c r="AI33" s="39"/>
      <c r="AJ33" s="39"/>
      <c r="AK33" s="39"/>
      <c r="AL33" s="39"/>
      <c r="AM33" s="39"/>
      <c r="AN33" s="39"/>
      <c r="AO33" s="39"/>
      <c r="AP33" s="39"/>
      <c r="AQ33" s="39"/>
      <c r="AR33" s="39"/>
      <c r="AS33" s="39"/>
      <c r="AT33" s="39"/>
      <c r="AU33" s="39"/>
      <c r="AV33" s="39"/>
      <c r="AW33" s="39"/>
      <c r="AX33" s="39"/>
      <c r="AY33" s="39"/>
      <c r="AZ33" s="39"/>
      <c r="BA33" s="39"/>
      <c r="BB33" s="39"/>
      <c r="BC33" s="39"/>
      <c r="BD33" s="39"/>
      <c r="BE33" s="39"/>
      <c r="BG33" s="14">
        <f t="shared" si="3"/>
        <v>0</v>
      </c>
      <c r="BH33" s="14">
        <f t="shared" si="3"/>
        <v>0</v>
      </c>
      <c r="BI33" s="14">
        <f t="shared" si="3"/>
        <v>0</v>
      </c>
      <c r="BJ33" s="14">
        <f t="shared" si="3"/>
        <v>0</v>
      </c>
      <c r="BK33" s="14">
        <f t="shared" si="3"/>
        <v>0</v>
      </c>
      <c r="BL33" s="14">
        <f t="shared" si="3"/>
        <v>0</v>
      </c>
      <c r="BM33" s="14">
        <f t="shared" si="3"/>
        <v>0</v>
      </c>
    </row>
    <row r="34" spans="1:66" outlineLevel="1">
      <c r="F34" s="18" t="s">
        <v>42</v>
      </c>
      <c r="G34" s="17" t="str">
        <f t="shared" si="4"/>
        <v>£ Nominal</v>
      </c>
      <c r="I34" s="14">
        <f t="shared" si="5"/>
        <v>94472984.710976586</v>
      </c>
      <c r="AA34" s="9">
        <f>cCosts!AA133</f>
        <v>0</v>
      </c>
      <c r="AB34" s="9">
        <f>cCosts!AB133</f>
        <v>2151871.7050209204</v>
      </c>
      <c r="AC34" s="9">
        <f>cCosts!AC133</f>
        <v>2205668.4976464435</v>
      </c>
      <c r="AD34" s="9">
        <f>cCosts!AD133</f>
        <v>2260810.2100876044</v>
      </c>
      <c r="AE34" s="9">
        <f>cCosts!AE133</f>
        <v>2317330.4653397943</v>
      </c>
      <c r="AF34" s="9">
        <f>cCosts!AF133</f>
        <v>2375263.7269732892</v>
      </c>
      <c r="AG34" s="9">
        <f>cCosts!AG133</f>
        <v>2434645.320147621</v>
      </c>
      <c r="AH34" s="9">
        <f>cCosts!AH133</f>
        <v>2495511.4531513113</v>
      </c>
      <c r="AI34" s="9">
        <f>cCosts!AI133</f>
        <v>2557899.2394800941</v>
      </c>
      <c r="AJ34" s="9">
        <f>cCosts!AJ133</f>
        <v>2621846.7204670957</v>
      </c>
      <c r="AK34" s="9">
        <f>cCosts!AK133</f>
        <v>2687392.8884787722</v>
      </c>
      <c r="AL34" s="9">
        <f>cCosts!AL133</f>
        <v>2754577.7106907414</v>
      </c>
      <c r="AM34" s="9">
        <f>cCosts!AM133</f>
        <v>2823442.1534580104</v>
      </c>
      <c r="AN34" s="9">
        <f>cCosts!AN133</f>
        <v>2894028.2072944604</v>
      </c>
      <c r="AO34" s="9">
        <f>cCosts!AO133</f>
        <v>2966378.9124768213</v>
      </c>
      <c r="AP34" s="9">
        <f>cCosts!AP133</f>
        <v>3040538.3852887414</v>
      </c>
      <c r="AQ34" s="9">
        <f>cCosts!AQ133</f>
        <v>3116551.8449209598</v>
      </c>
      <c r="AR34" s="9">
        <f>cCosts!AR133</f>
        <v>3194465.6410439839</v>
      </c>
      <c r="AS34" s="9">
        <f>cCosts!AS133</f>
        <v>3274327.2820700826</v>
      </c>
      <c r="AT34" s="9">
        <f>cCosts!AT133</f>
        <v>3356185.4641218344</v>
      </c>
      <c r="AU34" s="9">
        <f>cCosts!AU133</f>
        <v>3440090.1007248801</v>
      </c>
      <c r="AV34" s="9">
        <f>cCosts!AV133</f>
        <v>3526092.3532430013</v>
      </c>
      <c r="AW34" s="9">
        <f>cCosts!AW133</f>
        <v>3614244.6620740765</v>
      </c>
      <c r="AX34" s="9">
        <f>cCosts!AX133</f>
        <v>3704600.7786259279</v>
      </c>
      <c r="AY34" s="9">
        <f>cCosts!AY133</f>
        <v>3797215.798091576</v>
      </c>
      <c r="AZ34" s="9">
        <f>cCosts!AZ133</f>
        <v>3892146.1930438648</v>
      </c>
      <c r="BA34" s="9">
        <f>cCosts!BA133</f>
        <v>3989449.8478699611</v>
      </c>
      <c r="BB34" s="9">
        <f>cCosts!BB133</f>
        <v>4089186.0940667097</v>
      </c>
      <c r="BC34" s="9">
        <f>cCosts!BC133</f>
        <v>4191415.7464183774</v>
      </c>
      <c r="BD34" s="9">
        <f>cCosts!BD133</f>
        <v>4296201.1400788361</v>
      </c>
      <c r="BE34" s="9">
        <f>cCosts!BE133</f>
        <v>4403606.1685808068</v>
      </c>
      <c r="BG34" s="14">
        <f t="shared" si="3"/>
        <v>0</v>
      </c>
      <c r="BH34" s="14">
        <f t="shared" si="3"/>
        <v>11310944.605068052</v>
      </c>
      <c r="BI34" s="14">
        <f t="shared" si="3"/>
        <v>12797295.621724894</v>
      </c>
      <c r="BJ34" s="14">
        <f t="shared" si="3"/>
        <v>14478965.369208774</v>
      </c>
      <c r="BK34" s="14">
        <f t="shared" si="3"/>
        <v>16381620.332881741</v>
      </c>
      <c r="BL34" s="14">
        <f t="shared" si="3"/>
        <v>18534299.785078447</v>
      </c>
      <c r="BM34" s="14">
        <f t="shared" si="3"/>
        <v>20969858.99701469</v>
      </c>
    </row>
    <row r="35" spans="1:66" outlineLevel="1">
      <c r="F35" s="18" t="s">
        <v>227</v>
      </c>
      <c r="G35" s="17" t="str">
        <f t="shared" si="4"/>
        <v>£ Nominal</v>
      </c>
      <c r="I35" s="14">
        <f t="shared" si="5"/>
        <v>9930143.9513402898</v>
      </c>
      <c r="AA35" s="9">
        <f>cCosts!AA293</f>
        <v>0</v>
      </c>
      <c r="AB35" s="9">
        <f>cCosts!AB293</f>
        <v>727931.16736401664</v>
      </c>
      <c r="AC35" s="9">
        <f>cCosts!AC293</f>
        <v>165410.73397489538</v>
      </c>
      <c r="AD35" s="9">
        <f>cCosts!AD293</f>
        <v>170373.05599414228</v>
      </c>
      <c r="AE35" s="9">
        <f>cCosts!AE293</f>
        <v>223776.34587207329</v>
      </c>
      <c r="AF35" s="9">
        <f>cCosts!AF293</f>
        <v>180748.77510418557</v>
      </c>
      <c r="AG35" s="9">
        <f>cCosts!AG293</f>
        <v>344383.16764740366</v>
      </c>
      <c r="AH35" s="9">
        <f>cCosts!AH293</f>
        <v>244526.45509575302</v>
      </c>
      <c r="AI35" s="9">
        <f>cCosts!AI293</f>
        <v>197509.06677327139</v>
      </c>
      <c r="AJ35" s="9">
        <f>cCosts!AJ293</f>
        <v>203434.33877646955</v>
      </c>
      <c r="AK35" s="9">
        <f>cCosts!AK293</f>
        <v>267200.65969741694</v>
      </c>
      <c r="AL35" s="9">
        <f>cCosts!AL293</f>
        <v>399234.47787894559</v>
      </c>
      <c r="AM35" s="9">
        <f>cCosts!AM293</f>
        <v>222298.19470819522</v>
      </c>
      <c r="AN35" s="9">
        <f>cCosts!AN293</f>
        <v>291977.37526917929</v>
      </c>
      <c r="AO35" s="9">
        <f>cCosts!AO293</f>
        <v>235836.15476592435</v>
      </c>
      <c r="AP35" s="9">
        <f>cCosts!AP293</f>
        <v>242911.2394089021</v>
      </c>
      <c r="AQ35" s="9">
        <f>cCosts!AQ293</f>
        <v>531675.16452635406</v>
      </c>
      <c r="AR35" s="9">
        <f>cCosts!AR293</f>
        <v>257704.53388890426</v>
      </c>
      <c r="AS35" s="9">
        <f>cCosts!AS293</f>
        <v>265435.66990557138</v>
      </c>
      <c r="AT35" s="9">
        <f>cCosts!AT293</f>
        <v>348636.25547467323</v>
      </c>
      <c r="AU35" s="9">
        <f>cCosts!AU293</f>
        <v>281600.70220282074</v>
      </c>
      <c r="AV35" s="9">
        <f>cCosts!AV293</f>
        <v>536537.75402041385</v>
      </c>
      <c r="AW35" s="9">
        <f>cCosts!AW293</f>
        <v>380964.24953607342</v>
      </c>
      <c r="AX35" s="9">
        <f>cCosts!AX293</f>
        <v>307712.6905159817</v>
      </c>
      <c r="AY35" s="9">
        <f>cCosts!AY293</f>
        <v>316944.07123146125</v>
      </c>
      <c r="AZ35" s="9">
        <f>cCosts!AZ293</f>
        <v>416289.92150280491</v>
      </c>
      <c r="BA35" s="9">
        <f>cCosts!BA293</f>
        <v>621994.30811901635</v>
      </c>
      <c r="BB35" s="9">
        <f>cCosts!BB293</f>
        <v>346333.34412454092</v>
      </c>
      <c r="BC35" s="9">
        <f>cCosts!BC293</f>
        <v>454891.23705399554</v>
      </c>
      <c r="BD35" s="9">
        <f>cCosts!BD293</f>
        <v>367425.0447817255</v>
      </c>
      <c r="BE35" s="9">
        <f>cCosts!BE293</f>
        <v>378447.79612517724</v>
      </c>
      <c r="BG35" s="14">
        <f t="shared" si="3"/>
        <v>0</v>
      </c>
      <c r="BH35" s="14">
        <f t="shared" si="3"/>
        <v>1468240.0783093132</v>
      </c>
      <c r="BI35" s="14">
        <f t="shared" si="3"/>
        <v>1257053.6879903148</v>
      </c>
      <c r="BJ35" s="14">
        <f t="shared" si="3"/>
        <v>1392257.4420311467</v>
      </c>
      <c r="BK35" s="14">
        <f t="shared" si="3"/>
        <v>1685052.3259983235</v>
      </c>
      <c r="BL35" s="14">
        <f t="shared" si="3"/>
        <v>1958448.6868067351</v>
      </c>
      <c r="BM35" s="14">
        <f t="shared" si="3"/>
        <v>2169091.7302044556</v>
      </c>
    </row>
    <row r="36" spans="1:66" outlineLevel="1">
      <c r="F36" s="18" t="s">
        <v>121</v>
      </c>
      <c r="G36" s="17" t="str">
        <f t="shared" si="4"/>
        <v>£ Nominal</v>
      </c>
      <c r="I36" s="14">
        <f t="shared" si="5"/>
        <v>2382893.6230667359</v>
      </c>
      <c r="AA36" s="9">
        <f>cCosts!AA313</f>
        <v>0</v>
      </c>
      <c r="AB36" s="9">
        <f>cCosts!AB313</f>
        <v>50086.658995815902</v>
      </c>
      <c r="AC36" s="9">
        <f>cCosts!AC313</f>
        <v>51589.258765690378</v>
      </c>
      <c r="AD36" s="9">
        <f>cCosts!AD313</f>
        <v>53136.936528661092</v>
      </c>
      <c r="AE36" s="9">
        <f>cCosts!AE313</f>
        <v>54731.044624520931</v>
      </c>
      <c r="AF36" s="9">
        <f>cCosts!AF313</f>
        <v>56372.975963256555</v>
      </c>
      <c r="AG36" s="9">
        <f>cCosts!AG313</f>
        <v>58064.165242154253</v>
      </c>
      <c r="AH36" s="9">
        <f>cCosts!AH313</f>
        <v>59806.09019941889</v>
      </c>
      <c r="AI36" s="9">
        <f>cCosts!AI313</f>
        <v>61600.272905401456</v>
      </c>
      <c r="AJ36" s="9">
        <f>cCosts!AJ313</f>
        <v>63448.281092563499</v>
      </c>
      <c r="AK36" s="9">
        <f>cCosts!AK313</f>
        <v>65351.729525340408</v>
      </c>
      <c r="AL36" s="9">
        <f>cCosts!AL313</f>
        <v>67312.281411100616</v>
      </c>
      <c r="AM36" s="9">
        <f>cCosts!AM313</f>
        <v>69331.649853433642</v>
      </c>
      <c r="AN36" s="9">
        <f>cCosts!AN313</f>
        <v>71411.599349036653</v>
      </c>
      <c r="AO36" s="9">
        <f>cCosts!AO313</f>
        <v>73553.947329507762</v>
      </c>
      <c r="AP36" s="9">
        <f>cCosts!AP313</f>
        <v>75760.56574939299</v>
      </c>
      <c r="AQ36" s="9">
        <f>cCosts!AQ313</f>
        <v>78033.38272187479</v>
      </c>
      <c r="AR36" s="9">
        <f>cCosts!AR313</f>
        <v>80374.384203531037</v>
      </c>
      <c r="AS36" s="9">
        <f>cCosts!AS313</f>
        <v>82785.615729636964</v>
      </c>
      <c r="AT36" s="9">
        <f>cCosts!AT313</f>
        <v>85269.184201526077</v>
      </c>
      <c r="AU36" s="9">
        <f>cCosts!AU313</f>
        <v>87827.259727571873</v>
      </c>
      <c r="AV36" s="9">
        <f>cCosts!AV313</f>
        <v>90462.077519399027</v>
      </c>
      <c r="AW36" s="9">
        <f>cCosts!AW313</f>
        <v>93175.939844981011</v>
      </c>
      <c r="AX36" s="9">
        <f>cCosts!AX313</f>
        <v>95971.218040330437</v>
      </c>
      <c r="AY36" s="9">
        <f>cCosts!AY313</f>
        <v>98850.354581540363</v>
      </c>
      <c r="AZ36" s="9">
        <f>cCosts!AZ313</f>
        <v>101815.86521898657</v>
      </c>
      <c r="BA36" s="9">
        <f>cCosts!BA313</f>
        <v>104870.34117555617</v>
      </c>
      <c r="BB36" s="9">
        <f>cCosts!BB313</f>
        <v>108016.45141082286</v>
      </c>
      <c r="BC36" s="9">
        <f>cCosts!BC313</f>
        <v>111256.94495314754</v>
      </c>
      <c r="BD36" s="9">
        <f>cCosts!BD313</f>
        <v>114594.65330174197</v>
      </c>
      <c r="BE36" s="9">
        <f>cCosts!BE313</f>
        <v>118032.49290079423</v>
      </c>
      <c r="BG36" s="14">
        <f t="shared" ref="BG36:BM37" si="7">SUMIFS($AA36:$BE36,$AA$2:$BE$2,"&gt;="&amp;BG$2,$AA$3:$BE$3,"&lt;="&amp;BG$3)</f>
        <v>0</v>
      </c>
      <c r="BH36" s="14">
        <f t="shared" si="7"/>
        <v>265916.87487794482</v>
      </c>
      <c r="BI36" s="14">
        <f t="shared" si="7"/>
        <v>308270.53896487853</v>
      </c>
      <c r="BJ36" s="14">
        <f t="shared" si="7"/>
        <v>357370.04369247158</v>
      </c>
      <c r="BK36" s="14">
        <f t="shared" si="7"/>
        <v>414289.82658414077</v>
      </c>
      <c r="BL36" s="14">
        <f t="shared" si="7"/>
        <v>480275.45520523743</v>
      </c>
      <c r="BM36" s="14">
        <f t="shared" si="7"/>
        <v>556770.88374206284</v>
      </c>
    </row>
    <row r="37" spans="1:66" outlineLevel="1">
      <c r="F37" s="18" t="s">
        <v>245</v>
      </c>
      <c r="G37" s="17" t="str">
        <f t="shared" si="4"/>
        <v>£ Nominal</v>
      </c>
      <c r="I37" s="14">
        <f t="shared" si="5"/>
        <v>0</v>
      </c>
      <c r="AA37" s="39"/>
      <c r="AB37" s="39"/>
      <c r="AC37" s="39"/>
      <c r="AD37" s="39"/>
      <c r="AE37" s="39"/>
      <c r="AF37" s="39"/>
      <c r="AG37" s="39"/>
      <c r="AH37" s="39"/>
      <c r="AI37" s="39"/>
      <c r="AJ37" s="39"/>
      <c r="AK37" s="39"/>
      <c r="AL37" s="39"/>
      <c r="AM37" s="39"/>
      <c r="AN37" s="39"/>
      <c r="AO37" s="39"/>
      <c r="AP37" s="39"/>
      <c r="AQ37" s="39"/>
      <c r="AR37" s="39"/>
      <c r="AS37" s="39"/>
      <c r="AT37" s="39"/>
      <c r="AU37" s="39"/>
      <c r="AV37" s="39"/>
      <c r="AW37" s="39"/>
      <c r="AX37" s="39"/>
      <c r="AY37" s="39"/>
      <c r="AZ37" s="39"/>
      <c r="BA37" s="39"/>
      <c r="BB37" s="39"/>
      <c r="BC37" s="39"/>
      <c r="BD37" s="39"/>
      <c r="BE37" s="39"/>
      <c r="BG37" s="14">
        <f t="shared" si="7"/>
        <v>0</v>
      </c>
      <c r="BH37" s="14">
        <f t="shared" si="7"/>
        <v>0</v>
      </c>
      <c r="BI37" s="14">
        <f t="shared" si="7"/>
        <v>0</v>
      </c>
      <c r="BJ37" s="14">
        <f t="shared" si="7"/>
        <v>0</v>
      </c>
      <c r="BK37" s="14">
        <f t="shared" si="7"/>
        <v>0</v>
      </c>
      <c r="BL37" s="14">
        <f t="shared" si="7"/>
        <v>0</v>
      </c>
      <c r="BM37" s="14">
        <f t="shared" si="7"/>
        <v>0</v>
      </c>
    </row>
    <row r="38" spans="1:66">
      <c r="F38" s="18"/>
      <c r="G38" s="17"/>
    </row>
    <row r="39" spans="1:66">
      <c r="F39" s="37" t="s">
        <v>255</v>
      </c>
      <c r="G39" s="17" t="str">
        <f t="shared" ref="G39:G44" si="8">cstNominalUnit</f>
        <v>£ Nominal</v>
      </c>
      <c r="I39" s="80">
        <f t="shared" ref="I39:I44" si="9">SUM(AA39:BE39)</f>
        <v>132307231.07928161</v>
      </c>
      <c r="AA39" s="80">
        <f>SUM(AA40:AA45)</f>
        <v>0</v>
      </c>
      <c r="AB39" s="80">
        <f t="shared" ref="AB39:BE39" si="10">SUM(AB40:AB45)</f>
        <v>2781000</v>
      </c>
      <c r="AC39" s="80">
        <f t="shared" si="10"/>
        <v>2864430</v>
      </c>
      <c r="AD39" s="80">
        <f t="shared" si="10"/>
        <v>2950362.9</v>
      </c>
      <c r="AE39" s="80">
        <f t="shared" si="10"/>
        <v>3038873.7870000005</v>
      </c>
      <c r="AF39" s="80">
        <f t="shared" si="10"/>
        <v>3130040.00061</v>
      </c>
      <c r="AG39" s="80">
        <f t="shared" si="10"/>
        <v>3223941.2006283002</v>
      </c>
      <c r="AH39" s="80">
        <f t="shared" si="10"/>
        <v>3320659.4366471497</v>
      </c>
      <c r="AI39" s="80">
        <f t="shared" si="10"/>
        <v>3420279.219746564</v>
      </c>
      <c r="AJ39" s="80">
        <f t="shared" si="10"/>
        <v>3522887.5963389613</v>
      </c>
      <c r="AK39" s="80">
        <f t="shared" si="10"/>
        <v>3628574.22422913</v>
      </c>
      <c r="AL39" s="80">
        <f t="shared" si="10"/>
        <v>3737431.4509560042</v>
      </c>
      <c r="AM39" s="80">
        <f t="shared" si="10"/>
        <v>3849554.3944846843</v>
      </c>
      <c r="AN39" s="80">
        <f t="shared" si="10"/>
        <v>3965041.0263192249</v>
      </c>
      <c r="AO39" s="80">
        <f t="shared" si="10"/>
        <v>4083992.257108802</v>
      </c>
      <c r="AP39" s="80">
        <f t="shared" si="10"/>
        <v>4206512.0248220665</v>
      </c>
      <c r="AQ39" s="80">
        <f t="shared" si="10"/>
        <v>4332707.3855667291</v>
      </c>
      <c r="AR39" s="80">
        <f t="shared" si="10"/>
        <v>4462688.6071337303</v>
      </c>
      <c r="AS39" s="80">
        <f t="shared" si="10"/>
        <v>4596569.2653477425</v>
      </c>
      <c r="AT39" s="80">
        <f t="shared" si="10"/>
        <v>4734466.343308175</v>
      </c>
      <c r="AU39" s="80">
        <f t="shared" si="10"/>
        <v>4876500.3336074203</v>
      </c>
      <c r="AV39" s="80">
        <f t="shared" si="10"/>
        <v>5022795.3436156437</v>
      </c>
      <c r="AW39" s="80">
        <f t="shared" si="10"/>
        <v>5173479.203924113</v>
      </c>
      <c r="AX39" s="80">
        <f t="shared" si="10"/>
        <v>5328683.5800418369</v>
      </c>
      <c r="AY39" s="80">
        <f t="shared" si="10"/>
        <v>5488544.0874430919</v>
      </c>
      <c r="AZ39" s="80">
        <f t="shared" si="10"/>
        <v>5653200.4100663848</v>
      </c>
      <c r="BA39" s="80">
        <f t="shared" si="10"/>
        <v>5822796.4223683765</v>
      </c>
      <c r="BB39" s="80">
        <f t="shared" si="10"/>
        <v>5997480.315039428</v>
      </c>
      <c r="BC39" s="80">
        <f t="shared" si="10"/>
        <v>6177404.7244906109</v>
      </c>
      <c r="BD39" s="80">
        <f t="shared" si="10"/>
        <v>6362726.8662253292</v>
      </c>
      <c r="BE39" s="80">
        <f t="shared" si="10"/>
        <v>6553608.6722120894</v>
      </c>
      <c r="BG39" s="80">
        <f t="shared" ref="BG39:BM44" si="11">SUMIFS($AA39:$BE39,$AA$2:$BE$2,"&gt;="&amp;BG$2,$AA$3:$BE$3,"&lt;="&amp;BG$3)</f>
        <v>0</v>
      </c>
      <c r="BH39" s="80">
        <f t="shared" si="11"/>
        <v>14764706.68761</v>
      </c>
      <c r="BI39" s="80">
        <f t="shared" si="11"/>
        <v>17116341.677590106</v>
      </c>
      <c r="BJ39" s="80">
        <f t="shared" si="11"/>
        <v>19842531.153690781</v>
      </c>
      <c r="BK39" s="80">
        <f t="shared" si="11"/>
        <v>23002931.9349638</v>
      </c>
      <c r="BL39" s="80">
        <f t="shared" si="11"/>
        <v>26666702.625091068</v>
      </c>
      <c r="BM39" s="80">
        <f t="shared" si="11"/>
        <v>30914017.000335835</v>
      </c>
    </row>
    <row r="40" spans="1:66" outlineLevel="1">
      <c r="F40" s="18" t="s">
        <v>214</v>
      </c>
      <c r="G40" s="17" t="str">
        <f t="shared" si="8"/>
        <v>£ Nominal</v>
      </c>
      <c r="I40" s="14">
        <f t="shared" si="9"/>
        <v>132307231.07928161</v>
      </c>
      <c r="AA40" s="9">
        <f>cCosts!AA55</f>
        <v>0</v>
      </c>
      <c r="AB40" s="9">
        <f>cCosts!AB55</f>
        <v>2781000</v>
      </c>
      <c r="AC40" s="9">
        <f>cCosts!AC55</f>
        <v>2864430</v>
      </c>
      <c r="AD40" s="9">
        <f>cCosts!AD55</f>
        <v>2950362.9</v>
      </c>
      <c r="AE40" s="9">
        <f>cCosts!AE55</f>
        <v>3038873.7870000005</v>
      </c>
      <c r="AF40" s="9">
        <f>cCosts!AF55</f>
        <v>3130040.00061</v>
      </c>
      <c r="AG40" s="9">
        <f>cCosts!AG55</f>
        <v>3223941.2006283002</v>
      </c>
      <c r="AH40" s="9">
        <f>cCosts!AH55</f>
        <v>3320659.4366471497</v>
      </c>
      <c r="AI40" s="9">
        <f>cCosts!AI55</f>
        <v>3420279.219746564</v>
      </c>
      <c r="AJ40" s="9">
        <f>cCosts!AJ55</f>
        <v>3522887.5963389613</v>
      </c>
      <c r="AK40" s="9">
        <f>cCosts!AK55</f>
        <v>3628574.22422913</v>
      </c>
      <c r="AL40" s="9">
        <f>cCosts!AL55</f>
        <v>3737431.4509560042</v>
      </c>
      <c r="AM40" s="9">
        <f>cCosts!AM55</f>
        <v>3849554.3944846843</v>
      </c>
      <c r="AN40" s="9">
        <f>cCosts!AN55</f>
        <v>3965041.0263192249</v>
      </c>
      <c r="AO40" s="9">
        <f>cCosts!AO55</f>
        <v>4083992.257108802</v>
      </c>
      <c r="AP40" s="9">
        <f>cCosts!AP55</f>
        <v>4206512.0248220665</v>
      </c>
      <c r="AQ40" s="9">
        <f>cCosts!AQ55</f>
        <v>4332707.3855667291</v>
      </c>
      <c r="AR40" s="9">
        <f>cCosts!AR55</f>
        <v>4462688.6071337303</v>
      </c>
      <c r="AS40" s="9">
        <f>cCosts!AS55</f>
        <v>4596569.2653477425</v>
      </c>
      <c r="AT40" s="9">
        <f>cCosts!AT55</f>
        <v>4734466.343308175</v>
      </c>
      <c r="AU40" s="9">
        <f>cCosts!AU55</f>
        <v>4876500.3336074203</v>
      </c>
      <c r="AV40" s="9">
        <f>cCosts!AV55</f>
        <v>5022795.3436156437</v>
      </c>
      <c r="AW40" s="9">
        <f>cCosts!AW55</f>
        <v>5173479.203924113</v>
      </c>
      <c r="AX40" s="9">
        <f>cCosts!AX55</f>
        <v>5328683.5800418369</v>
      </c>
      <c r="AY40" s="9">
        <f>cCosts!AY55</f>
        <v>5488544.0874430919</v>
      </c>
      <c r="AZ40" s="9">
        <f>cCosts!AZ55</f>
        <v>5653200.4100663848</v>
      </c>
      <c r="BA40" s="9">
        <f>cCosts!BA55</f>
        <v>5822796.4223683765</v>
      </c>
      <c r="BB40" s="9">
        <f>cCosts!BB55</f>
        <v>5997480.315039428</v>
      </c>
      <c r="BC40" s="9">
        <f>cCosts!BC55</f>
        <v>6177404.7244906109</v>
      </c>
      <c r="BD40" s="9">
        <f>cCosts!BD55</f>
        <v>6362726.8662253292</v>
      </c>
      <c r="BE40" s="9">
        <f>cCosts!BE55</f>
        <v>6553608.6722120894</v>
      </c>
      <c r="BG40" s="14">
        <f t="shared" si="11"/>
        <v>0</v>
      </c>
      <c r="BH40" s="14">
        <f t="shared" si="11"/>
        <v>14764706.68761</v>
      </c>
      <c r="BI40" s="14">
        <f t="shared" si="11"/>
        <v>17116341.677590106</v>
      </c>
      <c r="BJ40" s="14">
        <f t="shared" si="11"/>
        <v>19842531.153690781</v>
      </c>
      <c r="BK40" s="14">
        <f t="shared" si="11"/>
        <v>23002931.9349638</v>
      </c>
      <c r="BL40" s="14">
        <f t="shared" si="11"/>
        <v>26666702.625091068</v>
      </c>
      <c r="BM40" s="14">
        <f t="shared" si="11"/>
        <v>30914017.000335835</v>
      </c>
    </row>
    <row r="41" spans="1:66" outlineLevel="1">
      <c r="F41" s="18" t="s">
        <v>42</v>
      </c>
      <c r="G41" s="17" t="str">
        <f t="shared" si="8"/>
        <v>£ Nominal</v>
      </c>
      <c r="I41" s="14">
        <f t="shared" si="9"/>
        <v>0</v>
      </c>
      <c r="AA41" s="39"/>
      <c r="AB41" s="39"/>
      <c r="AC41" s="39"/>
      <c r="AD41" s="39"/>
      <c r="AE41" s="39"/>
      <c r="AF41" s="39"/>
      <c r="AG41" s="39"/>
      <c r="AH41" s="39"/>
      <c r="AI41" s="39"/>
      <c r="AJ41" s="39"/>
      <c r="AK41" s="39"/>
      <c r="AL41" s="39"/>
      <c r="AM41" s="39"/>
      <c r="AN41" s="39"/>
      <c r="AO41" s="39"/>
      <c r="AP41" s="39"/>
      <c r="AQ41" s="39"/>
      <c r="AR41" s="39"/>
      <c r="AS41" s="39"/>
      <c r="AT41" s="39"/>
      <c r="AU41" s="39"/>
      <c r="AV41" s="39"/>
      <c r="AW41" s="39"/>
      <c r="AX41" s="39"/>
      <c r="AY41" s="39"/>
      <c r="AZ41" s="39"/>
      <c r="BA41" s="39"/>
      <c r="BB41" s="39"/>
      <c r="BC41" s="39"/>
      <c r="BD41" s="39"/>
      <c r="BE41" s="39"/>
      <c r="BG41" s="14">
        <f t="shared" si="11"/>
        <v>0</v>
      </c>
      <c r="BH41" s="14">
        <f t="shared" si="11"/>
        <v>0</v>
      </c>
      <c r="BI41" s="14">
        <f t="shared" si="11"/>
        <v>0</v>
      </c>
      <c r="BJ41" s="14">
        <f t="shared" si="11"/>
        <v>0</v>
      </c>
      <c r="BK41" s="14">
        <f t="shared" si="11"/>
        <v>0</v>
      </c>
      <c r="BL41" s="14">
        <f t="shared" si="11"/>
        <v>0</v>
      </c>
      <c r="BM41" s="14">
        <f t="shared" si="11"/>
        <v>0</v>
      </c>
    </row>
    <row r="42" spans="1:66" outlineLevel="1">
      <c r="F42" s="18" t="s">
        <v>227</v>
      </c>
      <c r="G42" s="17" t="str">
        <f t="shared" si="8"/>
        <v>£ Nominal</v>
      </c>
      <c r="I42" s="14">
        <f t="shared" si="9"/>
        <v>0</v>
      </c>
      <c r="AA42" s="39"/>
      <c r="AB42" s="39"/>
      <c r="AC42" s="39"/>
      <c r="AD42" s="39"/>
      <c r="AE42" s="39"/>
      <c r="AF42" s="39"/>
      <c r="AG42" s="39"/>
      <c r="AH42" s="39"/>
      <c r="AI42" s="39"/>
      <c r="AJ42" s="39"/>
      <c r="AK42" s="39"/>
      <c r="AL42" s="39"/>
      <c r="AM42" s="39"/>
      <c r="AN42" s="39"/>
      <c r="AO42" s="39"/>
      <c r="AP42" s="39"/>
      <c r="AQ42" s="39"/>
      <c r="AR42" s="39"/>
      <c r="AS42" s="39"/>
      <c r="AT42" s="39"/>
      <c r="AU42" s="39"/>
      <c r="AV42" s="39"/>
      <c r="AW42" s="39"/>
      <c r="AX42" s="39"/>
      <c r="AY42" s="39"/>
      <c r="AZ42" s="39"/>
      <c r="BA42" s="39"/>
      <c r="BB42" s="39"/>
      <c r="BC42" s="39"/>
      <c r="BD42" s="39"/>
      <c r="BE42" s="39"/>
      <c r="BG42" s="14">
        <f t="shared" si="11"/>
        <v>0</v>
      </c>
      <c r="BH42" s="14">
        <f t="shared" si="11"/>
        <v>0</v>
      </c>
      <c r="BI42" s="14">
        <f t="shared" si="11"/>
        <v>0</v>
      </c>
      <c r="BJ42" s="14">
        <f t="shared" si="11"/>
        <v>0</v>
      </c>
      <c r="BK42" s="14">
        <f t="shared" si="11"/>
        <v>0</v>
      </c>
      <c r="BL42" s="14">
        <f t="shared" si="11"/>
        <v>0</v>
      </c>
      <c r="BM42" s="14">
        <f t="shared" si="11"/>
        <v>0</v>
      </c>
    </row>
    <row r="43" spans="1:66" outlineLevel="1">
      <c r="F43" s="18" t="s">
        <v>121</v>
      </c>
      <c r="G43" s="17" t="str">
        <f t="shared" si="8"/>
        <v>£ Nominal</v>
      </c>
      <c r="I43" s="14">
        <f t="shared" si="9"/>
        <v>0</v>
      </c>
      <c r="AA43" s="39"/>
      <c r="AB43" s="39"/>
      <c r="AC43" s="39"/>
      <c r="AD43" s="39"/>
      <c r="AE43" s="39"/>
      <c r="AF43" s="39"/>
      <c r="AG43" s="39"/>
      <c r="AH43" s="39"/>
      <c r="AI43" s="39"/>
      <c r="AJ43" s="39"/>
      <c r="AK43" s="39"/>
      <c r="AL43" s="39"/>
      <c r="AM43" s="39"/>
      <c r="AN43" s="39"/>
      <c r="AO43" s="39"/>
      <c r="AP43" s="39"/>
      <c r="AQ43" s="39"/>
      <c r="AR43" s="39"/>
      <c r="AS43" s="39"/>
      <c r="AT43" s="39"/>
      <c r="AU43" s="39"/>
      <c r="AV43" s="39"/>
      <c r="AW43" s="39"/>
      <c r="AX43" s="39"/>
      <c r="AY43" s="39"/>
      <c r="AZ43" s="39"/>
      <c r="BA43" s="39"/>
      <c r="BB43" s="39"/>
      <c r="BC43" s="39"/>
      <c r="BD43" s="39"/>
      <c r="BE43" s="39"/>
      <c r="BG43" s="14">
        <f t="shared" si="11"/>
        <v>0</v>
      </c>
      <c r="BH43" s="14">
        <f t="shared" si="11"/>
        <v>0</v>
      </c>
      <c r="BI43" s="14">
        <f t="shared" si="11"/>
        <v>0</v>
      </c>
      <c r="BJ43" s="14">
        <f t="shared" si="11"/>
        <v>0</v>
      </c>
      <c r="BK43" s="14">
        <f t="shared" si="11"/>
        <v>0</v>
      </c>
      <c r="BL43" s="14">
        <f t="shared" si="11"/>
        <v>0</v>
      </c>
      <c r="BM43" s="14">
        <f t="shared" si="11"/>
        <v>0</v>
      </c>
    </row>
    <row r="44" spans="1:66" outlineLevel="1">
      <c r="F44" s="18" t="s">
        <v>245</v>
      </c>
      <c r="G44" s="17" t="str">
        <f t="shared" si="8"/>
        <v>£ Nominal</v>
      </c>
      <c r="I44" s="14">
        <f t="shared" si="9"/>
        <v>0</v>
      </c>
      <c r="AA44" s="39"/>
      <c r="AB44" s="39"/>
      <c r="AC44" s="39"/>
      <c r="AD44" s="39"/>
      <c r="AE44" s="39"/>
      <c r="AF44" s="39"/>
      <c r="AG44" s="39"/>
      <c r="AH44" s="39"/>
      <c r="AI44" s="39"/>
      <c r="AJ44" s="39"/>
      <c r="AK44" s="39"/>
      <c r="AL44" s="39"/>
      <c r="AM44" s="39"/>
      <c r="AN44" s="39"/>
      <c r="AO44" s="39"/>
      <c r="AP44" s="39"/>
      <c r="AQ44" s="39"/>
      <c r="AR44" s="39"/>
      <c r="AS44" s="39"/>
      <c r="AT44" s="39"/>
      <c r="AU44" s="39"/>
      <c r="AV44" s="39"/>
      <c r="AW44" s="39"/>
      <c r="AX44" s="39"/>
      <c r="AY44" s="39"/>
      <c r="AZ44" s="39"/>
      <c r="BA44" s="39"/>
      <c r="BB44" s="39"/>
      <c r="BC44" s="39"/>
      <c r="BD44" s="39"/>
      <c r="BE44" s="39"/>
      <c r="BG44" s="14">
        <f t="shared" si="11"/>
        <v>0</v>
      </c>
      <c r="BH44" s="14">
        <f t="shared" si="11"/>
        <v>0</v>
      </c>
      <c r="BI44" s="14">
        <f t="shared" si="11"/>
        <v>0</v>
      </c>
      <c r="BJ44" s="14">
        <f t="shared" si="11"/>
        <v>0</v>
      </c>
      <c r="BK44" s="14">
        <f t="shared" si="11"/>
        <v>0</v>
      </c>
      <c r="BL44" s="14">
        <f t="shared" si="11"/>
        <v>0</v>
      </c>
      <c r="BM44" s="14">
        <f t="shared" si="11"/>
        <v>0</v>
      </c>
    </row>
    <row r="45" spans="1:66">
      <c r="F45" s="18"/>
      <c r="G45" s="17"/>
    </row>
    <row r="46" spans="1:66" ht="14" thickBot="1">
      <c r="A46" s="25"/>
      <c r="B46" s="25"/>
      <c r="C46" s="25"/>
      <c r="D46" s="25"/>
      <c r="E46" s="25" t="s">
        <v>389</v>
      </c>
      <c r="F46" s="25" t="s">
        <v>254</v>
      </c>
      <c r="G46" s="25"/>
      <c r="H46" s="25"/>
      <c r="I46" s="25"/>
      <c r="J46" s="25"/>
      <c r="K46" s="25"/>
      <c r="L46" s="25"/>
      <c r="M46" s="25"/>
      <c r="N46" s="25"/>
      <c r="O46" s="25"/>
      <c r="P46" s="25"/>
      <c r="Q46" s="25"/>
      <c r="R46" s="25"/>
      <c r="S46" s="25"/>
      <c r="T46" s="25"/>
      <c r="U46" s="25"/>
      <c r="V46" s="25"/>
      <c r="W46" s="25"/>
      <c r="X46" s="25"/>
      <c r="Y46" s="25"/>
      <c r="Z46" s="25"/>
      <c r="AA46" s="25"/>
      <c r="AB46" s="25"/>
      <c r="AC46" s="25"/>
      <c r="AD46" s="25"/>
      <c r="AE46" s="25"/>
      <c r="AF46" s="25"/>
      <c r="AG46" s="25"/>
      <c r="AH46" s="25"/>
      <c r="AI46" s="25"/>
      <c r="AJ46" s="25"/>
      <c r="AK46" s="25"/>
      <c r="AL46" s="25"/>
      <c r="AM46" s="25"/>
      <c r="AN46" s="25"/>
      <c r="AO46" s="25"/>
      <c r="AP46" s="25"/>
      <c r="AQ46" s="25"/>
      <c r="AR46" s="25"/>
      <c r="AS46" s="25"/>
      <c r="AT46" s="25"/>
      <c r="AU46" s="25"/>
      <c r="AV46" s="25"/>
      <c r="AW46" s="25"/>
      <c r="AX46" s="25"/>
      <c r="AY46" s="25"/>
      <c r="AZ46" s="25"/>
      <c r="BA46" s="25"/>
      <c r="BB46" s="25"/>
      <c r="BC46" s="25"/>
      <c r="BD46" s="25"/>
      <c r="BE46" s="25"/>
      <c r="BF46" s="25"/>
      <c r="BG46" s="25"/>
      <c r="BH46" s="25"/>
      <c r="BI46" s="25"/>
      <c r="BJ46" s="25"/>
      <c r="BK46" s="25"/>
      <c r="BL46" s="25"/>
      <c r="BM46" s="25"/>
      <c r="BN46" s="25"/>
    </row>
    <row r="47" spans="1:66">
      <c r="F47" s="18"/>
      <c r="G47" s="17"/>
    </row>
    <row r="48" spans="1:66" ht="13">
      <c r="F48" s="26" t="s">
        <v>251</v>
      </c>
      <c r="G48" s="17"/>
    </row>
    <row r="49" spans="6:65">
      <c r="F49" s="18"/>
      <c r="G49" s="17"/>
    </row>
    <row r="50" spans="6:65">
      <c r="F50" s="37" t="s">
        <v>252</v>
      </c>
      <c r="G50" s="17" t="str">
        <f t="shared" ref="G50:G55" si="12">cstNominalUnit</f>
        <v>£ Nominal</v>
      </c>
      <c r="AA50" s="80">
        <f t="shared" ref="AA50:BE50" si="13">SUM(AA51:AA56)</f>
        <v>3045073.0031171548</v>
      </c>
      <c r="AB50" s="80">
        <f t="shared" si="13"/>
        <v>5955811.7531171553</v>
      </c>
      <c r="AC50" s="80">
        <f t="shared" si="13"/>
        <v>8358754.9386820085</v>
      </c>
      <c r="AD50" s="80">
        <f t="shared" si="13"/>
        <v>10822758.077325575</v>
      </c>
      <c r="AE50" s="80">
        <f t="shared" si="13"/>
        <v>13397669.357276117</v>
      </c>
      <c r="AF50" s="80">
        <f t="shared" si="13"/>
        <v>15988500.462154428</v>
      </c>
      <c r="AG50" s="80">
        <f t="shared" si="13"/>
        <v>18803392.110834312</v>
      </c>
      <c r="AH50" s="80">
        <f t="shared" si="13"/>
        <v>21580369.07479278</v>
      </c>
      <c r="AI50" s="80">
        <f t="shared" si="13"/>
        <v>24373824.608428895</v>
      </c>
      <c r="AJ50" s="80">
        <f t="shared" si="13"/>
        <v>27238294.311876688</v>
      </c>
      <c r="AK50" s="80">
        <f t="shared" si="13"/>
        <v>30233252.163583234</v>
      </c>
      <c r="AL50" s="80">
        <f t="shared" si="13"/>
        <v>33428639.58478919</v>
      </c>
      <c r="AM50" s="80">
        <f t="shared" si="13"/>
        <v>36517202.42257075</v>
      </c>
      <c r="AN50" s="80">
        <f t="shared" si="13"/>
        <v>39747315.169438206</v>
      </c>
      <c r="AO50" s="80">
        <f t="shared" si="13"/>
        <v>42994960.615913883</v>
      </c>
      <c r="AP50" s="80">
        <f t="shared" si="13"/>
        <v>46325203.531221442</v>
      </c>
      <c r="AQ50" s="80">
        <f t="shared" si="13"/>
        <v>50021627.62999697</v>
      </c>
      <c r="AR50" s="80">
        <f t="shared" si="13"/>
        <v>53523440.806937926</v>
      </c>
      <c r="AS50" s="80">
        <f t="shared" si="13"/>
        <v>57114336.050981887</v>
      </c>
      <c r="AT50" s="80">
        <f t="shared" si="13"/>
        <v>60871824.03140875</v>
      </c>
      <c r="AU50" s="80">
        <f t="shared" si="13"/>
        <v>64647761.082991727</v>
      </c>
      <c r="AV50" s="80">
        <f t="shared" si="13"/>
        <v>68766264.82637006</v>
      </c>
      <c r="AW50" s="80">
        <f t="shared" si="13"/>
        <v>72819023.58317858</v>
      </c>
      <c r="AX50" s="80">
        <f t="shared" si="13"/>
        <v>76890613.392874807</v>
      </c>
      <c r="AY50" s="80">
        <f t="shared" si="13"/>
        <v>81065827.892968789</v>
      </c>
      <c r="AZ50" s="80">
        <f t="shared" si="13"/>
        <v>85437150.27720955</v>
      </c>
      <c r="BA50" s="80">
        <f t="shared" si="13"/>
        <v>90113367.290983424</v>
      </c>
      <c r="BB50" s="80">
        <f t="shared" si="13"/>
        <v>94615602.772693127</v>
      </c>
      <c r="BC50" s="80">
        <f t="shared" si="13"/>
        <v>99330627.280989483</v>
      </c>
      <c r="BD50" s="80">
        <f t="shared" si="13"/>
        <v>104065032.51641878</v>
      </c>
      <c r="BE50" s="80">
        <f t="shared" si="13"/>
        <v>108919988.90321054</v>
      </c>
      <c r="BG50" s="80">
        <f t="shared" ref="BG50:BG55" si="14">SUMIFS($AA50:$BE50,$AA$3:$BE$3,BG$3)</f>
        <v>3045073.0031171548</v>
      </c>
      <c r="BH50" s="80">
        <f t="shared" ref="BH50:BM60" si="15">SUMIFS($AA50:$BE50,$AA$3:$BE$3,BH$3)</f>
        <v>15988500.462154428</v>
      </c>
      <c r="BI50" s="80">
        <f t="shared" si="15"/>
        <v>30233252.163583234</v>
      </c>
      <c r="BJ50" s="80">
        <f t="shared" si="15"/>
        <v>46325203.531221442</v>
      </c>
      <c r="BK50" s="80">
        <f t="shared" si="15"/>
        <v>64647761.082991727</v>
      </c>
      <c r="BL50" s="80">
        <f t="shared" si="15"/>
        <v>85437150.27720955</v>
      </c>
      <c r="BM50" s="80">
        <f t="shared" si="15"/>
        <v>108919988.90321054</v>
      </c>
    </row>
    <row r="51" spans="6:65" outlineLevel="1">
      <c r="F51" s="18" t="s">
        <v>214</v>
      </c>
      <c r="G51" s="17" t="str">
        <f t="shared" si="12"/>
        <v>£ Nominal</v>
      </c>
      <c r="AA51" s="9">
        <f t="shared" ref="AA51:BE51" si="16">Z51+AA26</f>
        <v>0</v>
      </c>
      <c r="AB51" s="9">
        <f t="shared" si="16"/>
        <v>0</v>
      </c>
      <c r="AC51" s="9">
        <f t="shared" si="16"/>
        <v>0</v>
      </c>
      <c r="AD51" s="9">
        <f t="shared" si="16"/>
        <v>0</v>
      </c>
      <c r="AE51" s="9">
        <f t="shared" si="16"/>
        <v>0</v>
      </c>
      <c r="AF51" s="9">
        <f t="shared" si="16"/>
        <v>0</v>
      </c>
      <c r="AG51" s="9">
        <f t="shared" si="16"/>
        <v>0</v>
      </c>
      <c r="AH51" s="9">
        <f t="shared" si="16"/>
        <v>0</v>
      </c>
      <c r="AI51" s="9">
        <f t="shared" si="16"/>
        <v>0</v>
      </c>
      <c r="AJ51" s="9">
        <f t="shared" si="16"/>
        <v>0</v>
      </c>
      <c r="AK51" s="9">
        <f t="shared" si="16"/>
        <v>0</v>
      </c>
      <c r="AL51" s="9">
        <f t="shared" si="16"/>
        <v>0</v>
      </c>
      <c r="AM51" s="9">
        <f t="shared" si="16"/>
        <v>0</v>
      </c>
      <c r="AN51" s="9">
        <f t="shared" si="16"/>
        <v>0</v>
      </c>
      <c r="AO51" s="9">
        <f t="shared" si="16"/>
        <v>0</v>
      </c>
      <c r="AP51" s="9">
        <f t="shared" si="16"/>
        <v>0</v>
      </c>
      <c r="AQ51" s="9">
        <f t="shared" si="16"/>
        <v>0</v>
      </c>
      <c r="AR51" s="9">
        <f t="shared" si="16"/>
        <v>0</v>
      </c>
      <c r="AS51" s="9">
        <f t="shared" si="16"/>
        <v>0</v>
      </c>
      <c r="AT51" s="9">
        <f t="shared" si="16"/>
        <v>0</v>
      </c>
      <c r="AU51" s="9">
        <f t="shared" si="16"/>
        <v>0</v>
      </c>
      <c r="AV51" s="9">
        <f t="shared" si="16"/>
        <v>0</v>
      </c>
      <c r="AW51" s="9">
        <f t="shared" si="16"/>
        <v>0</v>
      </c>
      <c r="AX51" s="9">
        <f t="shared" si="16"/>
        <v>0</v>
      </c>
      <c r="AY51" s="9">
        <f t="shared" si="16"/>
        <v>0</v>
      </c>
      <c r="AZ51" s="9">
        <f t="shared" si="16"/>
        <v>0</v>
      </c>
      <c r="BA51" s="9">
        <f t="shared" si="16"/>
        <v>0</v>
      </c>
      <c r="BB51" s="9">
        <f t="shared" si="16"/>
        <v>0</v>
      </c>
      <c r="BC51" s="9">
        <f t="shared" si="16"/>
        <v>0</v>
      </c>
      <c r="BD51" s="9">
        <f t="shared" si="16"/>
        <v>0</v>
      </c>
      <c r="BE51" s="9">
        <f t="shared" si="16"/>
        <v>0</v>
      </c>
      <c r="BG51" s="14">
        <f t="shared" si="14"/>
        <v>0</v>
      </c>
      <c r="BH51" s="14">
        <f t="shared" si="15"/>
        <v>0</v>
      </c>
      <c r="BI51" s="14">
        <f t="shared" si="15"/>
        <v>0</v>
      </c>
      <c r="BJ51" s="14">
        <f t="shared" si="15"/>
        <v>0</v>
      </c>
      <c r="BK51" s="14">
        <f t="shared" si="15"/>
        <v>0</v>
      </c>
      <c r="BL51" s="14">
        <f t="shared" si="15"/>
        <v>0</v>
      </c>
      <c r="BM51" s="14">
        <f t="shared" si="15"/>
        <v>0</v>
      </c>
    </row>
    <row r="52" spans="6:65" outlineLevel="1">
      <c r="F52" s="18" t="s">
        <v>42</v>
      </c>
      <c r="G52" s="17" t="str">
        <f t="shared" si="12"/>
        <v>£ Nominal</v>
      </c>
      <c r="AA52" s="9">
        <f t="shared" ref="AA52:BE52" si="17">Z52+AA27</f>
        <v>0</v>
      </c>
      <c r="AB52" s="9">
        <f t="shared" si="17"/>
        <v>2151871.7050209204</v>
      </c>
      <c r="AC52" s="9">
        <f t="shared" si="17"/>
        <v>4357540.2026673639</v>
      </c>
      <c r="AD52" s="9">
        <f t="shared" si="17"/>
        <v>6618350.4127549678</v>
      </c>
      <c r="AE52" s="9">
        <f t="shared" si="17"/>
        <v>8935680.8780947626</v>
      </c>
      <c r="AF52" s="9">
        <f t="shared" si="17"/>
        <v>11310944.605068052</v>
      </c>
      <c r="AG52" s="9">
        <f t="shared" si="17"/>
        <v>13745589.925215673</v>
      </c>
      <c r="AH52" s="9">
        <f t="shared" si="17"/>
        <v>16241101.378366984</v>
      </c>
      <c r="AI52" s="9">
        <f t="shared" si="17"/>
        <v>18799000.617847078</v>
      </c>
      <c r="AJ52" s="9">
        <f t="shared" si="17"/>
        <v>21420847.338314172</v>
      </c>
      <c r="AK52" s="9">
        <f t="shared" si="17"/>
        <v>24108240.226792943</v>
      </c>
      <c r="AL52" s="9">
        <f t="shared" si="17"/>
        <v>26862817.937483683</v>
      </c>
      <c r="AM52" s="9">
        <f t="shared" si="17"/>
        <v>29686260.090941694</v>
      </c>
      <c r="AN52" s="9">
        <f t="shared" si="17"/>
        <v>32580288.298236154</v>
      </c>
      <c r="AO52" s="9">
        <f t="shared" si="17"/>
        <v>35546667.210712977</v>
      </c>
      <c r="AP52" s="9">
        <f t="shared" si="17"/>
        <v>38587205.596001714</v>
      </c>
      <c r="AQ52" s="9">
        <f t="shared" si="17"/>
        <v>41703757.440922678</v>
      </c>
      <c r="AR52" s="9">
        <f t="shared" si="17"/>
        <v>44898223.081966661</v>
      </c>
      <c r="AS52" s="9">
        <f t="shared" si="17"/>
        <v>48172550.364036746</v>
      </c>
      <c r="AT52" s="9">
        <f t="shared" si="17"/>
        <v>51528735.82815858</v>
      </c>
      <c r="AU52" s="9">
        <f t="shared" si="17"/>
        <v>54968825.928883463</v>
      </c>
      <c r="AV52" s="9">
        <f t="shared" si="17"/>
        <v>58494918.282126464</v>
      </c>
      <c r="AW52" s="9">
        <f t="shared" si="17"/>
        <v>62109162.944200538</v>
      </c>
      <c r="AX52" s="9">
        <f t="shared" si="17"/>
        <v>65813763.722826466</v>
      </c>
      <c r="AY52" s="9">
        <f t="shared" si="17"/>
        <v>69610979.520918041</v>
      </c>
      <c r="AZ52" s="9">
        <f t="shared" si="17"/>
        <v>73503125.713961899</v>
      </c>
      <c r="BA52" s="9">
        <f t="shared" si="17"/>
        <v>77492575.561831862</v>
      </c>
      <c r="BB52" s="9">
        <f t="shared" si="17"/>
        <v>81581761.655898571</v>
      </c>
      <c r="BC52" s="9">
        <f t="shared" si="17"/>
        <v>85773177.402316943</v>
      </c>
      <c r="BD52" s="9">
        <f t="shared" si="17"/>
        <v>90069378.542395785</v>
      </c>
      <c r="BE52" s="9">
        <f t="shared" si="17"/>
        <v>94472984.710976586</v>
      </c>
      <c r="BG52" s="14">
        <f t="shared" si="14"/>
        <v>0</v>
      </c>
      <c r="BH52" s="14">
        <f t="shared" si="15"/>
        <v>11310944.605068052</v>
      </c>
      <c r="BI52" s="14">
        <f t="shared" si="15"/>
        <v>24108240.226792943</v>
      </c>
      <c r="BJ52" s="14">
        <f t="shared" si="15"/>
        <v>38587205.596001714</v>
      </c>
      <c r="BK52" s="14">
        <f t="shared" si="15"/>
        <v>54968825.928883463</v>
      </c>
      <c r="BL52" s="14">
        <f t="shared" si="15"/>
        <v>73503125.713961899</v>
      </c>
      <c r="BM52" s="14">
        <f t="shared" si="15"/>
        <v>94472984.710976586</v>
      </c>
    </row>
    <row r="53" spans="6:65" outlineLevel="1">
      <c r="F53" s="18" t="s">
        <v>227</v>
      </c>
      <c r="G53" s="17" t="str">
        <f t="shared" si="12"/>
        <v>£ Nominal</v>
      </c>
      <c r="AA53" s="9">
        <f t="shared" ref="AA53:BE53" si="18">Z53+AA28</f>
        <v>0</v>
      </c>
      <c r="AB53" s="9">
        <f t="shared" si="18"/>
        <v>727931.16736401664</v>
      </c>
      <c r="AC53" s="9">
        <f t="shared" si="18"/>
        <v>893341.90133891208</v>
      </c>
      <c r="AD53" s="9">
        <f t="shared" si="18"/>
        <v>1063714.9573330544</v>
      </c>
      <c r="AE53" s="9">
        <f t="shared" si="18"/>
        <v>1287491.3032051276</v>
      </c>
      <c r="AF53" s="9">
        <f t="shared" si="18"/>
        <v>1468240.0783093132</v>
      </c>
      <c r="AG53" s="9">
        <f t="shared" si="18"/>
        <v>1812623.2459567168</v>
      </c>
      <c r="AH53" s="9">
        <f t="shared" si="18"/>
        <v>2057149.7010524699</v>
      </c>
      <c r="AI53" s="9">
        <f t="shared" si="18"/>
        <v>2254658.7678257413</v>
      </c>
      <c r="AJ53" s="9">
        <f t="shared" si="18"/>
        <v>2458093.106602211</v>
      </c>
      <c r="AK53" s="9">
        <f t="shared" si="18"/>
        <v>2725293.7662996277</v>
      </c>
      <c r="AL53" s="9">
        <f t="shared" si="18"/>
        <v>3124528.2441785731</v>
      </c>
      <c r="AM53" s="9">
        <f t="shared" si="18"/>
        <v>3346826.4388867682</v>
      </c>
      <c r="AN53" s="9">
        <f t="shared" si="18"/>
        <v>3638803.8141559474</v>
      </c>
      <c r="AO53" s="9">
        <f t="shared" si="18"/>
        <v>3874639.9689218719</v>
      </c>
      <c r="AP53" s="9">
        <f t="shared" si="18"/>
        <v>4117551.2083307737</v>
      </c>
      <c r="AQ53" s="9">
        <f t="shared" si="18"/>
        <v>4649226.3728571273</v>
      </c>
      <c r="AR53" s="9">
        <f t="shared" si="18"/>
        <v>4906930.9067460317</v>
      </c>
      <c r="AS53" s="9">
        <f t="shared" si="18"/>
        <v>5172366.576651603</v>
      </c>
      <c r="AT53" s="9">
        <f t="shared" si="18"/>
        <v>5521002.8321262766</v>
      </c>
      <c r="AU53" s="9">
        <f t="shared" si="18"/>
        <v>5802603.5343290977</v>
      </c>
      <c r="AV53" s="9">
        <f t="shared" si="18"/>
        <v>6339141.2883495111</v>
      </c>
      <c r="AW53" s="9">
        <f t="shared" si="18"/>
        <v>6720105.5378855849</v>
      </c>
      <c r="AX53" s="9">
        <f t="shared" si="18"/>
        <v>7027818.2284015669</v>
      </c>
      <c r="AY53" s="9">
        <f t="shared" si="18"/>
        <v>7344762.299633028</v>
      </c>
      <c r="AZ53" s="9">
        <f t="shared" si="18"/>
        <v>7761052.2211358333</v>
      </c>
      <c r="BA53" s="9">
        <f t="shared" si="18"/>
        <v>8383046.52925485</v>
      </c>
      <c r="BB53" s="9">
        <f t="shared" si="18"/>
        <v>8729379.8733793907</v>
      </c>
      <c r="BC53" s="9">
        <f t="shared" si="18"/>
        <v>9184271.1104333866</v>
      </c>
      <c r="BD53" s="9">
        <f t="shared" si="18"/>
        <v>9551696.1552151125</v>
      </c>
      <c r="BE53" s="9">
        <f t="shared" si="18"/>
        <v>9930143.9513402898</v>
      </c>
      <c r="BG53" s="14">
        <f t="shared" si="14"/>
        <v>0</v>
      </c>
      <c r="BH53" s="14">
        <f t="shared" si="15"/>
        <v>1468240.0783093132</v>
      </c>
      <c r="BI53" s="14">
        <f t="shared" si="15"/>
        <v>2725293.7662996277</v>
      </c>
      <c r="BJ53" s="14">
        <f t="shared" si="15"/>
        <v>4117551.2083307737</v>
      </c>
      <c r="BK53" s="14">
        <f t="shared" si="15"/>
        <v>5802603.5343290977</v>
      </c>
      <c r="BL53" s="14">
        <f t="shared" si="15"/>
        <v>7761052.2211358333</v>
      </c>
      <c r="BM53" s="14">
        <f t="shared" si="15"/>
        <v>9930143.9513402898</v>
      </c>
    </row>
    <row r="54" spans="6:65" outlineLevel="1">
      <c r="F54" s="18" t="s">
        <v>121</v>
      </c>
      <c r="G54" s="17" t="str">
        <f t="shared" si="12"/>
        <v>£ Nominal</v>
      </c>
      <c r="AA54" s="9">
        <f t="shared" ref="AA54:BE54" si="19">Z54+AA29</f>
        <v>0</v>
      </c>
      <c r="AB54" s="9">
        <f t="shared" si="19"/>
        <v>0</v>
      </c>
      <c r="AC54" s="9">
        <f t="shared" si="19"/>
        <v>0</v>
      </c>
      <c r="AD54" s="9">
        <f t="shared" si="19"/>
        <v>0</v>
      </c>
      <c r="AE54" s="9">
        <f t="shared" si="19"/>
        <v>0</v>
      </c>
      <c r="AF54" s="9">
        <f t="shared" si="19"/>
        <v>0</v>
      </c>
      <c r="AG54" s="9">
        <f t="shared" si="19"/>
        <v>0</v>
      </c>
      <c r="AH54" s="9">
        <f t="shared" si="19"/>
        <v>0</v>
      </c>
      <c r="AI54" s="9">
        <f t="shared" si="19"/>
        <v>0</v>
      </c>
      <c r="AJ54" s="9">
        <f t="shared" si="19"/>
        <v>0</v>
      </c>
      <c r="AK54" s="9">
        <f t="shared" si="19"/>
        <v>0</v>
      </c>
      <c r="AL54" s="9">
        <f t="shared" si="19"/>
        <v>0</v>
      </c>
      <c r="AM54" s="9">
        <f t="shared" si="19"/>
        <v>0</v>
      </c>
      <c r="AN54" s="9">
        <f t="shared" si="19"/>
        <v>0</v>
      </c>
      <c r="AO54" s="9">
        <f t="shared" si="19"/>
        <v>0</v>
      </c>
      <c r="AP54" s="9">
        <f t="shared" si="19"/>
        <v>0</v>
      </c>
      <c r="AQ54" s="9">
        <f t="shared" si="19"/>
        <v>0</v>
      </c>
      <c r="AR54" s="9">
        <f t="shared" si="19"/>
        <v>0</v>
      </c>
      <c r="AS54" s="9">
        <f t="shared" si="19"/>
        <v>0</v>
      </c>
      <c r="AT54" s="9">
        <f t="shared" si="19"/>
        <v>0</v>
      </c>
      <c r="AU54" s="9">
        <f t="shared" si="19"/>
        <v>0</v>
      </c>
      <c r="AV54" s="9">
        <f t="shared" si="19"/>
        <v>0</v>
      </c>
      <c r="AW54" s="9">
        <f t="shared" si="19"/>
        <v>0</v>
      </c>
      <c r="AX54" s="9">
        <f t="shared" si="19"/>
        <v>0</v>
      </c>
      <c r="AY54" s="9">
        <f t="shared" si="19"/>
        <v>0</v>
      </c>
      <c r="AZ54" s="9">
        <f t="shared" si="19"/>
        <v>0</v>
      </c>
      <c r="BA54" s="9">
        <f t="shared" si="19"/>
        <v>0</v>
      </c>
      <c r="BB54" s="9">
        <f t="shared" si="19"/>
        <v>0</v>
      </c>
      <c r="BC54" s="9">
        <f t="shared" si="19"/>
        <v>0</v>
      </c>
      <c r="BD54" s="9">
        <f t="shared" si="19"/>
        <v>0</v>
      </c>
      <c r="BE54" s="9">
        <f t="shared" si="19"/>
        <v>0</v>
      </c>
      <c r="BG54" s="14">
        <f t="shared" si="14"/>
        <v>0</v>
      </c>
      <c r="BH54" s="14">
        <f t="shared" si="15"/>
        <v>0</v>
      </c>
      <c r="BI54" s="14">
        <f t="shared" si="15"/>
        <v>0</v>
      </c>
      <c r="BJ54" s="14">
        <f t="shared" si="15"/>
        <v>0</v>
      </c>
      <c r="BK54" s="14">
        <f t="shared" si="15"/>
        <v>0</v>
      </c>
      <c r="BL54" s="14">
        <f t="shared" si="15"/>
        <v>0</v>
      </c>
      <c r="BM54" s="14">
        <f t="shared" si="15"/>
        <v>0</v>
      </c>
    </row>
    <row r="55" spans="6:65" outlineLevel="1">
      <c r="F55" s="18" t="s">
        <v>245</v>
      </c>
      <c r="G55" s="17" t="str">
        <f t="shared" si="12"/>
        <v>£ Nominal</v>
      </c>
      <c r="AA55" s="9">
        <f t="shared" ref="AA55:BE55" si="20">Z55+AA30</f>
        <v>3045073.0031171548</v>
      </c>
      <c r="AB55" s="9">
        <f t="shared" si="20"/>
        <v>3076008.8807322178</v>
      </c>
      <c r="AC55" s="9">
        <f t="shared" si="20"/>
        <v>3107872.8346757325</v>
      </c>
      <c r="AD55" s="9">
        <f t="shared" si="20"/>
        <v>3140692.7072375529</v>
      </c>
      <c r="AE55" s="9">
        <f t="shared" si="20"/>
        <v>3174497.1759762275</v>
      </c>
      <c r="AF55" s="9">
        <f t="shared" si="20"/>
        <v>3209315.7787770624</v>
      </c>
      <c r="AG55" s="9">
        <f t="shared" si="20"/>
        <v>3245178.9396619224</v>
      </c>
      <c r="AH55" s="9">
        <f t="shared" si="20"/>
        <v>3282117.9953733282</v>
      </c>
      <c r="AI55" s="9">
        <f t="shared" si="20"/>
        <v>3320165.2227560761</v>
      </c>
      <c r="AJ55" s="9">
        <f t="shared" si="20"/>
        <v>3359353.8669603067</v>
      </c>
      <c r="AK55" s="9">
        <f t="shared" si="20"/>
        <v>3399718.170490664</v>
      </c>
      <c r="AL55" s="9">
        <f t="shared" si="20"/>
        <v>3441293.4031269322</v>
      </c>
      <c r="AM55" s="9">
        <f t="shared" si="20"/>
        <v>3484115.8927422883</v>
      </c>
      <c r="AN55" s="9">
        <f t="shared" si="20"/>
        <v>3528223.0570461052</v>
      </c>
      <c r="AO55" s="9">
        <f t="shared" si="20"/>
        <v>3573653.4362790366</v>
      </c>
      <c r="AP55" s="9">
        <f t="shared" si="20"/>
        <v>3620446.7268889556</v>
      </c>
      <c r="AQ55" s="9">
        <f t="shared" si="20"/>
        <v>3668643.8162171724</v>
      </c>
      <c r="AR55" s="9">
        <f t="shared" si="20"/>
        <v>3718286.8182252357</v>
      </c>
      <c r="AS55" s="9">
        <f t="shared" si="20"/>
        <v>3769419.1102935406</v>
      </c>
      <c r="AT55" s="9">
        <f t="shared" si="20"/>
        <v>3822085.371123895</v>
      </c>
      <c r="AU55" s="9">
        <f t="shared" si="20"/>
        <v>3876331.6197791602</v>
      </c>
      <c r="AV55" s="9">
        <f t="shared" si="20"/>
        <v>3932205.2558940831</v>
      </c>
      <c r="AW55" s="9">
        <f t="shared" si="20"/>
        <v>3989755.1010924536</v>
      </c>
      <c r="AX55" s="9">
        <f t="shared" si="20"/>
        <v>4049031.4416467752</v>
      </c>
      <c r="AY55" s="9">
        <f t="shared" si="20"/>
        <v>4110086.0724177267</v>
      </c>
      <c r="AZ55" s="9">
        <f t="shared" si="20"/>
        <v>4172972.3421118069</v>
      </c>
      <c r="BA55" s="9">
        <f t="shared" si="20"/>
        <v>4237745.1998967091</v>
      </c>
      <c r="BB55" s="9">
        <f t="shared" si="20"/>
        <v>4304461.2434151582</v>
      </c>
      <c r="BC55" s="9">
        <f t="shared" si="20"/>
        <v>4373178.768239161</v>
      </c>
      <c r="BD55" s="9">
        <f t="shared" si="20"/>
        <v>4443957.8188078841</v>
      </c>
      <c r="BE55" s="9">
        <f t="shared" si="20"/>
        <v>4516860.2408936685</v>
      </c>
      <c r="BG55" s="14">
        <f t="shared" si="14"/>
        <v>3045073.0031171548</v>
      </c>
      <c r="BH55" s="14">
        <f t="shared" si="15"/>
        <v>3209315.7787770624</v>
      </c>
      <c r="BI55" s="14">
        <f t="shared" si="15"/>
        <v>3399718.170490664</v>
      </c>
      <c r="BJ55" s="14">
        <f t="shared" si="15"/>
        <v>3620446.7268889556</v>
      </c>
      <c r="BK55" s="14">
        <f t="shared" si="15"/>
        <v>3876331.6197791602</v>
      </c>
      <c r="BL55" s="14">
        <f t="shared" si="15"/>
        <v>4172972.3421118069</v>
      </c>
      <c r="BM55" s="14">
        <f t="shared" si="15"/>
        <v>4516860.2408936685</v>
      </c>
    </row>
    <row r="56" spans="6:65">
      <c r="F56" s="18"/>
      <c r="G56" s="17"/>
    </row>
    <row r="57" spans="6:65">
      <c r="F57" s="37" t="s">
        <v>253</v>
      </c>
      <c r="G57" s="17" t="str">
        <f t="shared" ref="G57:G62" si="21">cstNominalUnit</f>
        <v>£ Nominal</v>
      </c>
      <c r="AA57" s="80">
        <f t="shared" ref="AA57:BE57" si="22">SUM(AA58:AA63)</f>
        <v>0</v>
      </c>
      <c r="AB57" s="80">
        <f t="shared" si="22"/>
        <v>2929889.531380753</v>
      </c>
      <c r="AC57" s="80">
        <f t="shared" si="22"/>
        <v>5352558.021767782</v>
      </c>
      <c r="AD57" s="80">
        <f t="shared" si="22"/>
        <v>7836878.22437819</v>
      </c>
      <c r="AE57" s="80">
        <f t="shared" si="22"/>
        <v>10432716.080214579</v>
      </c>
      <c r="AF57" s="80">
        <f t="shared" si="22"/>
        <v>13045101.558255309</v>
      </c>
      <c r="AG57" s="80">
        <f t="shared" si="22"/>
        <v>15882194.211292489</v>
      </c>
      <c r="AH57" s="80">
        <f t="shared" si="22"/>
        <v>18682038.20973897</v>
      </c>
      <c r="AI57" s="80">
        <f t="shared" si="22"/>
        <v>21499046.788897738</v>
      </c>
      <c r="AJ57" s="80">
        <f t="shared" si="22"/>
        <v>24387776.129233867</v>
      </c>
      <c r="AK57" s="80">
        <f t="shared" si="22"/>
        <v>27407721.406935394</v>
      </c>
      <c r="AL57" s="80">
        <f t="shared" si="22"/>
        <v>30628845.876916181</v>
      </c>
      <c r="AM57" s="80">
        <f t="shared" si="22"/>
        <v>33743917.874935821</v>
      </c>
      <c r="AN57" s="80">
        <f t="shared" si="22"/>
        <v>37001335.056848489</v>
      </c>
      <c r="AO57" s="80">
        <f t="shared" si="22"/>
        <v>40277104.071420752</v>
      </c>
      <c r="AP57" s="80">
        <f t="shared" si="22"/>
        <v>43636314.261867784</v>
      </c>
      <c r="AQ57" s="80">
        <f t="shared" si="22"/>
        <v>47362574.654036969</v>
      </c>
      <c r="AR57" s="80">
        <f t="shared" si="22"/>
        <v>50895119.213173389</v>
      </c>
      <c r="AS57" s="80">
        <f t="shared" si="22"/>
        <v>54517667.780878685</v>
      </c>
      <c r="AT57" s="80">
        <f t="shared" si="22"/>
        <v>58307758.684676722</v>
      </c>
      <c r="AU57" s="80">
        <f t="shared" si="22"/>
        <v>62117276.747331999</v>
      </c>
      <c r="AV57" s="80">
        <f t="shared" si="22"/>
        <v>66270368.93211481</v>
      </c>
      <c r="AW57" s="80">
        <f t="shared" si="22"/>
        <v>70358753.783569932</v>
      </c>
      <c r="AX57" s="80">
        <f t="shared" si="22"/>
        <v>74467038.47075218</v>
      </c>
      <c r="AY57" s="80">
        <f t="shared" si="22"/>
        <v>78680048.69465676</v>
      </c>
      <c r="AZ57" s="80">
        <f t="shared" si="22"/>
        <v>83090300.674422413</v>
      </c>
      <c r="BA57" s="80">
        <f t="shared" si="22"/>
        <v>87806615.171586946</v>
      </c>
      <c r="BB57" s="80">
        <f t="shared" si="22"/>
        <v>92350151.061189011</v>
      </c>
      <c r="BC57" s="80">
        <f t="shared" si="22"/>
        <v>97107714.989614531</v>
      </c>
      <c r="BD57" s="80">
        <f t="shared" si="22"/>
        <v>101885935.82777683</v>
      </c>
      <c r="BE57" s="80">
        <f t="shared" si="22"/>
        <v>106786022.28538361</v>
      </c>
      <c r="BG57" s="80">
        <f t="shared" ref="BG57:BG62" si="23">SUMIFS($AA57:$BE57,$AA$3:$BE$3,BG$3)</f>
        <v>0</v>
      </c>
      <c r="BH57" s="80">
        <f t="shared" si="15"/>
        <v>13045101.558255309</v>
      </c>
      <c r="BI57" s="80">
        <f t="shared" si="15"/>
        <v>27407721.406935394</v>
      </c>
      <c r="BJ57" s="80">
        <f t="shared" si="15"/>
        <v>43636314.261867784</v>
      </c>
      <c r="BK57" s="80">
        <f t="shared" si="15"/>
        <v>62117276.747331999</v>
      </c>
      <c r="BL57" s="80">
        <f t="shared" si="15"/>
        <v>83090300.674422413</v>
      </c>
      <c r="BM57" s="80">
        <f t="shared" si="15"/>
        <v>106786022.28538361</v>
      </c>
    </row>
    <row r="58" spans="6:65" outlineLevel="1">
      <c r="F58" s="18" t="s">
        <v>214</v>
      </c>
      <c r="G58" s="17" t="str">
        <f t="shared" si="21"/>
        <v>£ Nominal</v>
      </c>
      <c r="AA58" s="9">
        <f t="shared" ref="AA58:BE58" si="24">Z58+AA33</f>
        <v>0</v>
      </c>
      <c r="AB58" s="9">
        <f t="shared" si="24"/>
        <v>0</v>
      </c>
      <c r="AC58" s="9">
        <f t="shared" si="24"/>
        <v>0</v>
      </c>
      <c r="AD58" s="9">
        <f t="shared" si="24"/>
        <v>0</v>
      </c>
      <c r="AE58" s="9">
        <f t="shared" si="24"/>
        <v>0</v>
      </c>
      <c r="AF58" s="9">
        <f t="shared" si="24"/>
        <v>0</v>
      </c>
      <c r="AG58" s="9">
        <f t="shared" si="24"/>
        <v>0</v>
      </c>
      <c r="AH58" s="9">
        <f t="shared" si="24"/>
        <v>0</v>
      </c>
      <c r="AI58" s="9">
        <f t="shared" si="24"/>
        <v>0</v>
      </c>
      <c r="AJ58" s="9">
        <f t="shared" si="24"/>
        <v>0</v>
      </c>
      <c r="AK58" s="9">
        <f t="shared" si="24"/>
        <v>0</v>
      </c>
      <c r="AL58" s="9">
        <f t="shared" si="24"/>
        <v>0</v>
      </c>
      <c r="AM58" s="9">
        <f t="shared" si="24"/>
        <v>0</v>
      </c>
      <c r="AN58" s="9">
        <f t="shared" si="24"/>
        <v>0</v>
      </c>
      <c r="AO58" s="9">
        <f t="shared" si="24"/>
        <v>0</v>
      </c>
      <c r="AP58" s="9">
        <f t="shared" si="24"/>
        <v>0</v>
      </c>
      <c r="AQ58" s="9">
        <f t="shared" si="24"/>
        <v>0</v>
      </c>
      <c r="AR58" s="9">
        <f t="shared" si="24"/>
        <v>0</v>
      </c>
      <c r="AS58" s="9">
        <f t="shared" si="24"/>
        <v>0</v>
      </c>
      <c r="AT58" s="9">
        <f t="shared" si="24"/>
        <v>0</v>
      </c>
      <c r="AU58" s="9">
        <f t="shared" si="24"/>
        <v>0</v>
      </c>
      <c r="AV58" s="9">
        <f t="shared" si="24"/>
        <v>0</v>
      </c>
      <c r="AW58" s="9">
        <f t="shared" si="24"/>
        <v>0</v>
      </c>
      <c r="AX58" s="9">
        <f t="shared" si="24"/>
        <v>0</v>
      </c>
      <c r="AY58" s="9">
        <f t="shared" si="24"/>
        <v>0</v>
      </c>
      <c r="AZ58" s="9">
        <f t="shared" si="24"/>
        <v>0</v>
      </c>
      <c r="BA58" s="9">
        <f t="shared" si="24"/>
        <v>0</v>
      </c>
      <c r="BB58" s="9">
        <f t="shared" si="24"/>
        <v>0</v>
      </c>
      <c r="BC58" s="9">
        <f t="shared" si="24"/>
        <v>0</v>
      </c>
      <c r="BD58" s="9">
        <f t="shared" si="24"/>
        <v>0</v>
      </c>
      <c r="BE58" s="9">
        <f t="shared" si="24"/>
        <v>0</v>
      </c>
      <c r="BG58" s="14">
        <f t="shared" si="23"/>
        <v>0</v>
      </c>
      <c r="BH58" s="14">
        <f t="shared" si="15"/>
        <v>0</v>
      </c>
      <c r="BI58" s="14">
        <f t="shared" si="15"/>
        <v>0</v>
      </c>
      <c r="BJ58" s="14">
        <f t="shared" si="15"/>
        <v>0</v>
      </c>
      <c r="BK58" s="14">
        <f t="shared" si="15"/>
        <v>0</v>
      </c>
      <c r="BL58" s="14">
        <f t="shared" si="15"/>
        <v>0</v>
      </c>
      <c r="BM58" s="14">
        <f t="shared" si="15"/>
        <v>0</v>
      </c>
    </row>
    <row r="59" spans="6:65" outlineLevel="1">
      <c r="F59" s="18" t="s">
        <v>42</v>
      </c>
      <c r="G59" s="17" t="str">
        <f t="shared" si="21"/>
        <v>£ Nominal</v>
      </c>
      <c r="AA59" s="9">
        <f t="shared" ref="AA59:BE59" si="25">Z59+AA34</f>
        <v>0</v>
      </c>
      <c r="AB59" s="9">
        <f t="shared" si="25"/>
        <v>2151871.7050209204</v>
      </c>
      <c r="AC59" s="9">
        <f t="shared" si="25"/>
        <v>4357540.2026673639</v>
      </c>
      <c r="AD59" s="9">
        <f t="shared" si="25"/>
        <v>6618350.4127549678</v>
      </c>
      <c r="AE59" s="9">
        <f t="shared" si="25"/>
        <v>8935680.8780947626</v>
      </c>
      <c r="AF59" s="9">
        <f t="shared" si="25"/>
        <v>11310944.605068052</v>
      </c>
      <c r="AG59" s="9">
        <f t="shared" si="25"/>
        <v>13745589.925215673</v>
      </c>
      <c r="AH59" s="9">
        <f t="shared" si="25"/>
        <v>16241101.378366984</v>
      </c>
      <c r="AI59" s="9">
        <f t="shared" si="25"/>
        <v>18799000.617847078</v>
      </c>
      <c r="AJ59" s="9">
        <f t="shared" si="25"/>
        <v>21420847.338314172</v>
      </c>
      <c r="AK59" s="9">
        <f t="shared" si="25"/>
        <v>24108240.226792943</v>
      </c>
      <c r="AL59" s="9">
        <f t="shared" si="25"/>
        <v>26862817.937483683</v>
      </c>
      <c r="AM59" s="9">
        <f t="shared" si="25"/>
        <v>29686260.090941694</v>
      </c>
      <c r="AN59" s="9">
        <f t="shared" si="25"/>
        <v>32580288.298236154</v>
      </c>
      <c r="AO59" s="9">
        <f t="shared" si="25"/>
        <v>35546667.210712977</v>
      </c>
      <c r="AP59" s="9">
        <f t="shared" si="25"/>
        <v>38587205.596001714</v>
      </c>
      <c r="AQ59" s="9">
        <f t="shared" si="25"/>
        <v>41703757.440922678</v>
      </c>
      <c r="AR59" s="9">
        <f t="shared" si="25"/>
        <v>44898223.081966661</v>
      </c>
      <c r="AS59" s="9">
        <f t="shared" si="25"/>
        <v>48172550.364036746</v>
      </c>
      <c r="AT59" s="9">
        <f t="shared" si="25"/>
        <v>51528735.82815858</v>
      </c>
      <c r="AU59" s="9">
        <f t="shared" si="25"/>
        <v>54968825.928883463</v>
      </c>
      <c r="AV59" s="9">
        <f t="shared" si="25"/>
        <v>58494918.282126464</v>
      </c>
      <c r="AW59" s="9">
        <f t="shared" si="25"/>
        <v>62109162.944200538</v>
      </c>
      <c r="AX59" s="9">
        <f t="shared" si="25"/>
        <v>65813763.722826466</v>
      </c>
      <c r="AY59" s="9">
        <f t="shared" si="25"/>
        <v>69610979.520918041</v>
      </c>
      <c r="AZ59" s="9">
        <f t="shared" si="25"/>
        <v>73503125.713961899</v>
      </c>
      <c r="BA59" s="9">
        <f t="shared" si="25"/>
        <v>77492575.561831862</v>
      </c>
      <c r="BB59" s="9">
        <f t="shared" si="25"/>
        <v>81581761.655898571</v>
      </c>
      <c r="BC59" s="9">
        <f t="shared" si="25"/>
        <v>85773177.402316943</v>
      </c>
      <c r="BD59" s="9">
        <f t="shared" si="25"/>
        <v>90069378.542395785</v>
      </c>
      <c r="BE59" s="9">
        <f t="shared" si="25"/>
        <v>94472984.710976586</v>
      </c>
      <c r="BG59" s="14">
        <f t="shared" si="23"/>
        <v>0</v>
      </c>
      <c r="BH59" s="14">
        <f t="shared" si="15"/>
        <v>11310944.605068052</v>
      </c>
      <c r="BI59" s="14">
        <f t="shared" si="15"/>
        <v>24108240.226792943</v>
      </c>
      <c r="BJ59" s="14">
        <f t="shared" si="15"/>
        <v>38587205.596001714</v>
      </c>
      <c r="BK59" s="14">
        <f t="shared" si="15"/>
        <v>54968825.928883463</v>
      </c>
      <c r="BL59" s="14">
        <f t="shared" si="15"/>
        <v>73503125.713961899</v>
      </c>
      <c r="BM59" s="14">
        <f t="shared" si="15"/>
        <v>94472984.710976586</v>
      </c>
    </row>
    <row r="60" spans="6:65" outlineLevel="1">
      <c r="F60" s="18" t="s">
        <v>227</v>
      </c>
      <c r="G60" s="17" t="str">
        <f t="shared" si="21"/>
        <v>£ Nominal</v>
      </c>
      <c r="AA60" s="9">
        <f t="shared" ref="AA60:BE60" si="26">Z60+AA35</f>
        <v>0</v>
      </c>
      <c r="AB60" s="9">
        <f t="shared" si="26"/>
        <v>727931.16736401664</v>
      </c>
      <c r="AC60" s="9">
        <f t="shared" si="26"/>
        <v>893341.90133891208</v>
      </c>
      <c r="AD60" s="9">
        <f t="shared" si="26"/>
        <v>1063714.9573330544</v>
      </c>
      <c r="AE60" s="9">
        <f t="shared" si="26"/>
        <v>1287491.3032051276</v>
      </c>
      <c r="AF60" s="9">
        <f t="shared" si="26"/>
        <v>1468240.0783093132</v>
      </c>
      <c r="AG60" s="9">
        <f t="shared" si="26"/>
        <v>1812623.2459567168</v>
      </c>
      <c r="AH60" s="9">
        <f t="shared" si="26"/>
        <v>2057149.7010524699</v>
      </c>
      <c r="AI60" s="9">
        <f t="shared" si="26"/>
        <v>2254658.7678257413</v>
      </c>
      <c r="AJ60" s="9">
        <f t="shared" si="26"/>
        <v>2458093.106602211</v>
      </c>
      <c r="AK60" s="9">
        <f t="shared" si="26"/>
        <v>2725293.7662996277</v>
      </c>
      <c r="AL60" s="9">
        <f t="shared" si="26"/>
        <v>3124528.2441785731</v>
      </c>
      <c r="AM60" s="9">
        <f t="shared" si="26"/>
        <v>3346826.4388867682</v>
      </c>
      <c r="AN60" s="9">
        <f t="shared" si="26"/>
        <v>3638803.8141559474</v>
      </c>
      <c r="AO60" s="9">
        <f t="shared" si="26"/>
        <v>3874639.9689218719</v>
      </c>
      <c r="AP60" s="9">
        <f t="shared" si="26"/>
        <v>4117551.2083307737</v>
      </c>
      <c r="AQ60" s="9">
        <f t="shared" si="26"/>
        <v>4649226.3728571273</v>
      </c>
      <c r="AR60" s="9">
        <f t="shared" si="26"/>
        <v>4906930.9067460317</v>
      </c>
      <c r="AS60" s="9">
        <f t="shared" si="26"/>
        <v>5172366.576651603</v>
      </c>
      <c r="AT60" s="9">
        <f t="shared" si="26"/>
        <v>5521002.8321262766</v>
      </c>
      <c r="AU60" s="9">
        <f t="shared" si="26"/>
        <v>5802603.5343290977</v>
      </c>
      <c r="AV60" s="9">
        <f t="shared" si="26"/>
        <v>6339141.2883495111</v>
      </c>
      <c r="AW60" s="9">
        <f t="shared" si="26"/>
        <v>6720105.5378855849</v>
      </c>
      <c r="AX60" s="9">
        <f t="shared" si="26"/>
        <v>7027818.2284015669</v>
      </c>
      <c r="AY60" s="9">
        <f t="shared" si="26"/>
        <v>7344762.299633028</v>
      </c>
      <c r="AZ60" s="9">
        <f t="shared" si="26"/>
        <v>7761052.2211358333</v>
      </c>
      <c r="BA60" s="9">
        <f t="shared" si="26"/>
        <v>8383046.52925485</v>
      </c>
      <c r="BB60" s="9">
        <f t="shared" si="26"/>
        <v>8729379.8733793907</v>
      </c>
      <c r="BC60" s="9">
        <f t="shared" si="26"/>
        <v>9184271.1104333866</v>
      </c>
      <c r="BD60" s="9">
        <f t="shared" si="26"/>
        <v>9551696.1552151125</v>
      </c>
      <c r="BE60" s="9">
        <f t="shared" si="26"/>
        <v>9930143.9513402898</v>
      </c>
      <c r="BG60" s="14">
        <f t="shared" si="23"/>
        <v>0</v>
      </c>
      <c r="BH60" s="14">
        <f t="shared" si="15"/>
        <v>1468240.0783093132</v>
      </c>
      <c r="BI60" s="14">
        <f t="shared" si="15"/>
        <v>2725293.7662996277</v>
      </c>
      <c r="BJ60" s="14">
        <f t="shared" si="15"/>
        <v>4117551.2083307737</v>
      </c>
      <c r="BK60" s="14">
        <f t="shared" si="15"/>
        <v>5802603.5343290977</v>
      </c>
      <c r="BL60" s="14">
        <f t="shared" si="15"/>
        <v>7761052.2211358333</v>
      </c>
      <c r="BM60" s="14">
        <f t="shared" si="15"/>
        <v>9930143.9513402898</v>
      </c>
    </row>
    <row r="61" spans="6:65" outlineLevel="1">
      <c r="F61" s="18" t="s">
        <v>121</v>
      </c>
      <c r="G61" s="17" t="str">
        <f t="shared" si="21"/>
        <v>£ Nominal</v>
      </c>
      <c r="AA61" s="9">
        <f t="shared" ref="AA61:BE61" si="27">Z61+AA36</f>
        <v>0</v>
      </c>
      <c r="AB61" s="9">
        <f t="shared" si="27"/>
        <v>50086.658995815902</v>
      </c>
      <c r="AC61" s="9">
        <f t="shared" si="27"/>
        <v>101675.91776150628</v>
      </c>
      <c r="AD61" s="9">
        <f t="shared" si="27"/>
        <v>154812.85429016736</v>
      </c>
      <c r="AE61" s="9">
        <f t="shared" si="27"/>
        <v>209543.8989146883</v>
      </c>
      <c r="AF61" s="9">
        <f t="shared" si="27"/>
        <v>265916.87487794482</v>
      </c>
      <c r="AG61" s="9">
        <f t="shared" si="27"/>
        <v>323981.04012009909</v>
      </c>
      <c r="AH61" s="9">
        <f t="shared" si="27"/>
        <v>383787.13031951798</v>
      </c>
      <c r="AI61" s="9">
        <f t="shared" si="27"/>
        <v>445387.40322491946</v>
      </c>
      <c r="AJ61" s="9">
        <f t="shared" si="27"/>
        <v>508835.68431748298</v>
      </c>
      <c r="AK61" s="9">
        <f t="shared" si="27"/>
        <v>574187.41384282336</v>
      </c>
      <c r="AL61" s="9">
        <f t="shared" si="27"/>
        <v>641499.695253924</v>
      </c>
      <c r="AM61" s="9">
        <f t="shared" si="27"/>
        <v>710831.3451073576</v>
      </c>
      <c r="AN61" s="9">
        <f t="shared" si="27"/>
        <v>782242.9444563943</v>
      </c>
      <c r="AO61" s="9">
        <f t="shared" si="27"/>
        <v>855796.89178590209</v>
      </c>
      <c r="AP61" s="9">
        <f t="shared" si="27"/>
        <v>931557.45753529505</v>
      </c>
      <c r="AQ61" s="9">
        <f t="shared" si="27"/>
        <v>1009590.8402571698</v>
      </c>
      <c r="AR61" s="9">
        <f t="shared" si="27"/>
        <v>1089965.2244607008</v>
      </c>
      <c r="AS61" s="9">
        <f t="shared" si="27"/>
        <v>1172750.8401903377</v>
      </c>
      <c r="AT61" s="9">
        <f t="shared" si="27"/>
        <v>1258020.0243918637</v>
      </c>
      <c r="AU61" s="9">
        <f t="shared" si="27"/>
        <v>1345847.2841194356</v>
      </c>
      <c r="AV61" s="9">
        <f t="shared" si="27"/>
        <v>1436309.3616388347</v>
      </c>
      <c r="AW61" s="9">
        <f t="shared" si="27"/>
        <v>1529485.3014838158</v>
      </c>
      <c r="AX61" s="9">
        <f t="shared" si="27"/>
        <v>1625456.5195241461</v>
      </c>
      <c r="AY61" s="9">
        <f t="shared" si="27"/>
        <v>1724306.8741056866</v>
      </c>
      <c r="AZ61" s="9">
        <f t="shared" si="27"/>
        <v>1826122.7393246731</v>
      </c>
      <c r="BA61" s="9">
        <f t="shared" si="27"/>
        <v>1930993.0805002293</v>
      </c>
      <c r="BB61" s="9">
        <f t="shared" si="27"/>
        <v>2039009.5319110521</v>
      </c>
      <c r="BC61" s="9">
        <f t="shared" si="27"/>
        <v>2150266.4768641996</v>
      </c>
      <c r="BD61" s="9">
        <f t="shared" si="27"/>
        <v>2264861.1301659415</v>
      </c>
      <c r="BE61" s="9">
        <f t="shared" si="27"/>
        <v>2382893.6230667359</v>
      </c>
      <c r="BG61" s="14">
        <f t="shared" si="23"/>
        <v>0</v>
      </c>
      <c r="BH61" s="14">
        <f t="shared" ref="BH61:BM62" si="28">SUMIFS($AA61:$BE61,$AA$3:$BE$3,BH$3)</f>
        <v>265916.87487794482</v>
      </c>
      <c r="BI61" s="14">
        <f t="shared" si="28"/>
        <v>574187.41384282336</v>
      </c>
      <c r="BJ61" s="14">
        <f t="shared" si="28"/>
        <v>931557.45753529505</v>
      </c>
      <c r="BK61" s="14">
        <f t="shared" si="28"/>
        <v>1345847.2841194356</v>
      </c>
      <c r="BL61" s="14">
        <f t="shared" si="28"/>
        <v>1826122.7393246731</v>
      </c>
      <c r="BM61" s="14">
        <f t="shared" si="28"/>
        <v>2382893.6230667359</v>
      </c>
    </row>
    <row r="62" spans="6:65" outlineLevel="1">
      <c r="F62" s="18" t="s">
        <v>245</v>
      </c>
      <c r="G62" s="17" t="str">
        <f t="shared" si="21"/>
        <v>£ Nominal</v>
      </c>
      <c r="AA62" s="9">
        <f t="shared" ref="AA62:BE62" si="29">Z62+AA37</f>
        <v>0</v>
      </c>
      <c r="AB62" s="9">
        <f t="shared" si="29"/>
        <v>0</v>
      </c>
      <c r="AC62" s="9">
        <f t="shared" si="29"/>
        <v>0</v>
      </c>
      <c r="AD62" s="9">
        <f t="shared" si="29"/>
        <v>0</v>
      </c>
      <c r="AE62" s="9">
        <f t="shared" si="29"/>
        <v>0</v>
      </c>
      <c r="AF62" s="9">
        <f t="shared" si="29"/>
        <v>0</v>
      </c>
      <c r="AG62" s="9">
        <f t="shared" si="29"/>
        <v>0</v>
      </c>
      <c r="AH62" s="9">
        <f t="shared" si="29"/>
        <v>0</v>
      </c>
      <c r="AI62" s="9">
        <f t="shared" si="29"/>
        <v>0</v>
      </c>
      <c r="AJ62" s="9">
        <f t="shared" si="29"/>
        <v>0</v>
      </c>
      <c r="AK62" s="9">
        <f t="shared" si="29"/>
        <v>0</v>
      </c>
      <c r="AL62" s="9">
        <f t="shared" si="29"/>
        <v>0</v>
      </c>
      <c r="AM62" s="9">
        <f t="shared" si="29"/>
        <v>0</v>
      </c>
      <c r="AN62" s="9">
        <f t="shared" si="29"/>
        <v>0</v>
      </c>
      <c r="AO62" s="9">
        <f t="shared" si="29"/>
        <v>0</v>
      </c>
      <c r="AP62" s="9">
        <f t="shared" si="29"/>
        <v>0</v>
      </c>
      <c r="AQ62" s="9">
        <f t="shared" si="29"/>
        <v>0</v>
      </c>
      <c r="AR62" s="9">
        <f t="shared" si="29"/>
        <v>0</v>
      </c>
      <c r="AS62" s="9">
        <f t="shared" si="29"/>
        <v>0</v>
      </c>
      <c r="AT62" s="9">
        <f t="shared" si="29"/>
        <v>0</v>
      </c>
      <c r="AU62" s="9">
        <f t="shared" si="29"/>
        <v>0</v>
      </c>
      <c r="AV62" s="9">
        <f t="shared" si="29"/>
        <v>0</v>
      </c>
      <c r="AW62" s="9">
        <f t="shared" si="29"/>
        <v>0</v>
      </c>
      <c r="AX62" s="9">
        <f t="shared" si="29"/>
        <v>0</v>
      </c>
      <c r="AY62" s="9">
        <f t="shared" si="29"/>
        <v>0</v>
      </c>
      <c r="AZ62" s="9">
        <f t="shared" si="29"/>
        <v>0</v>
      </c>
      <c r="BA62" s="9">
        <f t="shared" si="29"/>
        <v>0</v>
      </c>
      <c r="BB62" s="9">
        <f t="shared" si="29"/>
        <v>0</v>
      </c>
      <c r="BC62" s="9">
        <f t="shared" si="29"/>
        <v>0</v>
      </c>
      <c r="BD62" s="9">
        <f t="shared" si="29"/>
        <v>0</v>
      </c>
      <c r="BE62" s="9">
        <f t="shared" si="29"/>
        <v>0</v>
      </c>
      <c r="BG62" s="14">
        <f t="shared" si="23"/>
        <v>0</v>
      </c>
      <c r="BH62" s="14">
        <f t="shared" si="28"/>
        <v>0</v>
      </c>
      <c r="BI62" s="14">
        <f t="shared" si="28"/>
        <v>0</v>
      </c>
      <c r="BJ62" s="14">
        <f t="shared" si="28"/>
        <v>0</v>
      </c>
      <c r="BK62" s="14">
        <f t="shared" si="28"/>
        <v>0</v>
      </c>
      <c r="BL62" s="14">
        <f t="shared" si="28"/>
        <v>0</v>
      </c>
      <c r="BM62" s="14">
        <f t="shared" si="28"/>
        <v>0</v>
      </c>
    </row>
    <row r="63" spans="6:65">
      <c r="F63" s="18"/>
      <c r="G63" s="17"/>
    </row>
    <row r="64" spans="6:65">
      <c r="F64" s="37" t="s">
        <v>255</v>
      </c>
      <c r="G64" s="17" t="str">
        <f t="shared" ref="G64:G69" si="30">cstNominalUnit</f>
        <v>£ Nominal</v>
      </c>
      <c r="AA64" s="80">
        <f t="shared" ref="AA64:BE64" si="31">SUM(AA65:AA70)</f>
        <v>0</v>
      </c>
      <c r="AB64" s="80">
        <f t="shared" si="31"/>
        <v>2781000</v>
      </c>
      <c r="AC64" s="80">
        <f t="shared" si="31"/>
        <v>5645430</v>
      </c>
      <c r="AD64" s="80">
        <f t="shared" si="31"/>
        <v>8595792.9000000004</v>
      </c>
      <c r="AE64" s="80">
        <f t="shared" si="31"/>
        <v>11634666.687000001</v>
      </c>
      <c r="AF64" s="80">
        <f t="shared" si="31"/>
        <v>14764706.68761</v>
      </c>
      <c r="AG64" s="80">
        <f t="shared" si="31"/>
        <v>17988647.8882383</v>
      </c>
      <c r="AH64" s="80">
        <f t="shared" si="31"/>
        <v>21309307.32488545</v>
      </c>
      <c r="AI64" s="80">
        <f t="shared" si="31"/>
        <v>24729586.544632014</v>
      </c>
      <c r="AJ64" s="80">
        <f t="shared" si="31"/>
        <v>28252474.140970975</v>
      </c>
      <c r="AK64" s="80">
        <f t="shared" si="31"/>
        <v>31881048.365200106</v>
      </c>
      <c r="AL64" s="80">
        <f t="shared" si="31"/>
        <v>35618479.816156112</v>
      </c>
      <c r="AM64" s="80">
        <f t="shared" si="31"/>
        <v>39468034.210640796</v>
      </c>
      <c r="AN64" s="80">
        <f t="shared" si="31"/>
        <v>43433075.236960024</v>
      </c>
      <c r="AO64" s="80">
        <f t="shared" si="31"/>
        <v>47517067.494068824</v>
      </c>
      <c r="AP64" s="80">
        <f t="shared" si="31"/>
        <v>51723579.518890887</v>
      </c>
      <c r="AQ64" s="80">
        <f t="shared" si="31"/>
        <v>56056286.904457614</v>
      </c>
      <c r="AR64" s="80">
        <f t="shared" si="31"/>
        <v>60518975.511591345</v>
      </c>
      <c r="AS64" s="80">
        <f t="shared" si="31"/>
        <v>65115544.776939087</v>
      </c>
      <c r="AT64" s="80">
        <f t="shared" si="31"/>
        <v>69850011.12024726</v>
      </c>
      <c r="AU64" s="80">
        <f t="shared" si="31"/>
        <v>74726511.45385468</v>
      </c>
      <c r="AV64" s="80">
        <f t="shared" si="31"/>
        <v>79749306.797470331</v>
      </c>
      <c r="AW64" s="80">
        <f t="shared" si="31"/>
        <v>84922786.001394451</v>
      </c>
      <c r="AX64" s="80">
        <f t="shared" si="31"/>
        <v>90251469.581436291</v>
      </c>
      <c r="AY64" s="80">
        <f t="shared" si="31"/>
        <v>95740013.66887939</v>
      </c>
      <c r="AZ64" s="80">
        <f t="shared" si="31"/>
        <v>101393214.07894577</v>
      </c>
      <c r="BA64" s="80">
        <f t="shared" si="31"/>
        <v>107216010.50131415</v>
      </c>
      <c r="BB64" s="80">
        <f t="shared" si="31"/>
        <v>113213490.81635357</v>
      </c>
      <c r="BC64" s="80">
        <f t="shared" si="31"/>
        <v>119390895.54084419</v>
      </c>
      <c r="BD64" s="80">
        <f t="shared" si="31"/>
        <v>125753622.40706952</v>
      </c>
      <c r="BE64" s="80">
        <f t="shared" si="31"/>
        <v>132307231.07928161</v>
      </c>
      <c r="BG64" s="80">
        <f t="shared" ref="BG64:BM69" si="32">SUMIFS($AA64:$BE64,$AA$3:$BE$3,BG$3)</f>
        <v>0</v>
      </c>
      <c r="BH64" s="80">
        <f t="shared" si="32"/>
        <v>14764706.68761</v>
      </c>
      <c r="BI64" s="80">
        <f t="shared" si="32"/>
        <v>31881048.365200106</v>
      </c>
      <c r="BJ64" s="80">
        <f t="shared" si="32"/>
        <v>51723579.518890887</v>
      </c>
      <c r="BK64" s="80">
        <f t="shared" si="32"/>
        <v>74726511.45385468</v>
      </c>
      <c r="BL64" s="80">
        <f t="shared" si="32"/>
        <v>101393214.07894577</v>
      </c>
      <c r="BM64" s="80">
        <f t="shared" si="32"/>
        <v>132307231.07928161</v>
      </c>
    </row>
    <row r="65" spans="1:66" outlineLevel="1">
      <c r="F65" s="18" t="s">
        <v>214</v>
      </c>
      <c r="G65" s="17" t="str">
        <f t="shared" si="30"/>
        <v>£ Nominal</v>
      </c>
      <c r="AA65" s="9">
        <f t="shared" ref="AA65:BE65" si="33">Z65+AA40</f>
        <v>0</v>
      </c>
      <c r="AB65" s="9">
        <f t="shared" si="33"/>
        <v>2781000</v>
      </c>
      <c r="AC65" s="9">
        <f t="shared" si="33"/>
        <v>5645430</v>
      </c>
      <c r="AD65" s="9">
        <f t="shared" si="33"/>
        <v>8595792.9000000004</v>
      </c>
      <c r="AE65" s="9">
        <f t="shared" si="33"/>
        <v>11634666.687000001</v>
      </c>
      <c r="AF65" s="9">
        <f t="shared" si="33"/>
        <v>14764706.68761</v>
      </c>
      <c r="AG65" s="9">
        <f t="shared" si="33"/>
        <v>17988647.8882383</v>
      </c>
      <c r="AH65" s="9">
        <f t="shared" si="33"/>
        <v>21309307.32488545</v>
      </c>
      <c r="AI65" s="9">
        <f t="shared" si="33"/>
        <v>24729586.544632014</v>
      </c>
      <c r="AJ65" s="9">
        <f t="shared" si="33"/>
        <v>28252474.140970975</v>
      </c>
      <c r="AK65" s="9">
        <f t="shared" si="33"/>
        <v>31881048.365200106</v>
      </c>
      <c r="AL65" s="9">
        <f t="shared" si="33"/>
        <v>35618479.816156112</v>
      </c>
      <c r="AM65" s="9">
        <f t="shared" si="33"/>
        <v>39468034.210640796</v>
      </c>
      <c r="AN65" s="9">
        <f t="shared" si="33"/>
        <v>43433075.236960024</v>
      </c>
      <c r="AO65" s="9">
        <f t="shared" si="33"/>
        <v>47517067.494068824</v>
      </c>
      <c r="AP65" s="9">
        <f t="shared" si="33"/>
        <v>51723579.518890887</v>
      </c>
      <c r="AQ65" s="9">
        <f t="shared" si="33"/>
        <v>56056286.904457614</v>
      </c>
      <c r="AR65" s="9">
        <f t="shared" si="33"/>
        <v>60518975.511591345</v>
      </c>
      <c r="AS65" s="9">
        <f t="shared" si="33"/>
        <v>65115544.776939087</v>
      </c>
      <c r="AT65" s="9">
        <f t="shared" si="33"/>
        <v>69850011.12024726</v>
      </c>
      <c r="AU65" s="9">
        <f t="shared" si="33"/>
        <v>74726511.45385468</v>
      </c>
      <c r="AV65" s="9">
        <f t="shared" si="33"/>
        <v>79749306.797470331</v>
      </c>
      <c r="AW65" s="9">
        <f t="shared" si="33"/>
        <v>84922786.001394451</v>
      </c>
      <c r="AX65" s="9">
        <f t="shared" si="33"/>
        <v>90251469.581436291</v>
      </c>
      <c r="AY65" s="9">
        <f t="shared" si="33"/>
        <v>95740013.66887939</v>
      </c>
      <c r="AZ65" s="9">
        <f t="shared" si="33"/>
        <v>101393214.07894577</v>
      </c>
      <c r="BA65" s="9">
        <f t="shared" si="33"/>
        <v>107216010.50131415</v>
      </c>
      <c r="BB65" s="9">
        <f t="shared" si="33"/>
        <v>113213490.81635357</v>
      </c>
      <c r="BC65" s="9">
        <f t="shared" si="33"/>
        <v>119390895.54084419</v>
      </c>
      <c r="BD65" s="9">
        <f t="shared" si="33"/>
        <v>125753622.40706952</v>
      </c>
      <c r="BE65" s="9">
        <f t="shared" si="33"/>
        <v>132307231.07928161</v>
      </c>
      <c r="BG65" s="14">
        <f t="shared" si="32"/>
        <v>0</v>
      </c>
      <c r="BH65" s="14">
        <f t="shared" si="32"/>
        <v>14764706.68761</v>
      </c>
      <c r="BI65" s="14">
        <f t="shared" si="32"/>
        <v>31881048.365200106</v>
      </c>
      <c r="BJ65" s="14">
        <f t="shared" si="32"/>
        <v>51723579.518890887</v>
      </c>
      <c r="BK65" s="14">
        <f t="shared" si="32"/>
        <v>74726511.45385468</v>
      </c>
      <c r="BL65" s="14">
        <f t="shared" si="32"/>
        <v>101393214.07894577</v>
      </c>
      <c r="BM65" s="14">
        <f t="shared" si="32"/>
        <v>132307231.07928161</v>
      </c>
    </row>
    <row r="66" spans="1:66" outlineLevel="1">
      <c r="F66" s="18" t="s">
        <v>42</v>
      </c>
      <c r="G66" s="17" t="str">
        <f t="shared" si="30"/>
        <v>£ Nominal</v>
      </c>
      <c r="AA66" s="9">
        <f t="shared" ref="AA66:BE66" si="34">Z66+AA41</f>
        <v>0</v>
      </c>
      <c r="AB66" s="9">
        <f t="shared" si="34"/>
        <v>0</v>
      </c>
      <c r="AC66" s="9">
        <f t="shared" si="34"/>
        <v>0</v>
      </c>
      <c r="AD66" s="9">
        <f t="shared" si="34"/>
        <v>0</v>
      </c>
      <c r="AE66" s="9">
        <f t="shared" si="34"/>
        <v>0</v>
      </c>
      <c r="AF66" s="9">
        <f t="shared" si="34"/>
        <v>0</v>
      </c>
      <c r="AG66" s="9">
        <f t="shared" si="34"/>
        <v>0</v>
      </c>
      <c r="AH66" s="9">
        <f t="shared" si="34"/>
        <v>0</v>
      </c>
      <c r="AI66" s="9">
        <f t="shared" si="34"/>
        <v>0</v>
      </c>
      <c r="AJ66" s="9">
        <f t="shared" si="34"/>
        <v>0</v>
      </c>
      <c r="AK66" s="9">
        <f t="shared" si="34"/>
        <v>0</v>
      </c>
      <c r="AL66" s="9">
        <f t="shared" si="34"/>
        <v>0</v>
      </c>
      <c r="AM66" s="9">
        <f t="shared" si="34"/>
        <v>0</v>
      </c>
      <c r="AN66" s="9">
        <f t="shared" si="34"/>
        <v>0</v>
      </c>
      <c r="AO66" s="9">
        <f t="shared" si="34"/>
        <v>0</v>
      </c>
      <c r="AP66" s="9">
        <f t="shared" si="34"/>
        <v>0</v>
      </c>
      <c r="AQ66" s="9">
        <f t="shared" si="34"/>
        <v>0</v>
      </c>
      <c r="AR66" s="9">
        <f t="shared" si="34"/>
        <v>0</v>
      </c>
      <c r="AS66" s="9">
        <f t="shared" si="34"/>
        <v>0</v>
      </c>
      <c r="AT66" s="9">
        <f t="shared" si="34"/>
        <v>0</v>
      </c>
      <c r="AU66" s="9">
        <f t="shared" si="34"/>
        <v>0</v>
      </c>
      <c r="AV66" s="9">
        <f t="shared" si="34"/>
        <v>0</v>
      </c>
      <c r="AW66" s="9">
        <f t="shared" si="34"/>
        <v>0</v>
      </c>
      <c r="AX66" s="9">
        <f t="shared" si="34"/>
        <v>0</v>
      </c>
      <c r="AY66" s="9">
        <f t="shared" si="34"/>
        <v>0</v>
      </c>
      <c r="AZ66" s="9">
        <f t="shared" si="34"/>
        <v>0</v>
      </c>
      <c r="BA66" s="9">
        <f t="shared" si="34"/>
        <v>0</v>
      </c>
      <c r="BB66" s="9">
        <f t="shared" si="34"/>
        <v>0</v>
      </c>
      <c r="BC66" s="9">
        <f t="shared" si="34"/>
        <v>0</v>
      </c>
      <c r="BD66" s="9">
        <f t="shared" si="34"/>
        <v>0</v>
      </c>
      <c r="BE66" s="9">
        <f t="shared" si="34"/>
        <v>0</v>
      </c>
      <c r="BG66" s="14">
        <f t="shared" si="32"/>
        <v>0</v>
      </c>
      <c r="BH66" s="14">
        <f t="shared" si="32"/>
        <v>0</v>
      </c>
      <c r="BI66" s="14">
        <f t="shared" si="32"/>
        <v>0</v>
      </c>
      <c r="BJ66" s="14">
        <f t="shared" si="32"/>
        <v>0</v>
      </c>
      <c r="BK66" s="14">
        <f t="shared" si="32"/>
        <v>0</v>
      </c>
      <c r="BL66" s="14">
        <f t="shared" si="32"/>
        <v>0</v>
      </c>
      <c r="BM66" s="14">
        <f t="shared" si="32"/>
        <v>0</v>
      </c>
    </row>
    <row r="67" spans="1:66" outlineLevel="1">
      <c r="F67" s="18" t="s">
        <v>227</v>
      </c>
      <c r="G67" s="17" t="str">
        <f t="shared" si="30"/>
        <v>£ Nominal</v>
      </c>
      <c r="AA67" s="9">
        <f t="shared" ref="AA67:BE67" si="35">Z67+AA42</f>
        <v>0</v>
      </c>
      <c r="AB67" s="9">
        <f t="shared" si="35"/>
        <v>0</v>
      </c>
      <c r="AC67" s="9">
        <f t="shared" si="35"/>
        <v>0</v>
      </c>
      <c r="AD67" s="9">
        <f t="shared" si="35"/>
        <v>0</v>
      </c>
      <c r="AE67" s="9">
        <f t="shared" si="35"/>
        <v>0</v>
      </c>
      <c r="AF67" s="9">
        <f t="shared" si="35"/>
        <v>0</v>
      </c>
      <c r="AG67" s="9">
        <f t="shared" si="35"/>
        <v>0</v>
      </c>
      <c r="AH67" s="9">
        <f t="shared" si="35"/>
        <v>0</v>
      </c>
      <c r="AI67" s="9">
        <f t="shared" si="35"/>
        <v>0</v>
      </c>
      <c r="AJ67" s="9">
        <f t="shared" si="35"/>
        <v>0</v>
      </c>
      <c r="AK67" s="9">
        <f t="shared" si="35"/>
        <v>0</v>
      </c>
      <c r="AL67" s="9">
        <f t="shared" si="35"/>
        <v>0</v>
      </c>
      <c r="AM67" s="9">
        <f t="shared" si="35"/>
        <v>0</v>
      </c>
      <c r="AN67" s="9">
        <f t="shared" si="35"/>
        <v>0</v>
      </c>
      <c r="AO67" s="9">
        <f t="shared" si="35"/>
        <v>0</v>
      </c>
      <c r="AP67" s="9">
        <f t="shared" si="35"/>
        <v>0</v>
      </c>
      <c r="AQ67" s="9">
        <f t="shared" si="35"/>
        <v>0</v>
      </c>
      <c r="AR67" s="9">
        <f t="shared" si="35"/>
        <v>0</v>
      </c>
      <c r="AS67" s="9">
        <f t="shared" si="35"/>
        <v>0</v>
      </c>
      <c r="AT67" s="9">
        <f t="shared" si="35"/>
        <v>0</v>
      </c>
      <c r="AU67" s="9">
        <f t="shared" si="35"/>
        <v>0</v>
      </c>
      <c r="AV67" s="9">
        <f t="shared" si="35"/>
        <v>0</v>
      </c>
      <c r="AW67" s="9">
        <f t="shared" si="35"/>
        <v>0</v>
      </c>
      <c r="AX67" s="9">
        <f t="shared" si="35"/>
        <v>0</v>
      </c>
      <c r="AY67" s="9">
        <f t="shared" si="35"/>
        <v>0</v>
      </c>
      <c r="AZ67" s="9">
        <f t="shared" si="35"/>
        <v>0</v>
      </c>
      <c r="BA67" s="9">
        <f t="shared" si="35"/>
        <v>0</v>
      </c>
      <c r="BB67" s="9">
        <f t="shared" si="35"/>
        <v>0</v>
      </c>
      <c r="BC67" s="9">
        <f t="shared" si="35"/>
        <v>0</v>
      </c>
      <c r="BD67" s="9">
        <f t="shared" si="35"/>
        <v>0</v>
      </c>
      <c r="BE67" s="9">
        <f t="shared" si="35"/>
        <v>0</v>
      </c>
      <c r="BG67" s="14">
        <f t="shared" si="32"/>
        <v>0</v>
      </c>
      <c r="BH67" s="14">
        <f t="shared" si="32"/>
        <v>0</v>
      </c>
      <c r="BI67" s="14">
        <f t="shared" si="32"/>
        <v>0</v>
      </c>
      <c r="BJ67" s="14">
        <f t="shared" si="32"/>
        <v>0</v>
      </c>
      <c r="BK67" s="14">
        <f t="shared" si="32"/>
        <v>0</v>
      </c>
      <c r="BL67" s="14">
        <f t="shared" si="32"/>
        <v>0</v>
      </c>
      <c r="BM67" s="14">
        <f t="shared" si="32"/>
        <v>0</v>
      </c>
    </row>
    <row r="68" spans="1:66" outlineLevel="1">
      <c r="F68" s="18" t="s">
        <v>121</v>
      </c>
      <c r="G68" s="17" t="str">
        <f t="shared" si="30"/>
        <v>£ Nominal</v>
      </c>
      <c r="AA68" s="9">
        <f t="shared" ref="AA68:BE68" si="36">Z68+AA43</f>
        <v>0</v>
      </c>
      <c r="AB68" s="9">
        <f t="shared" si="36"/>
        <v>0</v>
      </c>
      <c r="AC68" s="9">
        <f t="shared" si="36"/>
        <v>0</v>
      </c>
      <c r="AD68" s="9">
        <f t="shared" si="36"/>
        <v>0</v>
      </c>
      <c r="AE68" s="9">
        <f t="shared" si="36"/>
        <v>0</v>
      </c>
      <c r="AF68" s="9">
        <f t="shared" si="36"/>
        <v>0</v>
      </c>
      <c r="AG68" s="9">
        <f t="shared" si="36"/>
        <v>0</v>
      </c>
      <c r="AH68" s="9">
        <f t="shared" si="36"/>
        <v>0</v>
      </c>
      <c r="AI68" s="9">
        <f t="shared" si="36"/>
        <v>0</v>
      </c>
      <c r="AJ68" s="9">
        <f t="shared" si="36"/>
        <v>0</v>
      </c>
      <c r="AK68" s="9">
        <f t="shared" si="36"/>
        <v>0</v>
      </c>
      <c r="AL68" s="9">
        <f t="shared" si="36"/>
        <v>0</v>
      </c>
      <c r="AM68" s="9">
        <f t="shared" si="36"/>
        <v>0</v>
      </c>
      <c r="AN68" s="9">
        <f t="shared" si="36"/>
        <v>0</v>
      </c>
      <c r="AO68" s="9">
        <f t="shared" si="36"/>
        <v>0</v>
      </c>
      <c r="AP68" s="9">
        <f t="shared" si="36"/>
        <v>0</v>
      </c>
      <c r="AQ68" s="9">
        <f t="shared" si="36"/>
        <v>0</v>
      </c>
      <c r="AR68" s="9">
        <f t="shared" si="36"/>
        <v>0</v>
      </c>
      <c r="AS68" s="9">
        <f t="shared" si="36"/>
        <v>0</v>
      </c>
      <c r="AT68" s="9">
        <f t="shared" si="36"/>
        <v>0</v>
      </c>
      <c r="AU68" s="9">
        <f t="shared" si="36"/>
        <v>0</v>
      </c>
      <c r="AV68" s="9">
        <f t="shared" si="36"/>
        <v>0</v>
      </c>
      <c r="AW68" s="9">
        <f t="shared" si="36"/>
        <v>0</v>
      </c>
      <c r="AX68" s="9">
        <f t="shared" si="36"/>
        <v>0</v>
      </c>
      <c r="AY68" s="9">
        <f t="shared" si="36"/>
        <v>0</v>
      </c>
      <c r="AZ68" s="9">
        <f t="shared" si="36"/>
        <v>0</v>
      </c>
      <c r="BA68" s="9">
        <f t="shared" si="36"/>
        <v>0</v>
      </c>
      <c r="BB68" s="9">
        <f t="shared" si="36"/>
        <v>0</v>
      </c>
      <c r="BC68" s="9">
        <f t="shared" si="36"/>
        <v>0</v>
      </c>
      <c r="BD68" s="9">
        <f t="shared" si="36"/>
        <v>0</v>
      </c>
      <c r="BE68" s="9">
        <f t="shared" si="36"/>
        <v>0</v>
      </c>
      <c r="BG68" s="14">
        <f t="shared" si="32"/>
        <v>0</v>
      </c>
      <c r="BH68" s="14">
        <f t="shared" si="32"/>
        <v>0</v>
      </c>
      <c r="BI68" s="14">
        <f t="shared" si="32"/>
        <v>0</v>
      </c>
      <c r="BJ68" s="14">
        <f t="shared" si="32"/>
        <v>0</v>
      </c>
      <c r="BK68" s="14">
        <f t="shared" si="32"/>
        <v>0</v>
      </c>
      <c r="BL68" s="14">
        <f t="shared" si="32"/>
        <v>0</v>
      </c>
      <c r="BM68" s="14">
        <f t="shared" si="32"/>
        <v>0</v>
      </c>
    </row>
    <row r="69" spans="1:66" outlineLevel="1">
      <c r="F69" s="18" t="s">
        <v>245</v>
      </c>
      <c r="G69" s="17" t="str">
        <f t="shared" si="30"/>
        <v>£ Nominal</v>
      </c>
      <c r="AA69" s="9">
        <f t="shared" ref="AA69:BE69" si="37">Z69+AA44</f>
        <v>0</v>
      </c>
      <c r="AB69" s="9">
        <f t="shared" si="37"/>
        <v>0</v>
      </c>
      <c r="AC69" s="9">
        <f t="shared" si="37"/>
        <v>0</v>
      </c>
      <c r="AD69" s="9">
        <f t="shared" si="37"/>
        <v>0</v>
      </c>
      <c r="AE69" s="9">
        <f t="shared" si="37"/>
        <v>0</v>
      </c>
      <c r="AF69" s="9">
        <f t="shared" si="37"/>
        <v>0</v>
      </c>
      <c r="AG69" s="9">
        <f t="shared" si="37"/>
        <v>0</v>
      </c>
      <c r="AH69" s="9">
        <f t="shared" si="37"/>
        <v>0</v>
      </c>
      <c r="AI69" s="9">
        <f t="shared" si="37"/>
        <v>0</v>
      </c>
      <c r="AJ69" s="9">
        <f t="shared" si="37"/>
        <v>0</v>
      </c>
      <c r="AK69" s="9">
        <f t="shared" si="37"/>
        <v>0</v>
      </c>
      <c r="AL69" s="9">
        <f t="shared" si="37"/>
        <v>0</v>
      </c>
      <c r="AM69" s="9">
        <f t="shared" si="37"/>
        <v>0</v>
      </c>
      <c r="AN69" s="9">
        <f t="shared" si="37"/>
        <v>0</v>
      </c>
      <c r="AO69" s="9">
        <f t="shared" si="37"/>
        <v>0</v>
      </c>
      <c r="AP69" s="9">
        <f t="shared" si="37"/>
        <v>0</v>
      </c>
      <c r="AQ69" s="9">
        <f t="shared" si="37"/>
        <v>0</v>
      </c>
      <c r="AR69" s="9">
        <f t="shared" si="37"/>
        <v>0</v>
      </c>
      <c r="AS69" s="9">
        <f t="shared" si="37"/>
        <v>0</v>
      </c>
      <c r="AT69" s="9">
        <f t="shared" si="37"/>
        <v>0</v>
      </c>
      <c r="AU69" s="9">
        <f t="shared" si="37"/>
        <v>0</v>
      </c>
      <c r="AV69" s="9">
        <f t="shared" si="37"/>
        <v>0</v>
      </c>
      <c r="AW69" s="9">
        <f t="shared" si="37"/>
        <v>0</v>
      </c>
      <c r="AX69" s="9">
        <f t="shared" si="37"/>
        <v>0</v>
      </c>
      <c r="AY69" s="9">
        <f t="shared" si="37"/>
        <v>0</v>
      </c>
      <c r="AZ69" s="9">
        <f t="shared" si="37"/>
        <v>0</v>
      </c>
      <c r="BA69" s="9">
        <f t="shared" si="37"/>
        <v>0</v>
      </c>
      <c r="BB69" s="9">
        <f t="shared" si="37"/>
        <v>0</v>
      </c>
      <c r="BC69" s="9">
        <f t="shared" si="37"/>
        <v>0</v>
      </c>
      <c r="BD69" s="9">
        <f t="shared" si="37"/>
        <v>0</v>
      </c>
      <c r="BE69" s="9">
        <f t="shared" si="37"/>
        <v>0</v>
      </c>
      <c r="BG69" s="14">
        <f t="shared" si="32"/>
        <v>0</v>
      </c>
      <c r="BH69" s="14">
        <f t="shared" si="32"/>
        <v>0</v>
      </c>
      <c r="BI69" s="14">
        <f t="shared" si="32"/>
        <v>0</v>
      </c>
      <c r="BJ69" s="14">
        <f t="shared" si="32"/>
        <v>0</v>
      </c>
      <c r="BK69" s="14">
        <f t="shared" si="32"/>
        <v>0</v>
      </c>
      <c r="BL69" s="14">
        <f t="shared" si="32"/>
        <v>0</v>
      </c>
      <c r="BM69" s="14">
        <f t="shared" si="32"/>
        <v>0</v>
      </c>
    </row>
    <row r="70" spans="1:66">
      <c r="F70" s="18"/>
      <c r="G70" s="17"/>
    </row>
    <row r="71" spans="1:66" ht="14" thickBot="1">
      <c r="A71" s="25"/>
      <c r="B71" s="25"/>
      <c r="C71" s="25"/>
      <c r="D71" s="25"/>
      <c r="E71" s="25" t="s">
        <v>411</v>
      </c>
      <c r="F71" s="25" t="s">
        <v>257</v>
      </c>
      <c r="G71" s="25"/>
      <c r="H71" s="25"/>
      <c r="I71" s="25"/>
      <c r="J71" s="25"/>
      <c r="K71" s="25"/>
      <c r="L71" s="25"/>
      <c r="M71" s="25"/>
      <c r="N71" s="25"/>
      <c r="O71" s="25"/>
      <c r="P71" s="25"/>
      <c r="Q71" s="25"/>
      <c r="R71" s="25"/>
      <c r="S71" s="25"/>
      <c r="T71" s="25"/>
      <c r="U71" s="25"/>
      <c r="V71" s="25"/>
      <c r="W71" s="25"/>
      <c r="X71" s="25"/>
      <c r="Y71" s="25"/>
      <c r="Z71" s="25"/>
      <c r="AA71" s="25"/>
      <c r="AB71" s="25"/>
      <c r="AC71" s="25"/>
      <c r="AD71" s="25"/>
      <c r="AE71" s="25"/>
      <c r="AF71" s="25"/>
      <c r="AG71" s="25"/>
      <c r="AH71" s="25"/>
      <c r="AI71" s="25"/>
      <c r="AJ71" s="25"/>
      <c r="AK71" s="25"/>
      <c r="AL71" s="25"/>
      <c r="AM71" s="25"/>
      <c r="AN71" s="25"/>
      <c r="AO71" s="25"/>
      <c r="AP71" s="25"/>
      <c r="AQ71" s="25"/>
      <c r="AR71" s="25"/>
      <c r="AS71" s="25"/>
      <c r="AT71" s="25"/>
      <c r="AU71" s="25"/>
      <c r="AV71" s="25"/>
      <c r="AW71" s="25"/>
      <c r="AX71" s="25"/>
      <c r="AY71" s="25"/>
      <c r="AZ71" s="25"/>
      <c r="BA71" s="25"/>
      <c r="BB71" s="25"/>
      <c r="BC71" s="25"/>
      <c r="BD71" s="25"/>
      <c r="BE71" s="25"/>
      <c r="BF71" s="25"/>
      <c r="BG71" s="25"/>
      <c r="BH71" s="25"/>
      <c r="BI71" s="25"/>
      <c r="BJ71" s="25"/>
      <c r="BK71" s="25"/>
      <c r="BL71" s="25"/>
      <c r="BM71" s="25"/>
      <c r="BN71" s="25"/>
    </row>
    <row r="72" spans="1:66">
      <c r="F72" s="18"/>
      <c r="G72" s="17"/>
    </row>
    <row r="73" spans="1:66" ht="13">
      <c r="F73" s="26" t="s">
        <v>258</v>
      </c>
      <c r="G73" s="17"/>
    </row>
    <row r="74" spans="1:66">
      <c r="F74" s="18"/>
      <c r="G74" s="17"/>
    </row>
    <row r="75" spans="1:66">
      <c r="F75" s="40" t="s">
        <v>379</v>
      </c>
      <c r="G75" s="17" t="str">
        <f>cstHours</f>
        <v>Hrs</v>
      </c>
      <c r="I75" s="9">
        <f>cVolumetrics!Z39</f>
        <v>2700000</v>
      </c>
      <c r="AA75" s="39"/>
      <c r="AB75" s="39"/>
      <c r="AC75" s="39"/>
      <c r="AD75" s="39"/>
      <c r="AE75" s="39"/>
      <c r="AF75" s="39"/>
      <c r="AG75" s="39"/>
      <c r="AH75" s="39"/>
      <c r="AI75" s="39"/>
      <c r="AJ75" s="39"/>
      <c r="AK75" s="39"/>
      <c r="AL75" s="39"/>
      <c r="AM75" s="39"/>
      <c r="AN75" s="39"/>
      <c r="AO75" s="39"/>
      <c r="AP75" s="39"/>
      <c r="AQ75" s="39"/>
      <c r="AR75" s="39"/>
      <c r="AS75" s="39"/>
      <c r="AT75" s="39"/>
      <c r="AU75" s="39"/>
      <c r="AV75" s="39"/>
      <c r="AW75" s="39"/>
      <c r="AX75" s="39"/>
      <c r="AY75" s="39"/>
      <c r="AZ75" s="39"/>
      <c r="BA75" s="39"/>
      <c r="BB75" s="39"/>
      <c r="BC75" s="39"/>
      <c r="BD75" s="39"/>
      <c r="BE75" s="39"/>
      <c r="BG75" s="39"/>
      <c r="BH75" s="39"/>
      <c r="BI75" s="39"/>
      <c r="BJ75" s="39"/>
      <c r="BK75" s="39"/>
      <c r="BL75" s="39"/>
      <c r="BM75" s="39"/>
    </row>
    <row r="76" spans="1:66">
      <c r="F76" s="18"/>
      <c r="G76" s="17"/>
    </row>
    <row r="77" spans="1:66" ht="13">
      <c r="F77" s="26" t="s">
        <v>251</v>
      </c>
      <c r="G77" s="17"/>
    </row>
    <row r="78" spans="1:66">
      <c r="F78" s="18"/>
      <c r="G78" s="17"/>
    </row>
    <row r="79" spans="1:66">
      <c r="F79" s="81" t="s">
        <v>252</v>
      </c>
      <c r="G79" s="17" t="str">
        <f>cstNominalUnit</f>
        <v>£ Nominal</v>
      </c>
      <c r="I79" s="15">
        <f>I25/$I$75</f>
        <v>40.340736630818711</v>
      </c>
      <c r="AA79" s="39"/>
      <c r="AB79" s="39"/>
      <c r="AC79" s="39"/>
      <c r="AD79" s="39"/>
      <c r="AE79" s="39"/>
      <c r="AF79" s="39"/>
      <c r="AG79" s="39"/>
      <c r="AH79" s="39"/>
      <c r="AI79" s="39"/>
      <c r="AJ79" s="39"/>
      <c r="AK79" s="39"/>
      <c r="AL79" s="39"/>
      <c r="AM79" s="39"/>
      <c r="AN79" s="39"/>
      <c r="AO79" s="39"/>
      <c r="AP79" s="39"/>
      <c r="AQ79" s="39"/>
      <c r="AR79" s="39"/>
      <c r="AS79" s="39"/>
      <c r="AT79" s="39"/>
      <c r="AU79" s="39"/>
      <c r="AV79" s="39"/>
      <c r="AW79" s="39"/>
      <c r="AX79" s="39"/>
      <c r="AY79" s="39"/>
      <c r="AZ79" s="39"/>
      <c r="BA79" s="39"/>
      <c r="BB79" s="39"/>
      <c r="BC79" s="39"/>
      <c r="BD79" s="39"/>
      <c r="BE79" s="39"/>
      <c r="BG79" s="39"/>
      <c r="BH79" s="39"/>
      <c r="BI79" s="39"/>
      <c r="BJ79" s="39"/>
      <c r="BK79" s="39"/>
      <c r="BL79" s="39"/>
      <c r="BM79" s="39"/>
    </row>
    <row r="81" spans="1:66">
      <c r="F81" s="81" t="s">
        <v>253</v>
      </c>
      <c r="G81" s="17" t="str">
        <f>cstNominalUnit</f>
        <v>£ Nominal</v>
      </c>
      <c r="I81" s="15">
        <f>I32/$I$75</f>
        <v>39.550378624216158</v>
      </c>
      <c r="AA81" s="39"/>
      <c r="AB81" s="39"/>
      <c r="AC81" s="39"/>
      <c r="AD81" s="39"/>
      <c r="AE81" s="39"/>
      <c r="AF81" s="39"/>
      <c r="AG81" s="39"/>
      <c r="AH81" s="39"/>
      <c r="AI81" s="39"/>
      <c r="AJ81" s="39"/>
      <c r="AK81" s="39"/>
      <c r="AL81" s="39"/>
      <c r="AM81" s="39"/>
      <c r="AN81" s="39"/>
      <c r="AO81" s="39"/>
      <c r="AP81" s="39"/>
      <c r="AQ81" s="39"/>
      <c r="AR81" s="39"/>
      <c r="AS81" s="39"/>
      <c r="AT81" s="39"/>
      <c r="AU81" s="39"/>
      <c r="AV81" s="39"/>
      <c r="AW81" s="39"/>
      <c r="AX81" s="39"/>
      <c r="AY81" s="39"/>
      <c r="AZ81" s="39"/>
      <c r="BA81" s="39"/>
      <c r="BB81" s="39"/>
      <c r="BC81" s="39"/>
      <c r="BD81" s="39"/>
      <c r="BE81" s="39"/>
      <c r="BG81" s="39"/>
      <c r="BH81" s="39"/>
      <c r="BI81" s="39"/>
      <c r="BJ81" s="39"/>
      <c r="BK81" s="39"/>
      <c r="BL81" s="39"/>
      <c r="BM81" s="39"/>
    </row>
    <row r="83" spans="1:66">
      <c r="F83" s="81" t="s">
        <v>255</v>
      </c>
      <c r="G83" s="17" t="str">
        <f>cstNominalUnit</f>
        <v>£ Nominal</v>
      </c>
      <c r="I83" s="15">
        <f>I39/$I$75</f>
        <v>49.002678177511712</v>
      </c>
      <c r="AA83" s="39"/>
      <c r="AB83" s="39"/>
      <c r="AC83" s="39"/>
      <c r="AD83" s="39"/>
      <c r="AE83" s="39"/>
      <c r="AF83" s="39"/>
      <c r="AG83" s="39"/>
      <c r="AH83" s="39"/>
      <c r="AI83" s="39"/>
      <c r="AJ83" s="39"/>
      <c r="AK83" s="39"/>
      <c r="AL83" s="39"/>
      <c r="AM83" s="39"/>
      <c r="AN83" s="39"/>
      <c r="AO83" s="39"/>
      <c r="AP83" s="39"/>
      <c r="AQ83" s="39"/>
      <c r="AR83" s="39"/>
      <c r="AS83" s="39"/>
      <c r="AT83" s="39"/>
      <c r="AU83" s="39"/>
      <c r="AV83" s="39"/>
      <c r="AW83" s="39"/>
      <c r="AX83" s="39"/>
      <c r="AY83" s="39"/>
      <c r="AZ83" s="39"/>
      <c r="BA83" s="39"/>
      <c r="BB83" s="39"/>
      <c r="BC83" s="39"/>
      <c r="BD83" s="39"/>
      <c r="BE83" s="39"/>
      <c r="BG83" s="39"/>
      <c r="BH83" s="39"/>
      <c r="BI83" s="39"/>
      <c r="BJ83" s="39"/>
      <c r="BK83" s="39"/>
      <c r="BL83" s="39"/>
      <c r="BM83" s="39"/>
    </row>
    <row r="84" spans="1:66">
      <c r="F84" s="18"/>
      <c r="G84" s="17"/>
    </row>
    <row r="85" spans="1:66" ht="16">
      <c r="A85" s="24"/>
      <c r="B85" s="24"/>
      <c r="C85" s="24"/>
      <c r="D85" s="24">
        <v>3</v>
      </c>
      <c r="E85" s="24" t="s">
        <v>277</v>
      </c>
      <c r="F85" s="24"/>
      <c r="G85" s="24"/>
      <c r="H85" s="24"/>
      <c r="I85" s="24"/>
      <c r="J85" s="24"/>
      <c r="K85" s="24"/>
      <c r="L85" s="24"/>
      <c r="M85" s="24"/>
      <c r="N85" s="24"/>
      <c r="O85" s="24"/>
      <c r="P85" s="24"/>
      <c r="Q85" s="24"/>
      <c r="R85" s="24"/>
      <c r="S85" s="24"/>
      <c r="T85" s="24"/>
      <c r="U85" s="24"/>
      <c r="V85" s="24"/>
      <c r="W85" s="24"/>
      <c r="X85" s="24"/>
      <c r="Y85" s="24"/>
      <c r="Z85" s="24"/>
      <c r="AA85" s="24"/>
      <c r="AB85" s="24"/>
      <c r="AC85" s="24"/>
      <c r="AD85" s="24"/>
      <c r="AE85" s="24"/>
      <c r="AF85" s="24"/>
      <c r="AG85" s="24"/>
      <c r="AH85" s="24"/>
      <c r="AI85" s="24"/>
      <c r="AJ85" s="24"/>
      <c r="AK85" s="24"/>
      <c r="AL85" s="24"/>
      <c r="AM85" s="24"/>
      <c r="AN85" s="24"/>
      <c r="AO85" s="24"/>
      <c r="AP85" s="24"/>
      <c r="AQ85" s="24"/>
      <c r="AR85" s="24"/>
      <c r="AS85" s="24"/>
      <c r="AT85" s="24"/>
      <c r="AU85" s="24"/>
      <c r="AV85" s="24"/>
      <c r="AW85" s="24"/>
      <c r="AX85" s="24"/>
      <c r="AY85" s="24"/>
      <c r="AZ85" s="24"/>
      <c r="BA85" s="24"/>
      <c r="BB85" s="24"/>
      <c r="BC85" s="24"/>
      <c r="BD85" s="24"/>
      <c r="BE85" s="24"/>
      <c r="BF85" s="24"/>
      <c r="BG85" s="24"/>
      <c r="BH85" s="24"/>
      <c r="BI85" s="24"/>
      <c r="BJ85" s="24"/>
      <c r="BK85" s="24"/>
      <c r="BL85" s="24"/>
      <c r="BM85" s="24"/>
      <c r="BN85" s="24"/>
    </row>
    <row r="86" spans="1:66">
      <c r="F86" s="18"/>
      <c r="G86" s="17"/>
    </row>
    <row r="87" spans="1:66" ht="14" thickBot="1">
      <c r="A87" s="25"/>
      <c r="B87" s="25"/>
      <c r="C87" s="25"/>
      <c r="D87" s="25"/>
      <c r="E87" s="25" t="s">
        <v>390</v>
      </c>
      <c r="F87" s="25" t="s">
        <v>250</v>
      </c>
      <c r="G87" s="25"/>
      <c r="H87" s="25"/>
      <c r="I87" s="25"/>
      <c r="J87" s="25"/>
      <c r="K87" s="25"/>
      <c r="L87" s="25"/>
      <c r="M87" s="25"/>
      <c r="N87" s="25"/>
      <c r="O87" s="25"/>
      <c r="P87" s="25"/>
      <c r="Q87" s="25"/>
      <c r="R87" s="25"/>
      <c r="S87" s="25"/>
      <c r="T87" s="25"/>
      <c r="U87" s="25"/>
      <c r="V87" s="25"/>
      <c r="W87" s="25"/>
      <c r="X87" s="25"/>
      <c r="Y87" s="25"/>
      <c r="Z87" s="25"/>
      <c r="AA87" s="25"/>
      <c r="AB87" s="25"/>
      <c r="AC87" s="25"/>
      <c r="AD87" s="25"/>
      <c r="AE87" s="25"/>
      <c r="AF87" s="25"/>
      <c r="AG87" s="25"/>
      <c r="AH87" s="25"/>
      <c r="AI87" s="25"/>
      <c r="AJ87" s="25"/>
      <c r="AK87" s="25"/>
      <c r="AL87" s="25"/>
      <c r="AM87" s="25"/>
      <c r="AN87" s="25"/>
      <c r="AO87" s="25"/>
      <c r="AP87" s="25"/>
      <c r="AQ87" s="25"/>
      <c r="AR87" s="25"/>
      <c r="AS87" s="25"/>
      <c r="AT87" s="25"/>
      <c r="AU87" s="25"/>
      <c r="AV87" s="25"/>
      <c r="AW87" s="25"/>
      <c r="AX87" s="25"/>
      <c r="AY87" s="25"/>
      <c r="AZ87" s="25"/>
      <c r="BA87" s="25"/>
      <c r="BB87" s="25"/>
      <c r="BC87" s="25"/>
      <c r="BD87" s="25"/>
      <c r="BE87" s="25"/>
      <c r="BF87" s="25"/>
      <c r="BG87" s="25"/>
      <c r="BH87" s="25"/>
      <c r="BI87" s="25"/>
      <c r="BJ87" s="25"/>
      <c r="BK87" s="25"/>
      <c r="BL87" s="25"/>
      <c r="BM87" s="25"/>
      <c r="BN87" s="25"/>
    </row>
    <row r="88" spans="1:66">
      <c r="F88" s="18"/>
      <c r="G88" s="17"/>
    </row>
    <row r="89" spans="1:66" ht="13">
      <c r="F89" s="26" t="s">
        <v>324</v>
      </c>
      <c r="G89" s="17"/>
      <c r="I89" s="46" t="s">
        <v>256</v>
      </c>
    </row>
    <row r="90" spans="1:66">
      <c r="F90" s="18"/>
      <c r="G90" s="17"/>
    </row>
    <row r="91" spans="1:66">
      <c r="F91" s="37" t="s">
        <v>252</v>
      </c>
      <c r="G91" s="17" t="str">
        <f t="shared" ref="G91:G96" si="38">cstRealUnit</f>
        <v>£ Real</v>
      </c>
      <c r="I91" s="80">
        <f t="shared" ref="I91:I96" si="39">SUM(AA91:BE91)</f>
        <v>80228510.67664139</v>
      </c>
      <c r="AA91" s="80">
        <f t="shared" ref="AA91:BE91" si="40">SUM(AA92:AA97)</f>
        <v>3045073.0031171548</v>
      </c>
      <c r="AB91" s="80">
        <f t="shared" si="40"/>
        <v>2873384.7482724581</v>
      </c>
      <c r="AC91" s="80">
        <f t="shared" si="40"/>
        <v>2332454.0904959752</v>
      </c>
      <c r="AD91" s="80">
        <f t="shared" si="40"/>
        <v>2347127.4597089933</v>
      </c>
      <c r="AE91" s="80">
        <f t="shared" si="40"/>
        <v>2407041.0866826931</v>
      </c>
      <c r="AF91" s="80">
        <f t="shared" si="40"/>
        <v>2374434.3389408845</v>
      </c>
      <c r="AG91" s="80">
        <f t="shared" si="40"/>
        <v>2529196.5034900969</v>
      </c>
      <c r="AH91" s="80">
        <f t="shared" si="40"/>
        <v>2446205.8224981902</v>
      </c>
      <c r="AI91" s="80">
        <f t="shared" si="40"/>
        <v>2412472.1545169232</v>
      </c>
      <c r="AJ91" s="80">
        <f t="shared" si="40"/>
        <v>2425295.2048928184</v>
      </c>
      <c r="AK91" s="80">
        <f t="shared" si="40"/>
        <v>2486056.0621762006</v>
      </c>
      <c r="AL91" s="80">
        <f t="shared" si="40"/>
        <v>2600420.3295804695</v>
      </c>
      <c r="AM91" s="80">
        <f t="shared" si="40"/>
        <v>2464201.9745224519</v>
      </c>
      <c r="AN91" s="80">
        <f t="shared" si="40"/>
        <v>2526605.105967422</v>
      </c>
      <c r="AO91" s="80">
        <f t="shared" si="40"/>
        <v>2490509.0616160757</v>
      </c>
      <c r="AP91" s="80">
        <f t="shared" si="40"/>
        <v>2503774.7617132165</v>
      </c>
      <c r="AQ91" s="80">
        <f t="shared" si="40"/>
        <v>2724588.7905235183</v>
      </c>
      <c r="AR91" s="80">
        <f t="shared" si="40"/>
        <v>2530532.8146526632</v>
      </c>
      <c r="AS91" s="80">
        <f t="shared" si="40"/>
        <v>2544026.11320954</v>
      </c>
      <c r="AT91" s="80">
        <f t="shared" si="40"/>
        <v>2609854.2674800865</v>
      </c>
      <c r="AU91" s="80">
        <f t="shared" si="40"/>
        <v>2571243.6437363261</v>
      </c>
      <c r="AV91" s="80">
        <f t="shared" si="40"/>
        <v>2749525.6708312989</v>
      </c>
      <c r="AW91" s="80">
        <f t="shared" si="40"/>
        <v>2652582.4677553033</v>
      </c>
      <c r="AX91" s="80">
        <f t="shared" si="40"/>
        <v>2612654.5420031934</v>
      </c>
      <c r="AY91" s="80">
        <f t="shared" si="40"/>
        <v>2626616.0310933543</v>
      </c>
      <c r="AZ91" s="80">
        <f t="shared" si="40"/>
        <v>2696065.6520045809</v>
      </c>
      <c r="BA91" s="80">
        <f t="shared" si="40"/>
        <v>2827561.8446779689</v>
      </c>
      <c r="BB91" s="80">
        <f t="shared" si="40"/>
        <v>2668981.0450686235</v>
      </c>
      <c r="BC91" s="80">
        <f t="shared" si="40"/>
        <v>2740318.6468015434</v>
      </c>
      <c r="BD91" s="80">
        <f t="shared" si="40"/>
        <v>2697629.906964045</v>
      </c>
      <c r="BE91" s="80">
        <f t="shared" si="40"/>
        <v>2712077.5316473092</v>
      </c>
      <c r="BG91" s="80">
        <f t="shared" ref="BG91:BM101" si="41">SUMIFS($AA91:$BE91,$AA$2:$BE$2,"&gt;="&amp;BG$2,$AA$3:$BE$3,"&lt;="&amp;BG$3)</f>
        <v>3045073.0031171548</v>
      </c>
      <c r="BH91" s="80">
        <f t="shared" si="41"/>
        <v>12334441.724101005</v>
      </c>
      <c r="BI91" s="80">
        <f t="shared" si="41"/>
        <v>12299225.747574229</v>
      </c>
      <c r="BJ91" s="80">
        <f t="shared" si="41"/>
        <v>12585511.233399635</v>
      </c>
      <c r="BK91" s="80">
        <f t="shared" si="41"/>
        <v>12980245.629602134</v>
      </c>
      <c r="BL91" s="80">
        <f t="shared" si="41"/>
        <v>13337444.363687731</v>
      </c>
      <c r="BM91" s="80">
        <f t="shared" si="41"/>
        <v>13646568.97515949</v>
      </c>
    </row>
    <row r="92" spans="1:66" outlineLevel="1">
      <c r="F92" s="18" t="s">
        <v>214</v>
      </c>
      <c r="G92" s="17" t="str">
        <f t="shared" si="38"/>
        <v>£ Real</v>
      </c>
      <c r="I92" s="14">
        <f t="shared" si="39"/>
        <v>0</v>
      </c>
      <c r="AA92" s="14">
        <f t="shared" ref="AA92:BE92" si="42">AA26*AA$16</f>
        <v>0</v>
      </c>
      <c r="AB92" s="14">
        <f t="shared" si="42"/>
        <v>0</v>
      </c>
      <c r="AC92" s="14">
        <f t="shared" si="42"/>
        <v>0</v>
      </c>
      <c r="AD92" s="14">
        <f t="shared" si="42"/>
        <v>0</v>
      </c>
      <c r="AE92" s="14">
        <f t="shared" si="42"/>
        <v>0</v>
      </c>
      <c r="AF92" s="14">
        <f t="shared" si="42"/>
        <v>0</v>
      </c>
      <c r="AG92" s="14">
        <f t="shared" si="42"/>
        <v>0</v>
      </c>
      <c r="AH92" s="14">
        <f t="shared" si="42"/>
        <v>0</v>
      </c>
      <c r="AI92" s="14">
        <f t="shared" si="42"/>
        <v>0</v>
      </c>
      <c r="AJ92" s="14">
        <f t="shared" si="42"/>
        <v>0</v>
      </c>
      <c r="AK92" s="14">
        <f t="shared" si="42"/>
        <v>0</v>
      </c>
      <c r="AL92" s="14">
        <f t="shared" si="42"/>
        <v>0</v>
      </c>
      <c r="AM92" s="14">
        <f t="shared" si="42"/>
        <v>0</v>
      </c>
      <c r="AN92" s="14">
        <f t="shared" si="42"/>
        <v>0</v>
      </c>
      <c r="AO92" s="14">
        <f t="shared" si="42"/>
        <v>0</v>
      </c>
      <c r="AP92" s="14">
        <f t="shared" si="42"/>
        <v>0</v>
      </c>
      <c r="AQ92" s="14">
        <f t="shared" si="42"/>
        <v>0</v>
      </c>
      <c r="AR92" s="14">
        <f t="shared" si="42"/>
        <v>0</v>
      </c>
      <c r="AS92" s="14">
        <f t="shared" si="42"/>
        <v>0</v>
      </c>
      <c r="AT92" s="14">
        <f t="shared" si="42"/>
        <v>0</v>
      </c>
      <c r="AU92" s="14">
        <f t="shared" si="42"/>
        <v>0</v>
      </c>
      <c r="AV92" s="14">
        <f t="shared" si="42"/>
        <v>0</v>
      </c>
      <c r="AW92" s="14">
        <f t="shared" si="42"/>
        <v>0</v>
      </c>
      <c r="AX92" s="14">
        <f t="shared" si="42"/>
        <v>0</v>
      </c>
      <c r="AY92" s="14">
        <f t="shared" si="42"/>
        <v>0</v>
      </c>
      <c r="AZ92" s="14">
        <f t="shared" si="42"/>
        <v>0</v>
      </c>
      <c r="BA92" s="14">
        <f t="shared" si="42"/>
        <v>0</v>
      </c>
      <c r="BB92" s="14">
        <f t="shared" si="42"/>
        <v>0</v>
      </c>
      <c r="BC92" s="14">
        <f t="shared" si="42"/>
        <v>0</v>
      </c>
      <c r="BD92" s="14">
        <f t="shared" si="42"/>
        <v>0</v>
      </c>
      <c r="BE92" s="14">
        <f t="shared" si="42"/>
        <v>0</v>
      </c>
      <c r="BG92" s="14">
        <f t="shared" si="41"/>
        <v>0</v>
      </c>
      <c r="BH92" s="14">
        <f t="shared" si="41"/>
        <v>0</v>
      </c>
      <c r="BI92" s="14">
        <f t="shared" si="41"/>
        <v>0</v>
      </c>
      <c r="BJ92" s="14">
        <f t="shared" si="41"/>
        <v>0</v>
      </c>
      <c r="BK92" s="14">
        <f t="shared" si="41"/>
        <v>0</v>
      </c>
      <c r="BL92" s="14">
        <f t="shared" si="41"/>
        <v>0</v>
      </c>
      <c r="BM92" s="14">
        <f t="shared" si="41"/>
        <v>0</v>
      </c>
    </row>
    <row r="93" spans="1:66" outlineLevel="1">
      <c r="F93" s="18" t="s">
        <v>42</v>
      </c>
      <c r="G93" s="17" t="str">
        <f t="shared" si="38"/>
        <v>£ Real</v>
      </c>
      <c r="I93" s="14">
        <f t="shared" si="39"/>
        <v>68791696.815549955</v>
      </c>
      <c r="AA93" s="14">
        <f t="shared" ref="AA93:BE93" si="43">AA27*AA$16</f>
        <v>0</v>
      </c>
      <c r="AB93" s="14">
        <f t="shared" si="43"/>
        <v>2124256.3721825476</v>
      </c>
      <c r="AC93" s="14">
        <f t="shared" si="43"/>
        <v>2140966.3534779861</v>
      </c>
      <c r="AD93" s="14">
        <f t="shared" si="43"/>
        <v>2153572.6323012123</v>
      </c>
      <c r="AE93" s="14">
        <f t="shared" si="43"/>
        <v>2166253.1384776672</v>
      </c>
      <c r="AF93" s="14">
        <f t="shared" si="43"/>
        <v>2176872.0264113811</v>
      </c>
      <c r="AG93" s="14">
        <f t="shared" si="43"/>
        <v>2187542.9677173188</v>
      </c>
      <c r="AH93" s="14">
        <f t="shared" si="43"/>
        <v>2198266.2175590703</v>
      </c>
      <c r="AI93" s="14">
        <f t="shared" si="43"/>
        <v>2209042.0323510268</v>
      </c>
      <c r="AJ93" s="14">
        <f t="shared" si="43"/>
        <v>2219870.6697645113</v>
      </c>
      <c r="AK93" s="14">
        <f t="shared" si="43"/>
        <v>2230752.3887339449</v>
      </c>
      <c r="AL93" s="14">
        <f t="shared" si="43"/>
        <v>2241687.4494630322</v>
      </c>
      <c r="AM93" s="14">
        <f t="shared" si="43"/>
        <v>2252676.1134309885</v>
      </c>
      <c r="AN93" s="14">
        <f t="shared" si="43"/>
        <v>2263718.6433987874</v>
      </c>
      <c r="AO93" s="14">
        <f t="shared" si="43"/>
        <v>2274815.3034154475</v>
      </c>
      <c r="AP93" s="14">
        <f t="shared" si="43"/>
        <v>2285966.3588243467</v>
      </c>
      <c r="AQ93" s="14">
        <f t="shared" si="43"/>
        <v>2297172.0762695638</v>
      </c>
      <c r="AR93" s="14">
        <f t="shared" si="43"/>
        <v>2308432.723702258</v>
      </c>
      <c r="AS93" s="14">
        <f t="shared" si="43"/>
        <v>2319748.5703870719</v>
      </c>
      <c r="AT93" s="14">
        <f t="shared" si="43"/>
        <v>2331119.8869085773</v>
      </c>
      <c r="AU93" s="14">
        <f t="shared" si="43"/>
        <v>2342546.9451777367</v>
      </c>
      <c r="AV93" s="14">
        <f t="shared" si="43"/>
        <v>2354030.0184384114</v>
      </c>
      <c r="AW93" s="14">
        <f t="shared" si="43"/>
        <v>2365569.3812738936</v>
      </c>
      <c r="AX93" s="14">
        <f t="shared" si="43"/>
        <v>2377165.3096134714</v>
      </c>
      <c r="AY93" s="14">
        <f t="shared" si="43"/>
        <v>2388818.0807390274</v>
      </c>
      <c r="AZ93" s="14">
        <f t="shared" si="43"/>
        <v>2400527.9732916695</v>
      </c>
      <c r="BA93" s="14">
        <f t="shared" si="43"/>
        <v>2412295.2672783928</v>
      </c>
      <c r="BB93" s="14">
        <f t="shared" si="43"/>
        <v>2424120.2440787773</v>
      </c>
      <c r="BC93" s="14">
        <f t="shared" si="43"/>
        <v>2436003.1864517122</v>
      </c>
      <c r="BD93" s="14">
        <f t="shared" si="43"/>
        <v>2447944.3785421611</v>
      </c>
      <c r="BE93" s="14">
        <f t="shared" si="43"/>
        <v>2459944.105887956</v>
      </c>
      <c r="BG93" s="14">
        <f t="shared" si="41"/>
        <v>0</v>
      </c>
      <c r="BH93" s="14">
        <f t="shared" si="41"/>
        <v>10761920.522850793</v>
      </c>
      <c r="BI93" s="14">
        <f t="shared" si="41"/>
        <v>11045474.276125871</v>
      </c>
      <c r="BJ93" s="14">
        <f t="shared" si="41"/>
        <v>11318863.868532602</v>
      </c>
      <c r="BK93" s="14">
        <f t="shared" si="41"/>
        <v>11599020.202445209</v>
      </c>
      <c r="BL93" s="14">
        <f t="shared" si="41"/>
        <v>11886110.763356473</v>
      </c>
      <c r="BM93" s="14">
        <f t="shared" si="41"/>
        <v>12180307.182239</v>
      </c>
    </row>
    <row r="94" spans="1:66" outlineLevel="1">
      <c r="F94" s="18" t="s">
        <v>227</v>
      </c>
      <c r="G94" s="17" t="str">
        <f t="shared" si="38"/>
        <v>£ Real</v>
      </c>
      <c r="I94" s="14">
        <f t="shared" si="39"/>
        <v>7327618.8428927166</v>
      </c>
      <c r="AA94" s="14">
        <f t="shared" ref="AA94:BE94" si="44">AA28*AA$16</f>
        <v>0</v>
      </c>
      <c r="AB94" s="14">
        <f t="shared" si="44"/>
        <v>718589.50381442916</v>
      </c>
      <c r="AC94" s="14">
        <f t="shared" si="44"/>
        <v>160558.49567703961</v>
      </c>
      <c r="AD94" s="14">
        <f t="shared" si="44"/>
        <v>162291.70809357296</v>
      </c>
      <c r="AE94" s="14">
        <f t="shared" si="44"/>
        <v>209187.34673924118</v>
      </c>
      <c r="AF94" s="14">
        <f t="shared" si="44"/>
        <v>165651.90124542668</v>
      </c>
      <c r="AG94" s="14">
        <f t="shared" si="44"/>
        <v>309430.27731924993</v>
      </c>
      <c r="AH94" s="14">
        <f t="shared" si="44"/>
        <v>215400.43218702724</v>
      </c>
      <c r="AI94" s="14">
        <f t="shared" si="44"/>
        <v>170571.93791623451</v>
      </c>
      <c r="AJ94" s="14">
        <f t="shared" si="44"/>
        <v>172244.21181737407</v>
      </c>
      <c r="AK94" s="14">
        <f t="shared" si="44"/>
        <v>221798.05284396061</v>
      </c>
      <c r="AL94" s="14">
        <f t="shared" si="44"/>
        <v>324898.77304268826</v>
      </c>
      <c r="AM94" s="14">
        <f t="shared" si="44"/>
        <v>177360.04708460893</v>
      </c>
      <c r="AN94" s="14">
        <f t="shared" si="44"/>
        <v>228385.68960092883</v>
      </c>
      <c r="AO94" s="14">
        <f t="shared" si="44"/>
        <v>180854.74236068979</v>
      </c>
      <c r="AP94" s="14">
        <f t="shared" si="44"/>
        <v>182627.82807010834</v>
      </c>
      <c r="AQ94" s="14">
        <f t="shared" si="44"/>
        <v>391891.23183893063</v>
      </c>
      <c r="AR94" s="14">
        <f t="shared" si="44"/>
        <v>186226.31949209722</v>
      </c>
      <c r="AS94" s="14">
        <f t="shared" si="44"/>
        <v>188052.06772241188</v>
      </c>
      <c r="AT94" s="14">
        <f t="shared" si="44"/>
        <v>242153.75375478578</v>
      </c>
      <c r="AU94" s="14">
        <f t="shared" si="44"/>
        <v>191757.4381456236</v>
      </c>
      <c r="AV94" s="14">
        <f t="shared" si="44"/>
        <v>358194.24236802937</v>
      </c>
      <c r="AW94" s="14">
        <f t="shared" si="44"/>
        <v>249345.97635826896</v>
      </c>
      <c r="AX94" s="14">
        <f t="shared" si="44"/>
        <v>197452.83687321699</v>
      </c>
      <c r="AY94" s="14">
        <f t="shared" si="44"/>
        <v>199388.64899942503</v>
      </c>
      <c r="AZ94" s="14">
        <f t="shared" si="44"/>
        <v>256751.81558002031</v>
      </c>
      <c r="BA94" s="14">
        <f t="shared" si="44"/>
        <v>376100.46070655843</v>
      </c>
      <c r="BB94" s="14">
        <f t="shared" si="44"/>
        <v>205310.70276062252</v>
      </c>
      <c r="BC94" s="14">
        <f t="shared" si="44"/>
        <v>264377.61605953675</v>
      </c>
      <c r="BD94" s="14">
        <f t="shared" si="44"/>
        <v>209356.13663854712</v>
      </c>
      <c r="BE94" s="14">
        <f t="shared" si="44"/>
        <v>211408.6477820623</v>
      </c>
      <c r="BG94" s="14">
        <f t="shared" si="41"/>
        <v>0</v>
      </c>
      <c r="BH94" s="14">
        <f t="shared" si="41"/>
        <v>1416278.9555697097</v>
      </c>
      <c r="BI94" s="14">
        <f t="shared" si="41"/>
        <v>1089444.9120838465</v>
      </c>
      <c r="BJ94" s="14">
        <f t="shared" si="41"/>
        <v>1094127.0801590241</v>
      </c>
      <c r="BK94" s="14">
        <f t="shared" si="41"/>
        <v>1200080.810953849</v>
      </c>
      <c r="BL94" s="14">
        <f t="shared" si="41"/>
        <v>1261133.5201789606</v>
      </c>
      <c r="BM94" s="14">
        <f t="shared" si="41"/>
        <v>1266553.563947327</v>
      </c>
    </row>
    <row r="95" spans="1:66" outlineLevel="1">
      <c r="F95" s="18" t="s">
        <v>121</v>
      </c>
      <c r="G95" s="17" t="str">
        <f t="shared" si="38"/>
        <v>£ Real</v>
      </c>
      <c r="I95" s="14">
        <f t="shared" si="39"/>
        <v>0</v>
      </c>
      <c r="AA95" s="14">
        <f t="shared" ref="AA95:BE95" si="45">AA29*AA$16</f>
        <v>0</v>
      </c>
      <c r="AB95" s="14">
        <f t="shared" si="45"/>
        <v>0</v>
      </c>
      <c r="AC95" s="14">
        <f t="shared" si="45"/>
        <v>0</v>
      </c>
      <c r="AD95" s="14">
        <f t="shared" si="45"/>
        <v>0</v>
      </c>
      <c r="AE95" s="14">
        <f t="shared" si="45"/>
        <v>0</v>
      </c>
      <c r="AF95" s="14">
        <f t="shared" si="45"/>
        <v>0</v>
      </c>
      <c r="AG95" s="14">
        <f t="shared" si="45"/>
        <v>0</v>
      </c>
      <c r="AH95" s="14">
        <f t="shared" si="45"/>
        <v>0</v>
      </c>
      <c r="AI95" s="14">
        <f t="shared" si="45"/>
        <v>0</v>
      </c>
      <c r="AJ95" s="14">
        <f t="shared" si="45"/>
        <v>0</v>
      </c>
      <c r="AK95" s="14">
        <f t="shared" si="45"/>
        <v>0</v>
      </c>
      <c r="AL95" s="14">
        <f t="shared" si="45"/>
        <v>0</v>
      </c>
      <c r="AM95" s="14">
        <f t="shared" si="45"/>
        <v>0</v>
      </c>
      <c r="AN95" s="14">
        <f t="shared" si="45"/>
        <v>0</v>
      </c>
      <c r="AO95" s="14">
        <f t="shared" si="45"/>
        <v>0</v>
      </c>
      <c r="AP95" s="14">
        <f t="shared" si="45"/>
        <v>0</v>
      </c>
      <c r="AQ95" s="14">
        <f t="shared" si="45"/>
        <v>0</v>
      </c>
      <c r="AR95" s="14">
        <f t="shared" si="45"/>
        <v>0</v>
      </c>
      <c r="AS95" s="14">
        <f t="shared" si="45"/>
        <v>0</v>
      </c>
      <c r="AT95" s="14">
        <f t="shared" si="45"/>
        <v>0</v>
      </c>
      <c r="AU95" s="14">
        <f t="shared" si="45"/>
        <v>0</v>
      </c>
      <c r="AV95" s="14">
        <f t="shared" si="45"/>
        <v>0</v>
      </c>
      <c r="AW95" s="14">
        <f t="shared" si="45"/>
        <v>0</v>
      </c>
      <c r="AX95" s="14">
        <f t="shared" si="45"/>
        <v>0</v>
      </c>
      <c r="AY95" s="14">
        <f t="shared" si="45"/>
        <v>0</v>
      </c>
      <c r="AZ95" s="14">
        <f t="shared" si="45"/>
        <v>0</v>
      </c>
      <c r="BA95" s="14">
        <f t="shared" si="45"/>
        <v>0</v>
      </c>
      <c r="BB95" s="14">
        <f t="shared" si="45"/>
        <v>0</v>
      </c>
      <c r="BC95" s="14">
        <f t="shared" si="45"/>
        <v>0</v>
      </c>
      <c r="BD95" s="14">
        <f t="shared" si="45"/>
        <v>0</v>
      </c>
      <c r="BE95" s="14">
        <f t="shared" si="45"/>
        <v>0</v>
      </c>
      <c r="BG95" s="14">
        <f t="shared" si="41"/>
        <v>0</v>
      </c>
      <c r="BH95" s="14">
        <f t="shared" si="41"/>
        <v>0</v>
      </c>
      <c r="BI95" s="14">
        <f t="shared" si="41"/>
        <v>0</v>
      </c>
      <c r="BJ95" s="14">
        <f t="shared" si="41"/>
        <v>0</v>
      </c>
      <c r="BK95" s="14">
        <f t="shared" si="41"/>
        <v>0</v>
      </c>
      <c r="BL95" s="14">
        <f t="shared" si="41"/>
        <v>0</v>
      </c>
      <c r="BM95" s="14">
        <f t="shared" si="41"/>
        <v>0</v>
      </c>
    </row>
    <row r="96" spans="1:66" outlineLevel="1">
      <c r="F96" s="18" t="s">
        <v>245</v>
      </c>
      <c r="G96" s="17" t="str">
        <f t="shared" si="38"/>
        <v>£ Real</v>
      </c>
      <c r="I96" s="14">
        <f t="shared" si="39"/>
        <v>4109195.0181987141</v>
      </c>
      <c r="AA96" s="14">
        <f t="shared" ref="AA96:BE96" si="46">AA30*AA$16</f>
        <v>3045073.0031171548</v>
      </c>
      <c r="AB96" s="14">
        <f t="shared" si="46"/>
        <v>30538.872275481506</v>
      </c>
      <c r="AC96" s="14">
        <f t="shared" si="46"/>
        <v>30929.241340949808</v>
      </c>
      <c r="AD96" s="14">
        <f t="shared" si="46"/>
        <v>31263.119314208347</v>
      </c>
      <c r="AE96" s="14">
        <f t="shared" si="46"/>
        <v>31600.601465784694</v>
      </c>
      <c r="AF96" s="14">
        <f t="shared" si="46"/>
        <v>31910.411284076701</v>
      </c>
      <c r="AG96" s="14">
        <f t="shared" si="46"/>
        <v>32223.258453528433</v>
      </c>
      <c r="AH96" s="14">
        <f t="shared" si="46"/>
        <v>32539.17275209244</v>
      </c>
      <c r="AI96" s="14">
        <f t="shared" si="46"/>
        <v>32858.184249661972</v>
      </c>
      <c r="AJ96" s="14">
        <f t="shared" si="46"/>
        <v>33180.32331093317</v>
      </c>
      <c r="AK96" s="14">
        <f t="shared" si="46"/>
        <v>33505.620598295267</v>
      </c>
      <c r="AL96" s="14">
        <f t="shared" si="46"/>
        <v>33834.107074749139</v>
      </c>
      <c r="AM96" s="14">
        <f t="shared" si="46"/>
        <v>34165.814006854518</v>
      </c>
      <c r="AN96" s="14">
        <f t="shared" si="46"/>
        <v>34500.772967706034</v>
      </c>
      <c r="AO96" s="14">
        <f t="shared" si="46"/>
        <v>34839.015839938453</v>
      </c>
      <c r="AP96" s="14">
        <f t="shared" si="46"/>
        <v>35180.574818761386</v>
      </c>
      <c r="AQ96" s="14">
        <f t="shared" si="46"/>
        <v>35525.482415023755</v>
      </c>
      <c r="AR96" s="14">
        <f t="shared" si="46"/>
        <v>35873.771458308292</v>
      </c>
      <c r="AS96" s="14">
        <f t="shared" si="46"/>
        <v>36225.475100056414</v>
      </c>
      <c r="AT96" s="14">
        <f t="shared" si="46"/>
        <v>36580.626816723634</v>
      </c>
      <c r="AU96" s="14">
        <f t="shared" si="46"/>
        <v>36939.260412966032</v>
      </c>
      <c r="AV96" s="14">
        <f t="shared" si="46"/>
        <v>37301.410024857862</v>
      </c>
      <c r="AW96" s="14">
        <f t="shared" si="46"/>
        <v>37667.110123140774</v>
      </c>
      <c r="AX96" s="14">
        <f t="shared" si="46"/>
        <v>38036.395516504905</v>
      </c>
      <c r="AY96" s="14">
        <f t="shared" si="46"/>
        <v>38409.301354902011</v>
      </c>
      <c r="AZ96" s="14">
        <f t="shared" si="46"/>
        <v>38785.863132891245</v>
      </c>
      <c r="BA96" s="14">
        <f t="shared" si="46"/>
        <v>39166.116693017633</v>
      </c>
      <c r="BB96" s="14">
        <f t="shared" si="46"/>
        <v>39550.098229223688</v>
      </c>
      <c r="BC96" s="14">
        <f t="shared" si="46"/>
        <v>39937.844290294503</v>
      </c>
      <c r="BD96" s="14">
        <f t="shared" si="46"/>
        <v>40329.391783336607</v>
      </c>
      <c r="BE96" s="14">
        <f t="shared" si="46"/>
        <v>40724.777977290883</v>
      </c>
      <c r="BG96" s="14">
        <f t="shared" si="41"/>
        <v>3045073.0031171548</v>
      </c>
      <c r="BH96" s="14">
        <f t="shared" si="41"/>
        <v>156242.24568050104</v>
      </c>
      <c r="BI96" s="14">
        <f t="shared" si="41"/>
        <v>164306.55936451128</v>
      </c>
      <c r="BJ96" s="14">
        <f t="shared" si="41"/>
        <v>172520.28470800951</v>
      </c>
      <c r="BK96" s="14">
        <f t="shared" si="41"/>
        <v>181144.61620307813</v>
      </c>
      <c r="BL96" s="14">
        <f t="shared" si="41"/>
        <v>190200.08015229681</v>
      </c>
      <c r="BM96" s="14">
        <f t="shared" si="41"/>
        <v>199708.22897316332</v>
      </c>
    </row>
    <row r="97" spans="1:66">
      <c r="F97" s="18"/>
      <c r="G97" s="17"/>
    </row>
    <row r="98" spans="1:66">
      <c r="F98" s="37" t="s">
        <v>253</v>
      </c>
      <c r="G98" s="17" t="str">
        <f t="shared" ref="G98:G103" si="47">cstRealUnit</f>
        <v>£ Real</v>
      </c>
      <c r="I98" s="80">
        <f t="shared" ref="I98:I103" si="48">SUM(AA98:BE98)</f>
        <v>77842179.873336628</v>
      </c>
      <c r="AA98" s="80">
        <f t="shared" ref="AA98:BE98" si="49">SUM(AA99:AA104)</f>
        <v>0</v>
      </c>
      <c r="AB98" s="80">
        <f t="shared" si="49"/>
        <v>2892289.7644429943</v>
      </c>
      <c r="AC98" s="80">
        <f t="shared" si="49"/>
        <v>2351600.7637070394</v>
      </c>
      <c r="AD98" s="80">
        <f t="shared" si="49"/>
        <v>2366480.8192844559</v>
      </c>
      <c r="AE98" s="80">
        <f t="shared" si="49"/>
        <v>2426603.36378056</v>
      </c>
      <c r="AF98" s="80">
        <f t="shared" si="49"/>
        <v>2394188.4030691227</v>
      </c>
      <c r="AG98" s="80">
        <f t="shared" si="49"/>
        <v>2549144.2349137096</v>
      </c>
      <c r="AH98" s="80">
        <f t="shared" si="49"/>
        <v>2466349.1199161522</v>
      </c>
      <c r="AI98" s="80">
        <f t="shared" si="49"/>
        <v>2432812.9352429044</v>
      </c>
      <c r="AJ98" s="80">
        <f t="shared" si="49"/>
        <v>2445835.405037682</v>
      </c>
      <c r="AK98" s="80">
        <f t="shared" si="49"/>
        <v>2506797.636832288</v>
      </c>
      <c r="AL98" s="80">
        <f t="shared" si="49"/>
        <v>2621365.2530076951</v>
      </c>
      <c r="AM98" s="80">
        <f t="shared" si="49"/>
        <v>2485352.2403362193</v>
      </c>
      <c r="AN98" s="80">
        <f t="shared" si="49"/>
        <v>2547962.7273283829</v>
      </c>
      <c r="AO98" s="80">
        <f t="shared" si="49"/>
        <v>2512076.0714217518</v>
      </c>
      <c r="AP98" s="80">
        <f t="shared" si="49"/>
        <v>2525553.2127914974</v>
      </c>
      <c r="AQ98" s="80">
        <f t="shared" si="49"/>
        <v>2746580.755828057</v>
      </c>
      <c r="AR98" s="80">
        <f t="shared" si="49"/>
        <v>2552740.3874601875</v>
      </c>
      <c r="AS98" s="80">
        <f t="shared" si="49"/>
        <v>2566451.4073190987</v>
      </c>
      <c r="AT98" s="80">
        <f t="shared" si="49"/>
        <v>2632499.4174142489</v>
      </c>
      <c r="AU98" s="80">
        <f t="shared" si="49"/>
        <v>2594110.8049443527</v>
      </c>
      <c r="AV98" s="80">
        <f t="shared" si="49"/>
        <v>2772617.0198943061</v>
      </c>
      <c r="AW98" s="80">
        <f t="shared" si="49"/>
        <v>2675900.2025934379</v>
      </c>
      <c r="AX98" s="80">
        <f t="shared" si="49"/>
        <v>2636200.882084839</v>
      </c>
      <c r="AY98" s="80">
        <f t="shared" si="49"/>
        <v>2650393.2176463893</v>
      </c>
      <c r="AZ98" s="80">
        <f t="shared" si="49"/>
        <v>2720075.9482297041</v>
      </c>
      <c r="BA98" s="80">
        <f t="shared" si="49"/>
        <v>2851807.535964123</v>
      </c>
      <c r="BB98" s="80">
        <f t="shared" si="49"/>
        <v>2693464.4392105239</v>
      </c>
      <c r="BC98" s="80">
        <f t="shared" si="49"/>
        <v>2765042.0742193446</v>
      </c>
      <c r="BD98" s="80">
        <f t="shared" si="49"/>
        <v>2722595.7209251579</v>
      </c>
      <c r="BE98" s="80">
        <f t="shared" si="49"/>
        <v>2737288.108490394</v>
      </c>
      <c r="BG98" s="80">
        <f t="shared" si="41"/>
        <v>0</v>
      </c>
      <c r="BH98" s="80">
        <f t="shared" si="41"/>
        <v>12431163.114284173</v>
      </c>
      <c r="BI98" s="80">
        <f t="shared" si="41"/>
        <v>12400939.331942735</v>
      </c>
      <c r="BJ98" s="80">
        <f t="shared" si="41"/>
        <v>12692309.504885545</v>
      </c>
      <c r="BK98" s="80">
        <f t="shared" si="41"/>
        <v>13092382.772965945</v>
      </c>
      <c r="BL98" s="80">
        <f t="shared" si="41"/>
        <v>13455187.270448677</v>
      </c>
      <c r="BM98" s="80">
        <f t="shared" si="41"/>
        <v>13770197.878809543</v>
      </c>
    </row>
    <row r="99" spans="1:66" outlineLevel="1">
      <c r="F99" s="18" t="s">
        <v>214</v>
      </c>
      <c r="G99" s="17" t="str">
        <f t="shared" si="47"/>
        <v>£ Real</v>
      </c>
      <c r="I99" s="14">
        <f t="shared" si="48"/>
        <v>0</v>
      </c>
      <c r="AA99" s="14">
        <f t="shared" ref="AA99:BE99" si="50">AA33*AA$16</f>
        <v>0</v>
      </c>
      <c r="AB99" s="14">
        <f t="shared" si="50"/>
        <v>0</v>
      </c>
      <c r="AC99" s="14">
        <f t="shared" si="50"/>
        <v>0</v>
      </c>
      <c r="AD99" s="14">
        <f t="shared" si="50"/>
        <v>0</v>
      </c>
      <c r="AE99" s="14">
        <f t="shared" si="50"/>
        <v>0</v>
      </c>
      <c r="AF99" s="14">
        <f t="shared" si="50"/>
        <v>0</v>
      </c>
      <c r="AG99" s="14">
        <f t="shared" si="50"/>
        <v>0</v>
      </c>
      <c r="AH99" s="14">
        <f t="shared" si="50"/>
        <v>0</v>
      </c>
      <c r="AI99" s="14">
        <f t="shared" si="50"/>
        <v>0</v>
      </c>
      <c r="AJ99" s="14">
        <f t="shared" si="50"/>
        <v>0</v>
      </c>
      <c r="AK99" s="14">
        <f t="shared" si="50"/>
        <v>0</v>
      </c>
      <c r="AL99" s="14">
        <f t="shared" si="50"/>
        <v>0</v>
      </c>
      <c r="AM99" s="14">
        <f t="shared" si="50"/>
        <v>0</v>
      </c>
      <c r="AN99" s="14">
        <f t="shared" si="50"/>
        <v>0</v>
      </c>
      <c r="AO99" s="14">
        <f t="shared" si="50"/>
        <v>0</v>
      </c>
      <c r="AP99" s="14">
        <f t="shared" si="50"/>
        <v>0</v>
      </c>
      <c r="AQ99" s="14">
        <f t="shared" si="50"/>
        <v>0</v>
      </c>
      <c r="AR99" s="14">
        <f t="shared" si="50"/>
        <v>0</v>
      </c>
      <c r="AS99" s="14">
        <f t="shared" si="50"/>
        <v>0</v>
      </c>
      <c r="AT99" s="14">
        <f t="shared" si="50"/>
        <v>0</v>
      </c>
      <c r="AU99" s="14">
        <f t="shared" si="50"/>
        <v>0</v>
      </c>
      <c r="AV99" s="14">
        <f t="shared" si="50"/>
        <v>0</v>
      </c>
      <c r="AW99" s="14">
        <f t="shared" si="50"/>
        <v>0</v>
      </c>
      <c r="AX99" s="14">
        <f t="shared" si="50"/>
        <v>0</v>
      </c>
      <c r="AY99" s="14">
        <f t="shared" si="50"/>
        <v>0</v>
      </c>
      <c r="AZ99" s="14">
        <f t="shared" si="50"/>
        <v>0</v>
      </c>
      <c r="BA99" s="14">
        <f t="shared" si="50"/>
        <v>0</v>
      </c>
      <c r="BB99" s="14">
        <f t="shared" si="50"/>
        <v>0</v>
      </c>
      <c r="BC99" s="14">
        <f t="shared" si="50"/>
        <v>0</v>
      </c>
      <c r="BD99" s="14">
        <f t="shared" si="50"/>
        <v>0</v>
      </c>
      <c r="BE99" s="14">
        <f t="shared" si="50"/>
        <v>0</v>
      </c>
      <c r="BG99" s="14">
        <f t="shared" si="41"/>
        <v>0</v>
      </c>
      <c r="BH99" s="14">
        <f t="shared" si="41"/>
        <v>0</v>
      </c>
      <c r="BI99" s="14">
        <f t="shared" si="41"/>
        <v>0</v>
      </c>
      <c r="BJ99" s="14">
        <f t="shared" si="41"/>
        <v>0</v>
      </c>
      <c r="BK99" s="14">
        <f t="shared" si="41"/>
        <v>0</v>
      </c>
      <c r="BL99" s="14">
        <f t="shared" si="41"/>
        <v>0</v>
      </c>
      <c r="BM99" s="14">
        <f t="shared" si="41"/>
        <v>0</v>
      </c>
    </row>
    <row r="100" spans="1:66" outlineLevel="1">
      <c r="F100" s="18" t="s">
        <v>42</v>
      </c>
      <c r="G100" s="17" t="str">
        <f t="shared" si="47"/>
        <v>£ Real</v>
      </c>
      <c r="I100" s="14">
        <f t="shared" si="48"/>
        <v>68791696.815549955</v>
      </c>
      <c r="AA100" s="14">
        <f t="shared" ref="AA100:BE100" si="51">AA34*AA$16</f>
        <v>0</v>
      </c>
      <c r="AB100" s="14">
        <f t="shared" si="51"/>
        <v>2124256.3721825476</v>
      </c>
      <c r="AC100" s="14">
        <f t="shared" si="51"/>
        <v>2140966.3534779861</v>
      </c>
      <c r="AD100" s="14">
        <f t="shared" si="51"/>
        <v>2153572.6323012123</v>
      </c>
      <c r="AE100" s="14">
        <f t="shared" si="51"/>
        <v>2166253.1384776672</v>
      </c>
      <c r="AF100" s="14">
        <f t="shared" si="51"/>
        <v>2176872.0264113811</v>
      </c>
      <c r="AG100" s="14">
        <f t="shared" si="51"/>
        <v>2187542.9677173188</v>
      </c>
      <c r="AH100" s="14">
        <f t="shared" si="51"/>
        <v>2198266.2175590703</v>
      </c>
      <c r="AI100" s="14">
        <f t="shared" si="51"/>
        <v>2209042.0323510268</v>
      </c>
      <c r="AJ100" s="14">
        <f t="shared" si="51"/>
        <v>2219870.6697645113</v>
      </c>
      <c r="AK100" s="14">
        <f t="shared" si="51"/>
        <v>2230752.3887339449</v>
      </c>
      <c r="AL100" s="14">
        <f t="shared" si="51"/>
        <v>2241687.4494630322</v>
      </c>
      <c r="AM100" s="14">
        <f t="shared" si="51"/>
        <v>2252676.1134309885</v>
      </c>
      <c r="AN100" s="14">
        <f t="shared" si="51"/>
        <v>2263718.6433987874</v>
      </c>
      <c r="AO100" s="14">
        <f t="shared" si="51"/>
        <v>2274815.3034154475</v>
      </c>
      <c r="AP100" s="14">
        <f t="shared" si="51"/>
        <v>2285966.3588243467</v>
      </c>
      <c r="AQ100" s="14">
        <f t="shared" si="51"/>
        <v>2297172.0762695638</v>
      </c>
      <c r="AR100" s="14">
        <f t="shared" si="51"/>
        <v>2308432.723702258</v>
      </c>
      <c r="AS100" s="14">
        <f t="shared" si="51"/>
        <v>2319748.5703870719</v>
      </c>
      <c r="AT100" s="14">
        <f t="shared" si="51"/>
        <v>2331119.8869085773</v>
      </c>
      <c r="AU100" s="14">
        <f t="shared" si="51"/>
        <v>2342546.9451777367</v>
      </c>
      <c r="AV100" s="14">
        <f t="shared" si="51"/>
        <v>2354030.0184384114</v>
      </c>
      <c r="AW100" s="14">
        <f t="shared" si="51"/>
        <v>2365569.3812738936</v>
      </c>
      <c r="AX100" s="14">
        <f t="shared" si="51"/>
        <v>2377165.3096134714</v>
      </c>
      <c r="AY100" s="14">
        <f t="shared" si="51"/>
        <v>2388818.0807390274</v>
      </c>
      <c r="AZ100" s="14">
        <f t="shared" si="51"/>
        <v>2400527.9732916695</v>
      </c>
      <c r="BA100" s="14">
        <f t="shared" si="51"/>
        <v>2412295.2672783928</v>
      </c>
      <c r="BB100" s="14">
        <f t="shared" si="51"/>
        <v>2424120.2440787773</v>
      </c>
      <c r="BC100" s="14">
        <f t="shared" si="51"/>
        <v>2436003.1864517122</v>
      </c>
      <c r="BD100" s="14">
        <f t="shared" si="51"/>
        <v>2447944.3785421611</v>
      </c>
      <c r="BE100" s="14">
        <f t="shared" si="51"/>
        <v>2459944.105887956</v>
      </c>
      <c r="BG100" s="14">
        <f t="shared" si="41"/>
        <v>0</v>
      </c>
      <c r="BH100" s="14">
        <f t="shared" si="41"/>
        <v>10761920.522850793</v>
      </c>
      <c r="BI100" s="14">
        <f t="shared" si="41"/>
        <v>11045474.276125871</v>
      </c>
      <c r="BJ100" s="14">
        <f t="shared" si="41"/>
        <v>11318863.868532602</v>
      </c>
      <c r="BK100" s="14">
        <f t="shared" si="41"/>
        <v>11599020.202445209</v>
      </c>
      <c r="BL100" s="14">
        <f t="shared" si="41"/>
        <v>11886110.763356473</v>
      </c>
      <c r="BM100" s="14">
        <f t="shared" si="41"/>
        <v>12180307.182239</v>
      </c>
    </row>
    <row r="101" spans="1:66" outlineLevel="1">
      <c r="F101" s="18" t="s">
        <v>227</v>
      </c>
      <c r="G101" s="17" t="str">
        <f t="shared" si="47"/>
        <v>£ Real</v>
      </c>
      <c r="I101" s="14">
        <f t="shared" si="48"/>
        <v>7327618.8428927166</v>
      </c>
      <c r="AA101" s="14">
        <f t="shared" ref="AA101:BE101" si="52">AA35*AA$16</f>
        <v>0</v>
      </c>
      <c r="AB101" s="14">
        <f t="shared" si="52"/>
        <v>718589.50381442916</v>
      </c>
      <c r="AC101" s="14">
        <f t="shared" si="52"/>
        <v>160558.49567703961</v>
      </c>
      <c r="AD101" s="14">
        <f t="shared" si="52"/>
        <v>162291.70809357296</v>
      </c>
      <c r="AE101" s="14">
        <f t="shared" si="52"/>
        <v>209187.34673924118</v>
      </c>
      <c r="AF101" s="14">
        <f t="shared" si="52"/>
        <v>165651.90124542668</v>
      </c>
      <c r="AG101" s="14">
        <f t="shared" si="52"/>
        <v>309430.27731924993</v>
      </c>
      <c r="AH101" s="14">
        <f t="shared" si="52"/>
        <v>215400.43218702724</v>
      </c>
      <c r="AI101" s="14">
        <f t="shared" si="52"/>
        <v>170571.93791623451</v>
      </c>
      <c r="AJ101" s="14">
        <f t="shared" si="52"/>
        <v>172244.21181737407</v>
      </c>
      <c r="AK101" s="14">
        <f t="shared" si="52"/>
        <v>221798.05284396061</v>
      </c>
      <c r="AL101" s="14">
        <f t="shared" si="52"/>
        <v>324898.77304268826</v>
      </c>
      <c r="AM101" s="14">
        <f t="shared" si="52"/>
        <v>177360.04708460893</v>
      </c>
      <c r="AN101" s="14">
        <f t="shared" si="52"/>
        <v>228385.68960092883</v>
      </c>
      <c r="AO101" s="14">
        <f t="shared" si="52"/>
        <v>180854.74236068979</v>
      </c>
      <c r="AP101" s="14">
        <f t="shared" si="52"/>
        <v>182627.82807010834</v>
      </c>
      <c r="AQ101" s="14">
        <f t="shared" si="52"/>
        <v>391891.23183893063</v>
      </c>
      <c r="AR101" s="14">
        <f t="shared" si="52"/>
        <v>186226.31949209722</v>
      </c>
      <c r="AS101" s="14">
        <f t="shared" si="52"/>
        <v>188052.06772241188</v>
      </c>
      <c r="AT101" s="14">
        <f t="shared" si="52"/>
        <v>242153.75375478578</v>
      </c>
      <c r="AU101" s="14">
        <f t="shared" si="52"/>
        <v>191757.4381456236</v>
      </c>
      <c r="AV101" s="14">
        <f t="shared" si="52"/>
        <v>358194.24236802937</v>
      </c>
      <c r="AW101" s="14">
        <f t="shared" si="52"/>
        <v>249345.97635826896</v>
      </c>
      <c r="AX101" s="14">
        <f t="shared" si="52"/>
        <v>197452.83687321699</v>
      </c>
      <c r="AY101" s="14">
        <f t="shared" si="52"/>
        <v>199388.64899942503</v>
      </c>
      <c r="AZ101" s="14">
        <f t="shared" si="52"/>
        <v>256751.81558002031</v>
      </c>
      <c r="BA101" s="14">
        <f t="shared" si="52"/>
        <v>376100.46070655843</v>
      </c>
      <c r="BB101" s="14">
        <f t="shared" si="52"/>
        <v>205310.70276062252</v>
      </c>
      <c r="BC101" s="14">
        <f t="shared" si="52"/>
        <v>264377.61605953675</v>
      </c>
      <c r="BD101" s="14">
        <f t="shared" si="52"/>
        <v>209356.13663854712</v>
      </c>
      <c r="BE101" s="14">
        <f t="shared" si="52"/>
        <v>211408.6477820623</v>
      </c>
      <c r="BG101" s="14">
        <f t="shared" si="41"/>
        <v>0</v>
      </c>
      <c r="BH101" s="14">
        <f t="shared" si="41"/>
        <v>1416278.9555697097</v>
      </c>
      <c r="BI101" s="14">
        <f t="shared" si="41"/>
        <v>1089444.9120838465</v>
      </c>
      <c r="BJ101" s="14">
        <f t="shared" si="41"/>
        <v>1094127.0801590241</v>
      </c>
      <c r="BK101" s="14">
        <f t="shared" si="41"/>
        <v>1200080.810953849</v>
      </c>
      <c r="BL101" s="14">
        <f t="shared" si="41"/>
        <v>1261133.5201789606</v>
      </c>
      <c r="BM101" s="14">
        <f t="shared" si="41"/>
        <v>1266553.563947327</v>
      </c>
    </row>
    <row r="102" spans="1:66" outlineLevel="1">
      <c r="F102" s="18" t="s">
        <v>121</v>
      </c>
      <c r="G102" s="17" t="str">
        <f t="shared" si="47"/>
        <v>£ Real</v>
      </c>
      <c r="I102" s="14">
        <f t="shared" si="48"/>
        <v>1722864.2148939546</v>
      </c>
      <c r="AA102" s="14">
        <f t="shared" ref="AA102:BE102" si="53">AA36*AA$16</f>
        <v>0</v>
      </c>
      <c r="AB102" s="14">
        <f t="shared" si="53"/>
        <v>49443.888446017678</v>
      </c>
      <c r="AC102" s="14">
        <f t="shared" si="53"/>
        <v>50075.914552013979</v>
      </c>
      <c r="AD102" s="14">
        <f t="shared" si="53"/>
        <v>50616.47888967066</v>
      </c>
      <c r="AE102" s="14">
        <f t="shared" si="53"/>
        <v>51162.878563651415</v>
      </c>
      <c r="AF102" s="14">
        <f t="shared" si="53"/>
        <v>51664.475412314663</v>
      </c>
      <c r="AG102" s="14">
        <f t="shared" si="53"/>
        <v>52170.989877141277</v>
      </c>
      <c r="AH102" s="14">
        <f t="shared" si="53"/>
        <v>52682.470170054432</v>
      </c>
      <c r="AI102" s="14">
        <f t="shared" si="53"/>
        <v>53198.964975643205</v>
      </c>
      <c r="AJ102" s="14">
        <f t="shared" si="53"/>
        <v>53720.523455796567</v>
      </c>
      <c r="AK102" s="14">
        <f t="shared" si="53"/>
        <v>54247.195254382816</v>
      </c>
      <c r="AL102" s="14">
        <f t="shared" si="53"/>
        <v>54779.030501974798</v>
      </c>
      <c r="AM102" s="14">
        <f t="shared" si="53"/>
        <v>55316.079820621613</v>
      </c>
      <c r="AN102" s="14">
        <f t="shared" si="53"/>
        <v>55858.394328666916</v>
      </c>
      <c r="AO102" s="14">
        <f t="shared" si="53"/>
        <v>56406.025645614645</v>
      </c>
      <c r="AP102" s="14">
        <f t="shared" si="53"/>
        <v>56959.025897042236</v>
      </c>
      <c r="AQ102" s="14">
        <f t="shared" si="53"/>
        <v>57517.447719562268</v>
      </c>
      <c r="AR102" s="14">
        <f t="shared" si="53"/>
        <v>58081.344265832478</v>
      </c>
      <c r="AS102" s="14">
        <f t="shared" si="53"/>
        <v>58650.769209615144</v>
      </c>
      <c r="AT102" s="14">
        <f t="shared" si="53"/>
        <v>59225.776750885889</v>
      </c>
      <c r="AU102" s="14">
        <f t="shared" si="53"/>
        <v>59806.421620992624</v>
      </c>
      <c r="AV102" s="14">
        <f t="shared" si="53"/>
        <v>60392.759087865095</v>
      </c>
      <c r="AW102" s="14">
        <f t="shared" si="53"/>
        <v>60984.84496127555</v>
      </c>
      <c r="AX102" s="14">
        <f t="shared" si="53"/>
        <v>61582.735598150801</v>
      </c>
      <c r="AY102" s="14">
        <f t="shared" si="53"/>
        <v>62186.487907936593</v>
      </c>
      <c r="AZ102" s="14">
        <f t="shared" si="53"/>
        <v>62796.159358014404</v>
      </c>
      <c r="BA102" s="14">
        <f t="shared" si="53"/>
        <v>63411.807979171404</v>
      </c>
      <c r="BB102" s="14">
        <f t="shared" si="53"/>
        <v>64033.49237112407</v>
      </c>
      <c r="BC102" s="14">
        <f t="shared" si="53"/>
        <v>64661.271708095868</v>
      </c>
      <c r="BD102" s="14">
        <f t="shared" si="53"/>
        <v>65295.205744449748</v>
      </c>
      <c r="BE102" s="14">
        <f t="shared" si="53"/>
        <v>65935.354820375724</v>
      </c>
      <c r="BG102" s="14">
        <f t="shared" ref="BG102:BM103" si="54">SUMIFS($AA102:$BE102,$AA$2:$BE$2,"&gt;="&amp;BG$2,$AA$3:$BE$3,"&lt;="&amp;BG$3)</f>
        <v>0</v>
      </c>
      <c r="BH102" s="14">
        <f t="shared" si="54"/>
        <v>252963.6358636684</v>
      </c>
      <c r="BI102" s="14">
        <f t="shared" si="54"/>
        <v>266020.14373301831</v>
      </c>
      <c r="BJ102" s="14">
        <f t="shared" si="54"/>
        <v>279318.5561939202</v>
      </c>
      <c r="BK102" s="14">
        <f t="shared" si="54"/>
        <v>293281.75956688845</v>
      </c>
      <c r="BL102" s="14">
        <f t="shared" si="54"/>
        <v>307942.98691324244</v>
      </c>
      <c r="BM102" s="14">
        <f t="shared" si="54"/>
        <v>323337.13262321684</v>
      </c>
    </row>
    <row r="103" spans="1:66" outlineLevel="1">
      <c r="F103" s="18" t="s">
        <v>245</v>
      </c>
      <c r="G103" s="17" t="str">
        <f t="shared" si="47"/>
        <v>£ Real</v>
      </c>
      <c r="I103" s="14">
        <f t="shared" si="48"/>
        <v>0</v>
      </c>
      <c r="AA103" s="14">
        <f t="shared" ref="AA103:BE103" si="55">AA37*AA$16</f>
        <v>0</v>
      </c>
      <c r="AB103" s="14">
        <f t="shared" si="55"/>
        <v>0</v>
      </c>
      <c r="AC103" s="14">
        <f t="shared" si="55"/>
        <v>0</v>
      </c>
      <c r="AD103" s="14">
        <f t="shared" si="55"/>
        <v>0</v>
      </c>
      <c r="AE103" s="14">
        <f t="shared" si="55"/>
        <v>0</v>
      </c>
      <c r="AF103" s="14">
        <f t="shared" si="55"/>
        <v>0</v>
      </c>
      <c r="AG103" s="14">
        <f t="shared" si="55"/>
        <v>0</v>
      </c>
      <c r="AH103" s="14">
        <f t="shared" si="55"/>
        <v>0</v>
      </c>
      <c r="AI103" s="14">
        <f t="shared" si="55"/>
        <v>0</v>
      </c>
      <c r="AJ103" s="14">
        <f t="shared" si="55"/>
        <v>0</v>
      </c>
      <c r="AK103" s="14">
        <f t="shared" si="55"/>
        <v>0</v>
      </c>
      <c r="AL103" s="14">
        <f t="shared" si="55"/>
        <v>0</v>
      </c>
      <c r="AM103" s="14">
        <f t="shared" si="55"/>
        <v>0</v>
      </c>
      <c r="AN103" s="14">
        <f t="shared" si="55"/>
        <v>0</v>
      </c>
      <c r="AO103" s="14">
        <f t="shared" si="55"/>
        <v>0</v>
      </c>
      <c r="AP103" s="14">
        <f t="shared" si="55"/>
        <v>0</v>
      </c>
      <c r="AQ103" s="14">
        <f t="shared" si="55"/>
        <v>0</v>
      </c>
      <c r="AR103" s="14">
        <f t="shared" si="55"/>
        <v>0</v>
      </c>
      <c r="AS103" s="14">
        <f t="shared" si="55"/>
        <v>0</v>
      </c>
      <c r="AT103" s="14">
        <f t="shared" si="55"/>
        <v>0</v>
      </c>
      <c r="AU103" s="14">
        <f t="shared" si="55"/>
        <v>0</v>
      </c>
      <c r="AV103" s="14">
        <f t="shared" si="55"/>
        <v>0</v>
      </c>
      <c r="AW103" s="14">
        <f t="shared" si="55"/>
        <v>0</v>
      </c>
      <c r="AX103" s="14">
        <f t="shared" si="55"/>
        <v>0</v>
      </c>
      <c r="AY103" s="14">
        <f t="shared" si="55"/>
        <v>0</v>
      </c>
      <c r="AZ103" s="14">
        <f t="shared" si="55"/>
        <v>0</v>
      </c>
      <c r="BA103" s="14">
        <f t="shared" si="55"/>
        <v>0</v>
      </c>
      <c r="BB103" s="14">
        <f t="shared" si="55"/>
        <v>0</v>
      </c>
      <c r="BC103" s="14">
        <f t="shared" si="55"/>
        <v>0</v>
      </c>
      <c r="BD103" s="14">
        <f t="shared" si="55"/>
        <v>0</v>
      </c>
      <c r="BE103" s="14">
        <f t="shared" si="55"/>
        <v>0</v>
      </c>
      <c r="BG103" s="14">
        <f t="shared" si="54"/>
        <v>0</v>
      </c>
      <c r="BH103" s="14">
        <f t="shared" si="54"/>
        <v>0</v>
      </c>
      <c r="BI103" s="14">
        <f t="shared" si="54"/>
        <v>0</v>
      </c>
      <c r="BJ103" s="14">
        <f t="shared" si="54"/>
        <v>0</v>
      </c>
      <c r="BK103" s="14">
        <f t="shared" si="54"/>
        <v>0</v>
      </c>
      <c r="BL103" s="14">
        <f t="shared" si="54"/>
        <v>0</v>
      </c>
      <c r="BM103" s="14">
        <f t="shared" si="54"/>
        <v>0</v>
      </c>
    </row>
    <row r="104" spans="1:66">
      <c r="F104" s="18"/>
      <c r="G104" s="17"/>
    </row>
    <row r="105" spans="1:66">
      <c r="F105" s="37" t="s">
        <v>255</v>
      </c>
      <c r="G105" s="17" t="str">
        <f t="shared" ref="G105:G110" si="56">cstRealUnit</f>
        <v>£ Real</v>
      </c>
      <c r="I105" s="80">
        <f t="shared" ref="I105:I110" si="57">SUM(AA105:BE105)</f>
        <v>95659911.794482768</v>
      </c>
      <c r="AA105" s="80">
        <f t="shared" ref="AA105:BE105" si="58">SUM(AA106:AA111)</f>
        <v>0</v>
      </c>
      <c r="AB105" s="80">
        <f t="shared" si="58"/>
        <v>2745310.9575518267</v>
      </c>
      <c r="AC105" s="80">
        <f t="shared" si="58"/>
        <v>2780403.4280023421</v>
      </c>
      <c r="AD105" s="80">
        <f t="shared" si="58"/>
        <v>2810417.596508746</v>
      </c>
      <c r="AE105" s="80">
        <f t="shared" si="58"/>
        <v>2840755.7648714515</v>
      </c>
      <c r="AF105" s="80">
        <f t="shared" si="58"/>
        <v>2868606.3115858776</v>
      </c>
      <c r="AG105" s="80">
        <f t="shared" si="58"/>
        <v>2896729.9028759352</v>
      </c>
      <c r="AH105" s="80">
        <f t="shared" si="58"/>
        <v>2925129.215649229</v>
      </c>
      <c r="AI105" s="80">
        <f t="shared" si="58"/>
        <v>2953806.953057555</v>
      </c>
      <c r="AJ105" s="80">
        <f t="shared" si="58"/>
        <v>2982765.8447541976</v>
      </c>
      <c r="AK105" s="80">
        <f t="shared" si="58"/>
        <v>3012008.6471537487</v>
      </c>
      <c r="AL105" s="80">
        <f t="shared" si="58"/>
        <v>3041538.143694472</v>
      </c>
      <c r="AM105" s="80">
        <f t="shared" si="58"/>
        <v>3071357.1451032409</v>
      </c>
      <c r="AN105" s="80">
        <f t="shared" si="58"/>
        <v>3101468.4896630766</v>
      </c>
      <c r="AO105" s="80">
        <f t="shared" si="58"/>
        <v>3131875.0434833029</v>
      </c>
      <c r="AP105" s="80">
        <f t="shared" si="58"/>
        <v>3162579.7007723558</v>
      </c>
      <c r="AQ105" s="80">
        <f t="shared" si="58"/>
        <v>3193585.3841132615</v>
      </c>
      <c r="AR105" s="80">
        <f t="shared" si="58"/>
        <v>3224895.0447418224</v>
      </c>
      <c r="AS105" s="80">
        <f t="shared" si="58"/>
        <v>3256511.6628275262</v>
      </c>
      <c r="AT105" s="80">
        <f t="shared" si="58"/>
        <v>3288438.2477572081</v>
      </c>
      <c r="AU105" s="80">
        <f t="shared" si="58"/>
        <v>3320677.8384214947</v>
      </c>
      <c r="AV105" s="80">
        <f t="shared" si="58"/>
        <v>3353233.5035040588</v>
      </c>
      <c r="AW105" s="80">
        <f t="shared" si="58"/>
        <v>3386108.3417737065</v>
      </c>
      <c r="AX105" s="80">
        <f t="shared" si="58"/>
        <v>3419305.4823793317</v>
      </c>
      <c r="AY105" s="80">
        <f t="shared" si="58"/>
        <v>3452828.0851477557</v>
      </c>
      <c r="AZ105" s="80">
        <f t="shared" si="58"/>
        <v>3486679.3408844988</v>
      </c>
      <c r="BA105" s="80">
        <f t="shared" si="58"/>
        <v>3520862.471677484</v>
      </c>
      <c r="BB105" s="80">
        <f t="shared" si="58"/>
        <v>3555380.7312037339</v>
      </c>
      <c r="BC105" s="80">
        <f t="shared" si="58"/>
        <v>3590237.4050390646</v>
      </c>
      <c r="BD105" s="80">
        <f t="shared" si="58"/>
        <v>3625435.81097082</v>
      </c>
      <c r="BE105" s="80">
        <f t="shared" si="58"/>
        <v>3660979.2993136714</v>
      </c>
      <c r="BG105" s="80">
        <f t="shared" ref="BG105:BM110" si="59">SUMIFS($AA105:$BE105,$AA$2:$BE$2,"&gt;="&amp;BG$2,$AA$3:$BE$3,"&lt;="&amp;BG$3)</f>
        <v>0</v>
      </c>
      <c r="BH105" s="80">
        <f t="shared" si="59"/>
        <v>14045494.058520243</v>
      </c>
      <c r="BI105" s="80">
        <f t="shared" si="59"/>
        <v>14770440.563490665</v>
      </c>
      <c r="BJ105" s="80">
        <f t="shared" si="59"/>
        <v>15508818.522716448</v>
      </c>
      <c r="BK105" s="80">
        <f t="shared" si="59"/>
        <v>16284108.177861311</v>
      </c>
      <c r="BL105" s="80">
        <f t="shared" si="59"/>
        <v>17098154.753689352</v>
      </c>
      <c r="BM105" s="80">
        <f t="shared" si="59"/>
        <v>17952895.718204774</v>
      </c>
    </row>
    <row r="106" spans="1:66" outlineLevel="1">
      <c r="F106" s="18" t="s">
        <v>214</v>
      </c>
      <c r="G106" s="17" t="str">
        <f t="shared" si="56"/>
        <v>£ Real</v>
      </c>
      <c r="I106" s="14">
        <f t="shared" si="57"/>
        <v>95659911.794482768</v>
      </c>
      <c r="AA106" s="14">
        <f t="shared" ref="AA106:BE106" si="60">AA40*AA$16</f>
        <v>0</v>
      </c>
      <c r="AB106" s="14">
        <f t="shared" si="60"/>
        <v>2745310.9575518267</v>
      </c>
      <c r="AC106" s="14">
        <f t="shared" si="60"/>
        <v>2780403.4280023421</v>
      </c>
      <c r="AD106" s="14">
        <f t="shared" si="60"/>
        <v>2810417.596508746</v>
      </c>
      <c r="AE106" s="14">
        <f t="shared" si="60"/>
        <v>2840755.7648714515</v>
      </c>
      <c r="AF106" s="14">
        <f t="shared" si="60"/>
        <v>2868606.3115858776</v>
      </c>
      <c r="AG106" s="14">
        <f t="shared" si="60"/>
        <v>2896729.9028759352</v>
      </c>
      <c r="AH106" s="14">
        <f t="shared" si="60"/>
        <v>2925129.215649229</v>
      </c>
      <c r="AI106" s="14">
        <f t="shared" si="60"/>
        <v>2953806.953057555</v>
      </c>
      <c r="AJ106" s="14">
        <f t="shared" si="60"/>
        <v>2982765.8447541976</v>
      </c>
      <c r="AK106" s="14">
        <f t="shared" si="60"/>
        <v>3012008.6471537487</v>
      </c>
      <c r="AL106" s="14">
        <f t="shared" si="60"/>
        <v>3041538.143694472</v>
      </c>
      <c r="AM106" s="14">
        <f t="shared" si="60"/>
        <v>3071357.1451032409</v>
      </c>
      <c r="AN106" s="14">
        <f t="shared" si="60"/>
        <v>3101468.4896630766</v>
      </c>
      <c r="AO106" s="14">
        <f t="shared" si="60"/>
        <v>3131875.0434833029</v>
      </c>
      <c r="AP106" s="14">
        <f t="shared" si="60"/>
        <v>3162579.7007723558</v>
      </c>
      <c r="AQ106" s="14">
        <f t="shared" si="60"/>
        <v>3193585.3841132615</v>
      </c>
      <c r="AR106" s="14">
        <f t="shared" si="60"/>
        <v>3224895.0447418224</v>
      </c>
      <c r="AS106" s="14">
        <f t="shared" si="60"/>
        <v>3256511.6628275262</v>
      </c>
      <c r="AT106" s="14">
        <f t="shared" si="60"/>
        <v>3288438.2477572081</v>
      </c>
      <c r="AU106" s="14">
        <f t="shared" si="60"/>
        <v>3320677.8384214947</v>
      </c>
      <c r="AV106" s="14">
        <f t="shared" si="60"/>
        <v>3353233.5035040588</v>
      </c>
      <c r="AW106" s="14">
        <f t="shared" si="60"/>
        <v>3386108.3417737065</v>
      </c>
      <c r="AX106" s="14">
        <f t="shared" si="60"/>
        <v>3419305.4823793317</v>
      </c>
      <c r="AY106" s="14">
        <f t="shared" si="60"/>
        <v>3452828.0851477557</v>
      </c>
      <c r="AZ106" s="14">
        <f t="shared" si="60"/>
        <v>3486679.3408844988</v>
      </c>
      <c r="BA106" s="14">
        <f t="shared" si="60"/>
        <v>3520862.471677484</v>
      </c>
      <c r="BB106" s="14">
        <f t="shared" si="60"/>
        <v>3555380.7312037339</v>
      </c>
      <c r="BC106" s="14">
        <f t="shared" si="60"/>
        <v>3590237.4050390646</v>
      </c>
      <c r="BD106" s="14">
        <f t="shared" si="60"/>
        <v>3625435.81097082</v>
      </c>
      <c r="BE106" s="14">
        <f t="shared" si="60"/>
        <v>3660979.2993136714</v>
      </c>
      <c r="BG106" s="14">
        <f t="shared" si="59"/>
        <v>0</v>
      </c>
      <c r="BH106" s="14">
        <f t="shared" si="59"/>
        <v>14045494.058520243</v>
      </c>
      <c r="BI106" s="14">
        <f t="shared" si="59"/>
        <v>14770440.563490665</v>
      </c>
      <c r="BJ106" s="14">
        <f t="shared" si="59"/>
        <v>15508818.522716448</v>
      </c>
      <c r="BK106" s="14">
        <f t="shared" si="59"/>
        <v>16284108.177861311</v>
      </c>
      <c r="BL106" s="14">
        <f t="shared" si="59"/>
        <v>17098154.753689352</v>
      </c>
      <c r="BM106" s="14">
        <f t="shared" si="59"/>
        <v>17952895.718204774</v>
      </c>
    </row>
    <row r="107" spans="1:66" outlineLevel="1">
      <c r="F107" s="18" t="s">
        <v>42</v>
      </c>
      <c r="G107" s="17" t="str">
        <f t="shared" si="56"/>
        <v>£ Real</v>
      </c>
      <c r="I107" s="14">
        <f t="shared" si="57"/>
        <v>0</v>
      </c>
      <c r="AA107" s="14">
        <f t="shared" ref="AA107:BE107" si="61">AA41*AA$16</f>
        <v>0</v>
      </c>
      <c r="AB107" s="14">
        <f t="shared" si="61"/>
        <v>0</v>
      </c>
      <c r="AC107" s="14">
        <f t="shared" si="61"/>
        <v>0</v>
      </c>
      <c r="AD107" s="14">
        <f t="shared" si="61"/>
        <v>0</v>
      </c>
      <c r="AE107" s="14">
        <f t="shared" si="61"/>
        <v>0</v>
      </c>
      <c r="AF107" s="14">
        <f t="shared" si="61"/>
        <v>0</v>
      </c>
      <c r="AG107" s="14">
        <f t="shared" si="61"/>
        <v>0</v>
      </c>
      <c r="AH107" s="14">
        <f t="shared" si="61"/>
        <v>0</v>
      </c>
      <c r="AI107" s="14">
        <f t="shared" si="61"/>
        <v>0</v>
      </c>
      <c r="AJ107" s="14">
        <f t="shared" si="61"/>
        <v>0</v>
      </c>
      <c r="AK107" s="14">
        <f t="shared" si="61"/>
        <v>0</v>
      </c>
      <c r="AL107" s="14">
        <f t="shared" si="61"/>
        <v>0</v>
      </c>
      <c r="AM107" s="14">
        <f t="shared" si="61"/>
        <v>0</v>
      </c>
      <c r="AN107" s="14">
        <f t="shared" si="61"/>
        <v>0</v>
      </c>
      <c r="AO107" s="14">
        <f t="shared" si="61"/>
        <v>0</v>
      </c>
      <c r="AP107" s="14">
        <f t="shared" si="61"/>
        <v>0</v>
      </c>
      <c r="AQ107" s="14">
        <f t="shared" si="61"/>
        <v>0</v>
      </c>
      <c r="AR107" s="14">
        <f t="shared" si="61"/>
        <v>0</v>
      </c>
      <c r="AS107" s="14">
        <f t="shared" si="61"/>
        <v>0</v>
      </c>
      <c r="AT107" s="14">
        <f t="shared" si="61"/>
        <v>0</v>
      </c>
      <c r="AU107" s="14">
        <f t="shared" si="61"/>
        <v>0</v>
      </c>
      <c r="AV107" s="14">
        <f t="shared" si="61"/>
        <v>0</v>
      </c>
      <c r="AW107" s="14">
        <f t="shared" si="61"/>
        <v>0</v>
      </c>
      <c r="AX107" s="14">
        <f t="shared" si="61"/>
        <v>0</v>
      </c>
      <c r="AY107" s="14">
        <f t="shared" si="61"/>
        <v>0</v>
      </c>
      <c r="AZ107" s="14">
        <f t="shared" si="61"/>
        <v>0</v>
      </c>
      <c r="BA107" s="14">
        <f t="shared" si="61"/>
        <v>0</v>
      </c>
      <c r="BB107" s="14">
        <f t="shared" si="61"/>
        <v>0</v>
      </c>
      <c r="BC107" s="14">
        <f t="shared" si="61"/>
        <v>0</v>
      </c>
      <c r="BD107" s="14">
        <f t="shared" si="61"/>
        <v>0</v>
      </c>
      <c r="BE107" s="14">
        <f t="shared" si="61"/>
        <v>0</v>
      </c>
      <c r="BG107" s="14">
        <f t="shared" si="59"/>
        <v>0</v>
      </c>
      <c r="BH107" s="14">
        <f t="shared" si="59"/>
        <v>0</v>
      </c>
      <c r="BI107" s="14">
        <f t="shared" si="59"/>
        <v>0</v>
      </c>
      <c r="BJ107" s="14">
        <f t="shared" si="59"/>
        <v>0</v>
      </c>
      <c r="BK107" s="14">
        <f t="shared" si="59"/>
        <v>0</v>
      </c>
      <c r="BL107" s="14">
        <f t="shared" si="59"/>
        <v>0</v>
      </c>
      <c r="BM107" s="14">
        <f t="shared" si="59"/>
        <v>0</v>
      </c>
    </row>
    <row r="108" spans="1:66" outlineLevel="1">
      <c r="F108" s="18" t="s">
        <v>227</v>
      </c>
      <c r="G108" s="17" t="str">
        <f t="shared" si="56"/>
        <v>£ Real</v>
      </c>
      <c r="I108" s="14">
        <f t="shared" si="57"/>
        <v>0</v>
      </c>
      <c r="AA108" s="14">
        <f t="shared" ref="AA108:BE108" si="62">AA42*AA$16</f>
        <v>0</v>
      </c>
      <c r="AB108" s="14">
        <f t="shared" si="62"/>
        <v>0</v>
      </c>
      <c r="AC108" s="14">
        <f t="shared" si="62"/>
        <v>0</v>
      </c>
      <c r="AD108" s="14">
        <f t="shared" si="62"/>
        <v>0</v>
      </c>
      <c r="AE108" s="14">
        <f t="shared" si="62"/>
        <v>0</v>
      </c>
      <c r="AF108" s="14">
        <f t="shared" si="62"/>
        <v>0</v>
      </c>
      <c r="AG108" s="14">
        <f t="shared" si="62"/>
        <v>0</v>
      </c>
      <c r="AH108" s="14">
        <f t="shared" si="62"/>
        <v>0</v>
      </c>
      <c r="AI108" s="14">
        <f t="shared" si="62"/>
        <v>0</v>
      </c>
      <c r="AJ108" s="14">
        <f t="shared" si="62"/>
        <v>0</v>
      </c>
      <c r="AK108" s="14">
        <f t="shared" si="62"/>
        <v>0</v>
      </c>
      <c r="AL108" s="14">
        <f t="shared" si="62"/>
        <v>0</v>
      </c>
      <c r="AM108" s="14">
        <f t="shared" si="62"/>
        <v>0</v>
      </c>
      <c r="AN108" s="14">
        <f t="shared" si="62"/>
        <v>0</v>
      </c>
      <c r="AO108" s="14">
        <f t="shared" si="62"/>
        <v>0</v>
      </c>
      <c r="AP108" s="14">
        <f t="shared" si="62"/>
        <v>0</v>
      </c>
      <c r="AQ108" s="14">
        <f t="shared" si="62"/>
        <v>0</v>
      </c>
      <c r="AR108" s="14">
        <f t="shared" si="62"/>
        <v>0</v>
      </c>
      <c r="AS108" s="14">
        <f t="shared" si="62"/>
        <v>0</v>
      </c>
      <c r="AT108" s="14">
        <f t="shared" si="62"/>
        <v>0</v>
      </c>
      <c r="AU108" s="14">
        <f t="shared" si="62"/>
        <v>0</v>
      </c>
      <c r="AV108" s="14">
        <f t="shared" si="62"/>
        <v>0</v>
      </c>
      <c r="AW108" s="14">
        <f t="shared" si="62"/>
        <v>0</v>
      </c>
      <c r="AX108" s="14">
        <f t="shared" si="62"/>
        <v>0</v>
      </c>
      <c r="AY108" s="14">
        <f t="shared" si="62"/>
        <v>0</v>
      </c>
      <c r="AZ108" s="14">
        <f t="shared" si="62"/>
        <v>0</v>
      </c>
      <c r="BA108" s="14">
        <f t="shared" si="62"/>
        <v>0</v>
      </c>
      <c r="BB108" s="14">
        <f t="shared" si="62"/>
        <v>0</v>
      </c>
      <c r="BC108" s="14">
        <f t="shared" si="62"/>
        <v>0</v>
      </c>
      <c r="BD108" s="14">
        <f t="shared" si="62"/>
        <v>0</v>
      </c>
      <c r="BE108" s="14">
        <f t="shared" si="62"/>
        <v>0</v>
      </c>
      <c r="BG108" s="14">
        <f t="shared" si="59"/>
        <v>0</v>
      </c>
      <c r="BH108" s="14">
        <f t="shared" si="59"/>
        <v>0</v>
      </c>
      <c r="BI108" s="14">
        <f t="shared" si="59"/>
        <v>0</v>
      </c>
      <c r="BJ108" s="14">
        <f t="shared" si="59"/>
        <v>0</v>
      </c>
      <c r="BK108" s="14">
        <f t="shared" si="59"/>
        <v>0</v>
      </c>
      <c r="BL108" s="14">
        <f t="shared" si="59"/>
        <v>0</v>
      </c>
      <c r="BM108" s="14">
        <f t="shared" si="59"/>
        <v>0</v>
      </c>
    </row>
    <row r="109" spans="1:66" outlineLevel="1">
      <c r="F109" s="18" t="s">
        <v>121</v>
      </c>
      <c r="G109" s="17" t="str">
        <f t="shared" si="56"/>
        <v>£ Real</v>
      </c>
      <c r="I109" s="14">
        <f t="shared" si="57"/>
        <v>0</v>
      </c>
      <c r="AA109" s="14">
        <f t="shared" ref="AA109:BE109" si="63">AA43*AA$16</f>
        <v>0</v>
      </c>
      <c r="AB109" s="14">
        <f t="shared" si="63"/>
        <v>0</v>
      </c>
      <c r="AC109" s="14">
        <f t="shared" si="63"/>
        <v>0</v>
      </c>
      <c r="AD109" s="14">
        <f t="shared" si="63"/>
        <v>0</v>
      </c>
      <c r="AE109" s="14">
        <f t="shared" si="63"/>
        <v>0</v>
      </c>
      <c r="AF109" s="14">
        <f t="shared" si="63"/>
        <v>0</v>
      </c>
      <c r="AG109" s="14">
        <f t="shared" si="63"/>
        <v>0</v>
      </c>
      <c r="AH109" s="14">
        <f t="shared" si="63"/>
        <v>0</v>
      </c>
      <c r="AI109" s="14">
        <f t="shared" si="63"/>
        <v>0</v>
      </c>
      <c r="AJ109" s="14">
        <f t="shared" si="63"/>
        <v>0</v>
      </c>
      <c r="AK109" s="14">
        <f t="shared" si="63"/>
        <v>0</v>
      </c>
      <c r="AL109" s="14">
        <f t="shared" si="63"/>
        <v>0</v>
      </c>
      <c r="AM109" s="14">
        <f t="shared" si="63"/>
        <v>0</v>
      </c>
      <c r="AN109" s="14">
        <f t="shared" si="63"/>
        <v>0</v>
      </c>
      <c r="AO109" s="14">
        <f t="shared" si="63"/>
        <v>0</v>
      </c>
      <c r="AP109" s="14">
        <f t="shared" si="63"/>
        <v>0</v>
      </c>
      <c r="AQ109" s="14">
        <f t="shared" si="63"/>
        <v>0</v>
      </c>
      <c r="AR109" s="14">
        <f t="shared" si="63"/>
        <v>0</v>
      </c>
      <c r="AS109" s="14">
        <f t="shared" si="63"/>
        <v>0</v>
      </c>
      <c r="AT109" s="14">
        <f t="shared" si="63"/>
        <v>0</v>
      </c>
      <c r="AU109" s="14">
        <f t="shared" si="63"/>
        <v>0</v>
      </c>
      <c r="AV109" s="14">
        <f t="shared" si="63"/>
        <v>0</v>
      </c>
      <c r="AW109" s="14">
        <f t="shared" si="63"/>
        <v>0</v>
      </c>
      <c r="AX109" s="14">
        <f t="shared" si="63"/>
        <v>0</v>
      </c>
      <c r="AY109" s="14">
        <f t="shared" si="63"/>
        <v>0</v>
      </c>
      <c r="AZ109" s="14">
        <f t="shared" si="63"/>
        <v>0</v>
      </c>
      <c r="BA109" s="14">
        <f t="shared" si="63"/>
        <v>0</v>
      </c>
      <c r="BB109" s="14">
        <f t="shared" si="63"/>
        <v>0</v>
      </c>
      <c r="BC109" s="14">
        <f t="shared" si="63"/>
        <v>0</v>
      </c>
      <c r="BD109" s="14">
        <f t="shared" si="63"/>
        <v>0</v>
      </c>
      <c r="BE109" s="14">
        <f t="shared" si="63"/>
        <v>0</v>
      </c>
      <c r="BG109" s="14">
        <f t="shared" si="59"/>
        <v>0</v>
      </c>
      <c r="BH109" s="14">
        <f t="shared" si="59"/>
        <v>0</v>
      </c>
      <c r="BI109" s="14">
        <f t="shared" si="59"/>
        <v>0</v>
      </c>
      <c r="BJ109" s="14">
        <f t="shared" si="59"/>
        <v>0</v>
      </c>
      <c r="BK109" s="14">
        <f t="shared" si="59"/>
        <v>0</v>
      </c>
      <c r="BL109" s="14">
        <f t="shared" si="59"/>
        <v>0</v>
      </c>
      <c r="BM109" s="14">
        <f t="shared" si="59"/>
        <v>0</v>
      </c>
    </row>
    <row r="110" spans="1:66" outlineLevel="1">
      <c r="F110" s="18" t="s">
        <v>245</v>
      </c>
      <c r="G110" s="17" t="str">
        <f t="shared" si="56"/>
        <v>£ Real</v>
      </c>
      <c r="I110" s="14">
        <f t="shared" si="57"/>
        <v>0</v>
      </c>
      <c r="AA110" s="14">
        <f t="shared" ref="AA110:BE110" si="64">AA44*AA$16</f>
        <v>0</v>
      </c>
      <c r="AB110" s="14">
        <f t="shared" si="64"/>
        <v>0</v>
      </c>
      <c r="AC110" s="14">
        <f t="shared" si="64"/>
        <v>0</v>
      </c>
      <c r="AD110" s="14">
        <f t="shared" si="64"/>
        <v>0</v>
      </c>
      <c r="AE110" s="14">
        <f t="shared" si="64"/>
        <v>0</v>
      </c>
      <c r="AF110" s="14">
        <f t="shared" si="64"/>
        <v>0</v>
      </c>
      <c r="AG110" s="14">
        <f t="shared" si="64"/>
        <v>0</v>
      </c>
      <c r="AH110" s="14">
        <f t="shared" si="64"/>
        <v>0</v>
      </c>
      <c r="AI110" s="14">
        <f t="shared" si="64"/>
        <v>0</v>
      </c>
      <c r="AJ110" s="14">
        <f t="shared" si="64"/>
        <v>0</v>
      </c>
      <c r="AK110" s="14">
        <f t="shared" si="64"/>
        <v>0</v>
      </c>
      <c r="AL110" s="14">
        <f t="shared" si="64"/>
        <v>0</v>
      </c>
      <c r="AM110" s="14">
        <f t="shared" si="64"/>
        <v>0</v>
      </c>
      <c r="AN110" s="14">
        <f t="shared" si="64"/>
        <v>0</v>
      </c>
      <c r="AO110" s="14">
        <f t="shared" si="64"/>
        <v>0</v>
      </c>
      <c r="AP110" s="14">
        <f t="shared" si="64"/>
        <v>0</v>
      </c>
      <c r="AQ110" s="14">
        <f t="shared" si="64"/>
        <v>0</v>
      </c>
      <c r="AR110" s="14">
        <f t="shared" si="64"/>
        <v>0</v>
      </c>
      <c r="AS110" s="14">
        <f t="shared" si="64"/>
        <v>0</v>
      </c>
      <c r="AT110" s="14">
        <f t="shared" si="64"/>
        <v>0</v>
      </c>
      <c r="AU110" s="14">
        <f t="shared" si="64"/>
        <v>0</v>
      </c>
      <c r="AV110" s="14">
        <f t="shared" si="64"/>
        <v>0</v>
      </c>
      <c r="AW110" s="14">
        <f t="shared" si="64"/>
        <v>0</v>
      </c>
      <c r="AX110" s="14">
        <f t="shared" si="64"/>
        <v>0</v>
      </c>
      <c r="AY110" s="14">
        <f t="shared" si="64"/>
        <v>0</v>
      </c>
      <c r="AZ110" s="14">
        <f t="shared" si="64"/>
        <v>0</v>
      </c>
      <c r="BA110" s="14">
        <f t="shared" si="64"/>
        <v>0</v>
      </c>
      <c r="BB110" s="14">
        <f t="shared" si="64"/>
        <v>0</v>
      </c>
      <c r="BC110" s="14">
        <f t="shared" si="64"/>
        <v>0</v>
      </c>
      <c r="BD110" s="14">
        <f t="shared" si="64"/>
        <v>0</v>
      </c>
      <c r="BE110" s="14">
        <f t="shared" si="64"/>
        <v>0</v>
      </c>
      <c r="BG110" s="14">
        <f t="shared" si="59"/>
        <v>0</v>
      </c>
      <c r="BH110" s="14">
        <f t="shared" si="59"/>
        <v>0</v>
      </c>
      <c r="BI110" s="14">
        <f t="shared" si="59"/>
        <v>0</v>
      </c>
      <c r="BJ110" s="14">
        <f t="shared" si="59"/>
        <v>0</v>
      </c>
      <c r="BK110" s="14">
        <f t="shared" si="59"/>
        <v>0</v>
      </c>
      <c r="BL110" s="14">
        <f t="shared" si="59"/>
        <v>0</v>
      </c>
      <c r="BM110" s="14">
        <f t="shared" si="59"/>
        <v>0</v>
      </c>
    </row>
    <row r="111" spans="1:66">
      <c r="F111" s="18"/>
      <c r="G111" s="17"/>
    </row>
    <row r="112" spans="1:66" ht="14" thickBot="1">
      <c r="A112" s="25"/>
      <c r="B112" s="25"/>
      <c r="C112" s="25"/>
      <c r="D112" s="25"/>
      <c r="E112" s="25" t="s">
        <v>412</v>
      </c>
      <c r="F112" s="25" t="s">
        <v>254</v>
      </c>
      <c r="G112" s="25"/>
      <c r="H112" s="25"/>
      <c r="I112" s="25"/>
      <c r="J112" s="25"/>
      <c r="K112" s="25"/>
      <c r="L112" s="25"/>
      <c r="M112" s="25"/>
      <c r="N112" s="25"/>
      <c r="O112" s="25"/>
      <c r="P112" s="25"/>
      <c r="Q112" s="25"/>
      <c r="R112" s="25"/>
      <c r="S112" s="25"/>
      <c r="T112" s="25"/>
      <c r="U112" s="25"/>
      <c r="V112" s="25"/>
      <c r="W112" s="25"/>
      <c r="X112" s="25"/>
      <c r="Y112" s="25"/>
      <c r="Z112" s="25"/>
      <c r="AA112" s="25"/>
      <c r="AB112" s="25"/>
      <c r="AC112" s="25"/>
      <c r="AD112" s="25"/>
      <c r="AE112" s="25"/>
      <c r="AF112" s="25"/>
      <c r="AG112" s="25"/>
      <c r="AH112" s="25"/>
      <c r="AI112" s="25"/>
      <c r="AJ112" s="25"/>
      <c r="AK112" s="25"/>
      <c r="AL112" s="25"/>
      <c r="AM112" s="25"/>
      <c r="AN112" s="25"/>
      <c r="AO112" s="25"/>
      <c r="AP112" s="25"/>
      <c r="AQ112" s="25"/>
      <c r="AR112" s="25"/>
      <c r="AS112" s="25"/>
      <c r="AT112" s="25"/>
      <c r="AU112" s="25"/>
      <c r="AV112" s="25"/>
      <c r="AW112" s="25"/>
      <c r="AX112" s="25"/>
      <c r="AY112" s="25"/>
      <c r="AZ112" s="25"/>
      <c r="BA112" s="25"/>
      <c r="BB112" s="25"/>
      <c r="BC112" s="25"/>
      <c r="BD112" s="25"/>
      <c r="BE112" s="25"/>
      <c r="BF112" s="25"/>
      <c r="BG112" s="25"/>
      <c r="BH112" s="25"/>
      <c r="BI112" s="25"/>
      <c r="BJ112" s="25"/>
      <c r="BK112" s="25"/>
      <c r="BL112" s="25"/>
      <c r="BM112" s="25"/>
      <c r="BN112" s="25"/>
    </row>
    <row r="113" spans="6:65">
      <c r="F113" s="18"/>
      <c r="G113" s="17"/>
    </row>
    <row r="114" spans="6:65" ht="13">
      <c r="F114" s="26" t="s">
        <v>251</v>
      </c>
      <c r="G114" s="17"/>
    </row>
    <row r="115" spans="6:65">
      <c r="F115" s="18"/>
      <c r="G115" s="17"/>
    </row>
    <row r="116" spans="6:65">
      <c r="F116" s="37" t="s">
        <v>252</v>
      </c>
      <c r="G116" s="17" t="str">
        <f t="shared" ref="G116:G121" si="65">cstRealUnit</f>
        <v>£ Real</v>
      </c>
      <c r="AA116" s="80">
        <f t="shared" ref="AA116:BE116" si="66">SUM(AA117:AA122)</f>
        <v>3045073.0031171548</v>
      </c>
      <c r="AB116" s="80">
        <f t="shared" si="66"/>
        <v>5918457.7513896134</v>
      </c>
      <c r="AC116" s="80">
        <f t="shared" si="66"/>
        <v>8250911.8418855891</v>
      </c>
      <c r="AD116" s="80">
        <f t="shared" si="66"/>
        <v>10598039.301594581</v>
      </c>
      <c r="AE116" s="80">
        <f t="shared" si="66"/>
        <v>13005080.388277274</v>
      </c>
      <c r="AF116" s="80">
        <f t="shared" si="66"/>
        <v>15379514.727218159</v>
      </c>
      <c r="AG116" s="80">
        <f t="shared" si="66"/>
        <v>17908711.230708256</v>
      </c>
      <c r="AH116" s="80">
        <f t="shared" si="66"/>
        <v>20354917.053206444</v>
      </c>
      <c r="AI116" s="80">
        <f t="shared" si="66"/>
        <v>22767389.207723372</v>
      </c>
      <c r="AJ116" s="80">
        <f t="shared" si="66"/>
        <v>25192684.412616186</v>
      </c>
      <c r="AK116" s="80">
        <f t="shared" si="66"/>
        <v>27678740.474792391</v>
      </c>
      <c r="AL116" s="80">
        <f t="shared" si="66"/>
        <v>30279160.804372858</v>
      </c>
      <c r="AM116" s="80">
        <f t="shared" si="66"/>
        <v>32743362.778895311</v>
      </c>
      <c r="AN116" s="80">
        <f t="shared" si="66"/>
        <v>35269967.884862736</v>
      </c>
      <c r="AO116" s="80">
        <f t="shared" si="66"/>
        <v>37760476.946478806</v>
      </c>
      <c r="AP116" s="80">
        <f t="shared" si="66"/>
        <v>40264251.708192021</v>
      </c>
      <c r="AQ116" s="80">
        <f t="shared" si="66"/>
        <v>42988840.498715535</v>
      </c>
      <c r="AR116" s="80">
        <f t="shared" si="66"/>
        <v>45519373.313368209</v>
      </c>
      <c r="AS116" s="80">
        <f t="shared" si="66"/>
        <v>48063399.426577747</v>
      </c>
      <c r="AT116" s="80">
        <f t="shared" si="66"/>
        <v>50673253.69405783</v>
      </c>
      <c r="AU116" s="80">
        <f t="shared" si="66"/>
        <v>53244497.337794155</v>
      </c>
      <c r="AV116" s="80">
        <f t="shared" si="66"/>
        <v>55994023.008625455</v>
      </c>
      <c r="AW116" s="80">
        <f t="shared" si="66"/>
        <v>58646605.476380765</v>
      </c>
      <c r="AX116" s="80">
        <f t="shared" si="66"/>
        <v>61259260.018383957</v>
      </c>
      <c r="AY116" s="80">
        <f t="shared" si="66"/>
        <v>63885876.049477316</v>
      </c>
      <c r="AZ116" s="80">
        <f t="shared" si="66"/>
        <v>66581941.701481894</v>
      </c>
      <c r="BA116" s="80">
        <f t="shared" si="66"/>
        <v>69409503.546159863</v>
      </c>
      <c r="BB116" s="80">
        <f t="shared" si="66"/>
        <v>72078484.5912285</v>
      </c>
      <c r="BC116" s="80">
        <f t="shared" si="66"/>
        <v>74818803.238030031</v>
      </c>
      <c r="BD116" s="80">
        <f t="shared" si="66"/>
        <v>77516433.14499408</v>
      </c>
      <c r="BE116" s="80">
        <f t="shared" si="66"/>
        <v>80228510.67664139</v>
      </c>
      <c r="BG116" s="80">
        <f t="shared" ref="BG116:BM121" si="67">SUMIFS($AA116:$BE116,$AA$3:$BE$3,BG$3)</f>
        <v>3045073.0031171548</v>
      </c>
      <c r="BH116" s="80">
        <f t="shared" si="67"/>
        <v>15379514.727218159</v>
      </c>
      <c r="BI116" s="80">
        <f t="shared" si="67"/>
        <v>27678740.474792391</v>
      </c>
      <c r="BJ116" s="80">
        <f t="shared" si="67"/>
        <v>40264251.708192021</v>
      </c>
      <c r="BK116" s="80">
        <f t="shared" si="67"/>
        <v>53244497.337794155</v>
      </c>
      <c r="BL116" s="80">
        <f t="shared" si="67"/>
        <v>66581941.701481894</v>
      </c>
      <c r="BM116" s="80">
        <f t="shared" si="67"/>
        <v>80228510.67664139</v>
      </c>
    </row>
    <row r="117" spans="6:65" outlineLevel="1">
      <c r="F117" s="18" t="s">
        <v>214</v>
      </c>
      <c r="G117" s="17" t="str">
        <f t="shared" si="65"/>
        <v>£ Real</v>
      </c>
      <c r="AA117" s="14">
        <f t="shared" ref="AA117:BE117" si="68">Z117+AA92</f>
        <v>0</v>
      </c>
      <c r="AB117" s="14">
        <f t="shared" si="68"/>
        <v>0</v>
      </c>
      <c r="AC117" s="14">
        <f t="shared" si="68"/>
        <v>0</v>
      </c>
      <c r="AD117" s="14">
        <f t="shared" si="68"/>
        <v>0</v>
      </c>
      <c r="AE117" s="14">
        <f t="shared" si="68"/>
        <v>0</v>
      </c>
      <c r="AF117" s="14">
        <f t="shared" si="68"/>
        <v>0</v>
      </c>
      <c r="AG117" s="14">
        <f t="shared" si="68"/>
        <v>0</v>
      </c>
      <c r="AH117" s="14">
        <f t="shared" si="68"/>
        <v>0</v>
      </c>
      <c r="AI117" s="14">
        <f t="shared" si="68"/>
        <v>0</v>
      </c>
      <c r="AJ117" s="14">
        <f t="shared" si="68"/>
        <v>0</v>
      </c>
      <c r="AK117" s="14">
        <f t="shared" si="68"/>
        <v>0</v>
      </c>
      <c r="AL117" s="14">
        <f t="shared" si="68"/>
        <v>0</v>
      </c>
      <c r="AM117" s="14">
        <f t="shared" si="68"/>
        <v>0</v>
      </c>
      <c r="AN117" s="14">
        <f t="shared" si="68"/>
        <v>0</v>
      </c>
      <c r="AO117" s="14">
        <f t="shared" si="68"/>
        <v>0</v>
      </c>
      <c r="AP117" s="14">
        <f t="shared" si="68"/>
        <v>0</v>
      </c>
      <c r="AQ117" s="14">
        <f t="shared" si="68"/>
        <v>0</v>
      </c>
      <c r="AR117" s="14">
        <f t="shared" si="68"/>
        <v>0</v>
      </c>
      <c r="AS117" s="14">
        <f t="shared" si="68"/>
        <v>0</v>
      </c>
      <c r="AT117" s="14">
        <f t="shared" si="68"/>
        <v>0</v>
      </c>
      <c r="AU117" s="14">
        <f t="shared" si="68"/>
        <v>0</v>
      </c>
      <c r="AV117" s="14">
        <f t="shared" si="68"/>
        <v>0</v>
      </c>
      <c r="AW117" s="14">
        <f t="shared" si="68"/>
        <v>0</v>
      </c>
      <c r="AX117" s="14">
        <f t="shared" si="68"/>
        <v>0</v>
      </c>
      <c r="AY117" s="14">
        <f t="shared" si="68"/>
        <v>0</v>
      </c>
      <c r="AZ117" s="14">
        <f t="shared" si="68"/>
        <v>0</v>
      </c>
      <c r="BA117" s="14">
        <f t="shared" si="68"/>
        <v>0</v>
      </c>
      <c r="BB117" s="14">
        <f t="shared" si="68"/>
        <v>0</v>
      </c>
      <c r="BC117" s="14">
        <f t="shared" si="68"/>
        <v>0</v>
      </c>
      <c r="BD117" s="14">
        <f t="shared" si="68"/>
        <v>0</v>
      </c>
      <c r="BE117" s="14">
        <f t="shared" si="68"/>
        <v>0</v>
      </c>
      <c r="BG117" s="14">
        <f t="shared" si="67"/>
        <v>0</v>
      </c>
      <c r="BH117" s="14">
        <f t="shared" si="67"/>
        <v>0</v>
      </c>
      <c r="BI117" s="14">
        <f t="shared" si="67"/>
        <v>0</v>
      </c>
      <c r="BJ117" s="14">
        <f t="shared" si="67"/>
        <v>0</v>
      </c>
      <c r="BK117" s="14">
        <f t="shared" si="67"/>
        <v>0</v>
      </c>
      <c r="BL117" s="14">
        <f t="shared" si="67"/>
        <v>0</v>
      </c>
      <c r="BM117" s="14">
        <f t="shared" si="67"/>
        <v>0</v>
      </c>
    </row>
    <row r="118" spans="6:65" outlineLevel="1">
      <c r="F118" s="18" t="s">
        <v>42</v>
      </c>
      <c r="G118" s="17" t="str">
        <f t="shared" si="65"/>
        <v>£ Real</v>
      </c>
      <c r="AA118" s="14">
        <f t="shared" ref="AA118:BE118" si="69">Z118+AA93</f>
        <v>0</v>
      </c>
      <c r="AB118" s="14">
        <f t="shared" si="69"/>
        <v>2124256.3721825476</v>
      </c>
      <c r="AC118" s="14">
        <f t="shared" si="69"/>
        <v>4265222.7256605336</v>
      </c>
      <c r="AD118" s="14">
        <f t="shared" si="69"/>
        <v>6418795.3579617459</v>
      </c>
      <c r="AE118" s="14">
        <f t="shared" si="69"/>
        <v>8585048.4964394122</v>
      </c>
      <c r="AF118" s="14">
        <f t="shared" si="69"/>
        <v>10761920.522850793</v>
      </c>
      <c r="AG118" s="14">
        <f t="shared" si="69"/>
        <v>12949463.490568113</v>
      </c>
      <c r="AH118" s="14">
        <f t="shared" si="69"/>
        <v>15147729.708127182</v>
      </c>
      <c r="AI118" s="14">
        <f t="shared" si="69"/>
        <v>17356771.74047821</v>
      </c>
      <c r="AJ118" s="14">
        <f t="shared" si="69"/>
        <v>19576642.410242721</v>
      </c>
      <c r="AK118" s="14">
        <f t="shared" si="69"/>
        <v>21807394.798976667</v>
      </c>
      <c r="AL118" s="14">
        <f t="shared" si="69"/>
        <v>24049082.248439699</v>
      </c>
      <c r="AM118" s="14">
        <f t="shared" si="69"/>
        <v>26301758.361870687</v>
      </c>
      <c r="AN118" s="14">
        <f t="shared" si="69"/>
        <v>28565477.005269475</v>
      </c>
      <c r="AO118" s="14">
        <f t="shared" si="69"/>
        <v>30840292.308684923</v>
      </c>
      <c r="AP118" s="14">
        <f t="shared" si="69"/>
        <v>33126258.667509269</v>
      </c>
      <c r="AQ118" s="14">
        <f t="shared" si="69"/>
        <v>35423430.743778832</v>
      </c>
      <c r="AR118" s="14">
        <f t="shared" si="69"/>
        <v>37731863.467481092</v>
      </c>
      <c r="AS118" s="14">
        <f t="shared" si="69"/>
        <v>40051612.037868164</v>
      </c>
      <c r="AT118" s="14">
        <f t="shared" si="69"/>
        <v>42382731.92477674</v>
      </c>
      <c r="AU118" s="14">
        <f t="shared" si="69"/>
        <v>44725278.869954474</v>
      </c>
      <c r="AV118" s="14">
        <f t="shared" si="69"/>
        <v>47079308.888392888</v>
      </c>
      <c r="AW118" s="14">
        <f t="shared" si="69"/>
        <v>49444878.269666784</v>
      </c>
      <c r="AX118" s="14">
        <f t="shared" si="69"/>
        <v>51822043.579280257</v>
      </c>
      <c r="AY118" s="14">
        <f t="shared" si="69"/>
        <v>54210861.660019286</v>
      </c>
      <c r="AZ118" s="14">
        <f t="shared" si="69"/>
        <v>56611389.633310959</v>
      </c>
      <c r="BA118" s="14">
        <f t="shared" si="69"/>
        <v>59023684.900589354</v>
      </c>
      <c r="BB118" s="14">
        <f t="shared" si="69"/>
        <v>61447805.144668132</v>
      </c>
      <c r="BC118" s="14">
        <f t="shared" si="69"/>
        <v>63883808.331119843</v>
      </c>
      <c r="BD118" s="14">
        <f t="shared" si="69"/>
        <v>66331752.709662005</v>
      </c>
      <c r="BE118" s="14">
        <f t="shared" si="69"/>
        <v>68791696.815549955</v>
      </c>
      <c r="BG118" s="14">
        <f t="shared" si="67"/>
        <v>0</v>
      </c>
      <c r="BH118" s="14">
        <f t="shared" si="67"/>
        <v>10761920.522850793</v>
      </c>
      <c r="BI118" s="14">
        <f t="shared" si="67"/>
        <v>21807394.798976667</v>
      </c>
      <c r="BJ118" s="14">
        <f t="shared" si="67"/>
        <v>33126258.667509269</v>
      </c>
      <c r="BK118" s="14">
        <f t="shared" si="67"/>
        <v>44725278.869954474</v>
      </c>
      <c r="BL118" s="14">
        <f t="shared" si="67"/>
        <v>56611389.633310959</v>
      </c>
      <c r="BM118" s="14">
        <f t="shared" si="67"/>
        <v>68791696.815549955</v>
      </c>
    </row>
    <row r="119" spans="6:65" outlineLevel="1">
      <c r="F119" s="18" t="s">
        <v>227</v>
      </c>
      <c r="G119" s="17" t="str">
        <f t="shared" si="65"/>
        <v>£ Real</v>
      </c>
      <c r="AA119" s="14">
        <f t="shared" ref="AA119:BE119" si="70">Z119+AA94</f>
        <v>0</v>
      </c>
      <c r="AB119" s="14">
        <f t="shared" si="70"/>
        <v>718589.50381442916</v>
      </c>
      <c r="AC119" s="14">
        <f t="shared" si="70"/>
        <v>879147.99949146877</v>
      </c>
      <c r="AD119" s="14">
        <f t="shared" si="70"/>
        <v>1041439.7075850418</v>
      </c>
      <c r="AE119" s="14">
        <f t="shared" si="70"/>
        <v>1250627.054324283</v>
      </c>
      <c r="AF119" s="14">
        <f t="shared" si="70"/>
        <v>1416278.9555697097</v>
      </c>
      <c r="AG119" s="14">
        <f t="shared" si="70"/>
        <v>1725709.2328889596</v>
      </c>
      <c r="AH119" s="14">
        <f t="shared" si="70"/>
        <v>1941109.6650759869</v>
      </c>
      <c r="AI119" s="14">
        <f t="shared" si="70"/>
        <v>2111681.6029922212</v>
      </c>
      <c r="AJ119" s="14">
        <f t="shared" si="70"/>
        <v>2283925.8148095952</v>
      </c>
      <c r="AK119" s="14">
        <f t="shared" si="70"/>
        <v>2505723.8676535557</v>
      </c>
      <c r="AL119" s="14">
        <f t="shared" si="70"/>
        <v>2830622.6406962438</v>
      </c>
      <c r="AM119" s="14">
        <f t="shared" si="70"/>
        <v>3007982.6877808529</v>
      </c>
      <c r="AN119" s="14">
        <f t="shared" si="70"/>
        <v>3236368.3773817816</v>
      </c>
      <c r="AO119" s="14">
        <f t="shared" si="70"/>
        <v>3417223.1197424713</v>
      </c>
      <c r="AP119" s="14">
        <f t="shared" si="70"/>
        <v>3599850.9478125796</v>
      </c>
      <c r="AQ119" s="14">
        <f t="shared" si="70"/>
        <v>3991742.17965151</v>
      </c>
      <c r="AR119" s="14">
        <f t="shared" si="70"/>
        <v>4177968.499143607</v>
      </c>
      <c r="AS119" s="14">
        <f t="shared" si="70"/>
        <v>4366020.5668660188</v>
      </c>
      <c r="AT119" s="14">
        <f t="shared" si="70"/>
        <v>4608174.320620805</v>
      </c>
      <c r="AU119" s="14">
        <f t="shared" si="70"/>
        <v>4799931.7587664286</v>
      </c>
      <c r="AV119" s="14">
        <f t="shared" si="70"/>
        <v>5158126.001134458</v>
      </c>
      <c r="AW119" s="14">
        <f t="shared" si="70"/>
        <v>5407471.9774927273</v>
      </c>
      <c r="AX119" s="14">
        <f t="shared" si="70"/>
        <v>5604924.8143659439</v>
      </c>
      <c r="AY119" s="14">
        <f t="shared" si="70"/>
        <v>5804313.4633653685</v>
      </c>
      <c r="AZ119" s="14">
        <f t="shared" si="70"/>
        <v>6061065.2789453892</v>
      </c>
      <c r="BA119" s="14">
        <f t="shared" si="70"/>
        <v>6437165.7396519473</v>
      </c>
      <c r="BB119" s="14">
        <f t="shared" si="70"/>
        <v>6642476.4424125701</v>
      </c>
      <c r="BC119" s="14">
        <f t="shared" si="70"/>
        <v>6906854.0584721072</v>
      </c>
      <c r="BD119" s="14">
        <f t="shared" si="70"/>
        <v>7116210.1951106545</v>
      </c>
      <c r="BE119" s="14">
        <f t="shared" si="70"/>
        <v>7327618.8428927166</v>
      </c>
      <c r="BG119" s="14">
        <f t="shared" si="67"/>
        <v>0</v>
      </c>
      <c r="BH119" s="14">
        <f t="shared" si="67"/>
        <v>1416278.9555697097</v>
      </c>
      <c r="BI119" s="14">
        <f t="shared" si="67"/>
        <v>2505723.8676535557</v>
      </c>
      <c r="BJ119" s="14">
        <f t="shared" si="67"/>
        <v>3599850.9478125796</v>
      </c>
      <c r="BK119" s="14">
        <f t="shared" si="67"/>
        <v>4799931.7587664286</v>
      </c>
      <c r="BL119" s="14">
        <f t="shared" si="67"/>
        <v>6061065.2789453892</v>
      </c>
      <c r="BM119" s="14">
        <f t="shared" si="67"/>
        <v>7327618.8428927166</v>
      </c>
    </row>
    <row r="120" spans="6:65" outlineLevel="1">
      <c r="F120" s="18" t="s">
        <v>121</v>
      </c>
      <c r="G120" s="17" t="str">
        <f t="shared" si="65"/>
        <v>£ Real</v>
      </c>
      <c r="AA120" s="14">
        <f t="shared" ref="AA120:BE120" si="71">Z120+AA95</f>
        <v>0</v>
      </c>
      <c r="AB120" s="14">
        <f t="shared" si="71"/>
        <v>0</v>
      </c>
      <c r="AC120" s="14">
        <f t="shared" si="71"/>
        <v>0</v>
      </c>
      <c r="AD120" s="14">
        <f t="shared" si="71"/>
        <v>0</v>
      </c>
      <c r="AE120" s="14">
        <f t="shared" si="71"/>
        <v>0</v>
      </c>
      <c r="AF120" s="14">
        <f t="shared" si="71"/>
        <v>0</v>
      </c>
      <c r="AG120" s="14">
        <f t="shared" si="71"/>
        <v>0</v>
      </c>
      <c r="AH120" s="14">
        <f t="shared" si="71"/>
        <v>0</v>
      </c>
      <c r="AI120" s="14">
        <f t="shared" si="71"/>
        <v>0</v>
      </c>
      <c r="AJ120" s="14">
        <f t="shared" si="71"/>
        <v>0</v>
      </c>
      <c r="AK120" s="14">
        <f t="shared" si="71"/>
        <v>0</v>
      </c>
      <c r="AL120" s="14">
        <f t="shared" si="71"/>
        <v>0</v>
      </c>
      <c r="AM120" s="14">
        <f t="shared" si="71"/>
        <v>0</v>
      </c>
      <c r="AN120" s="14">
        <f t="shared" si="71"/>
        <v>0</v>
      </c>
      <c r="AO120" s="14">
        <f t="shared" si="71"/>
        <v>0</v>
      </c>
      <c r="AP120" s="14">
        <f t="shared" si="71"/>
        <v>0</v>
      </c>
      <c r="AQ120" s="14">
        <f t="shared" si="71"/>
        <v>0</v>
      </c>
      <c r="AR120" s="14">
        <f t="shared" si="71"/>
        <v>0</v>
      </c>
      <c r="AS120" s="14">
        <f t="shared" si="71"/>
        <v>0</v>
      </c>
      <c r="AT120" s="14">
        <f t="shared" si="71"/>
        <v>0</v>
      </c>
      <c r="AU120" s="14">
        <f t="shared" si="71"/>
        <v>0</v>
      </c>
      <c r="AV120" s="14">
        <f t="shared" si="71"/>
        <v>0</v>
      </c>
      <c r="AW120" s="14">
        <f t="shared" si="71"/>
        <v>0</v>
      </c>
      <c r="AX120" s="14">
        <f t="shared" si="71"/>
        <v>0</v>
      </c>
      <c r="AY120" s="14">
        <f t="shared" si="71"/>
        <v>0</v>
      </c>
      <c r="AZ120" s="14">
        <f t="shared" si="71"/>
        <v>0</v>
      </c>
      <c r="BA120" s="14">
        <f t="shared" si="71"/>
        <v>0</v>
      </c>
      <c r="BB120" s="14">
        <f t="shared" si="71"/>
        <v>0</v>
      </c>
      <c r="BC120" s="14">
        <f t="shared" si="71"/>
        <v>0</v>
      </c>
      <c r="BD120" s="14">
        <f t="shared" si="71"/>
        <v>0</v>
      </c>
      <c r="BE120" s="14">
        <f t="shared" si="71"/>
        <v>0</v>
      </c>
      <c r="BG120" s="14">
        <f t="shared" si="67"/>
        <v>0</v>
      </c>
      <c r="BH120" s="14">
        <f t="shared" si="67"/>
        <v>0</v>
      </c>
      <c r="BI120" s="14">
        <f t="shared" si="67"/>
        <v>0</v>
      </c>
      <c r="BJ120" s="14">
        <f t="shared" si="67"/>
        <v>0</v>
      </c>
      <c r="BK120" s="14">
        <f t="shared" si="67"/>
        <v>0</v>
      </c>
      <c r="BL120" s="14">
        <f t="shared" si="67"/>
        <v>0</v>
      </c>
      <c r="BM120" s="14">
        <f t="shared" si="67"/>
        <v>0</v>
      </c>
    </row>
    <row r="121" spans="6:65" outlineLevel="1">
      <c r="F121" s="18" t="s">
        <v>245</v>
      </c>
      <c r="G121" s="17" t="str">
        <f t="shared" si="65"/>
        <v>£ Real</v>
      </c>
      <c r="AA121" s="14">
        <f t="shared" ref="AA121:BE121" si="72">Z121+AA96</f>
        <v>3045073.0031171548</v>
      </c>
      <c r="AB121" s="14">
        <f t="shared" si="72"/>
        <v>3075611.8753926363</v>
      </c>
      <c r="AC121" s="14">
        <f t="shared" si="72"/>
        <v>3106541.1167335859</v>
      </c>
      <c r="AD121" s="14">
        <f t="shared" si="72"/>
        <v>3137804.2360477941</v>
      </c>
      <c r="AE121" s="14">
        <f t="shared" si="72"/>
        <v>3169404.8375135786</v>
      </c>
      <c r="AF121" s="14">
        <f t="shared" si="72"/>
        <v>3201315.2487976551</v>
      </c>
      <c r="AG121" s="14">
        <f t="shared" si="72"/>
        <v>3233538.5072511835</v>
      </c>
      <c r="AH121" s="14">
        <f t="shared" si="72"/>
        <v>3266077.6800032761</v>
      </c>
      <c r="AI121" s="14">
        <f t="shared" si="72"/>
        <v>3298935.864252938</v>
      </c>
      <c r="AJ121" s="14">
        <f t="shared" si="72"/>
        <v>3332116.187563871</v>
      </c>
      <c r="AK121" s="14">
        <f t="shared" si="72"/>
        <v>3365621.8081621663</v>
      </c>
      <c r="AL121" s="14">
        <f t="shared" si="72"/>
        <v>3399455.9152369155</v>
      </c>
      <c r="AM121" s="14">
        <f t="shared" si="72"/>
        <v>3433621.7292437698</v>
      </c>
      <c r="AN121" s="14">
        <f t="shared" si="72"/>
        <v>3468122.5022114757</v>
      </c>
      <c r="AO121" s="14">
        <f t="shared" si="72"/>
        <v>3502961.5180514143</v>
      </c>
      <c r="AP121" s="14">
        <f t="shared" si="72"/>
        <v>3538142.0928701758</v>
      </c>
      <c r="AQ121" s="14">
        <f t="shared" si="72"/>
        <v>3573667.5752851996</v>
      </c>
      <c r="AR121" s="14">
        <f t="shared" si="72"/>
        <v>3609541.3467435078</v>
      </c>
      <c r="AS121" s="14">
        <f t="shared" si="72"/>
        <v>3645766.821843564</v>
      </c>
      <c r="AT121" s="14">
        <f t="shared" si="72"/>
        <v>3682347.4486602875</v>
      </c>
      <c r="AU121" s="14">
        <f t="shared" si="72"/>
        <v>3719286.7090732534</v>
      </c>
      <c r="AV121" s="14">
        <f t="shared" si="72"/>
        <v>3756588.1190981115</v>
      </c>
      <c r="AW121" s="14">
        <f t="shared" si="72"/>
        <v>3794255.2292212523</v>
      </c>
      <c r="AX121" s="14">
        <f t="shared" si="72"/>
        <v>3832291.6247377573</v>
      </c>
      <c r="AY121" s="14">
        <f t="shared" si="72"/>
        <v>3870700.9260926591</v>
      </c>
      <c r="AZ121" s="14">
        <f t="shared" si="72"/>
        <v>3909486.7892255504</v>
      </c>
      <c r="BA121" s="14">
        <f t="shared" si="72"/>
        <v>3948652.9059185679</v>
      </c>
      <c r="BB121" s="14">
        <f t="shared" si="72"/>
        <v>3988203.0041477918</v>
      </c>
      <c r="BC121" s="14">
        <f t="shared" si="72"/>
        <v>4028140.8484380865</v>
      </c>
      <c r="BD121" s="14">
        <f t="shared" si="72"/>
        <v>4068470.2402214231</v>
      </c>
      <c r="BE121" s="14">
        <f t="shared" si="72"/>
        <v>4109195.0181987141</v>
      </c>
      <c r="BG121" s="14">
        <f t="shared" si="67"/>
        <v>3045073.0031171548</v>
      </c>
      <c r="BH121" s="14">
        <f t="shared" si="67"/>
        <v>3201315.2487976551</v>
      </c>
      <c r="BI121" s="14">
        <f t="shared" si="67"/>
        <v>3365621.8081621663</v>
      </c>
      <c r="BJ121" s="14">
        <f t="shared" si="67"/>
        <v>3538142.0928701758</v>
      </c>
      <c r="BK121" s="14">
        <f t="shared" si="67"/>
        <v>3719286.7090732534</v>
      </c>
      <c r="BL121" s="14">
        <f t="shared" si="67"/>
        <v>3909486.7892255504</v>
      </c>
      <c r="BM121" s="14">
        <f t="shared" si="67"/>
        <v>4109195.0181987141</v>
      </c>
    </row>
    <row r="122" spans="6:65">
      <c r="F122" s="18"/>
      <c r="G122" s="17"/>
    </row>
    <row r="123" spans="6:65">
      <c r="F123" s="37" t="s">
        <v>253</v>
      </c>
      <c r="G123" s="17" t="str">
        <f t="shared" ref="G123:G128" si="73">cstRealUnit</f>
        <v>£ Real</v>
      </c>
      <c r="AA123" s="80">
        <f t="shared" ref="AA123:BE123" si="74">SUM(AA124:AA129)</f>
        <v>0</v>
      </c>
      <c r="AB123" s="80">
        <f t="shared" si="74"/>
        <v>2892289.7644429943</v>
      </c>
      <c r="AC123" s="80">
        <f t="shared" si="74"/>
        <v>5243890.5281500341</v>
      </c>
      <c r="AD123" s="80">
        <f t="shared" si="74"/>
        <v>7610371.34743449</v>
      </c>
      <c r="AE123" s="80">
        <f t="shared" si="74"/>
        <v>10036974.711215049</v>
      </c>
      <c r="AF123" s="80">
        <f t="shared" si="74"/>
        <v>12431163.114284173</v>
      </c>
      <c r="AG123" s="80">
        <f t="shared" si="74"/>
        <v>14980307.349197881</v>
      </c>
      <c r="AH123" s="80">
        <f t="shared" si="74"/>
        <v>17446656.469114035</v>
      </c>
      <c r="AI123" s="80">
        <f t="shared" si="74"/>
        <v>19879469.404356938</v>
      </c>
      <c r="AJ123" s="80">
        <f t="shared" si="74"/>
        <v>22325304.80939462</v>
      </c>
      <c r="AK123" s="80">
        <f t="shared" si="74"/>
        <v>24832102.44622691</v>
      </c>
      <c r="AL123" s="80">
        <f t="shared" si="74"/>
        <v>27453467.699234605</v>
      </c>
      <c r="AM123" s="80">
        <f t="shared" si="74"/>
        <v>29938819.939570826</v>
      </c>
      <c r="AN123" s="80">
        <f t="shared" si="74"/>
        <v>32486782.666899208</v>
      </c>
      <c r="AO123" s="80">
        <f t="shared" si="74"/>
        <v>34998858.738320954</v>
      </c>
      <c r="AP123" s="80">
        <f t="shared" si="74"/>
        <v>37524411.951112449</v>
      </c>
      <c r="AQ123" s="80">
        <f t="shared" si="74"/>
        <v>40270992.706940509</v>
      </c>
      <c r="AR123" s="80">
        <f t="shared" si="74"/>
        <v>42823733.094400704</v>
      </c>
      <c r="AS123" s="80">
        <f t="shared" si="74"/>
        <v>45390184.501719803</v>
      </c>
      <c r="AT123" s="80">
        <f t="shared" si="74"/>
        <v>48022683.919134051</v>
      </c>
      <c r="AU123" s="80">
        <f t="shared" si="74"/>
        <v>50616794.724078394</v>
      </c>
      <c r="AV123" s="80">
        <f t="shared" si="74"/>
        <v>53389411.743972704</v>
      </c>
      <c r="AW123" s="80">
        <f t="shared" si="74"/>
        <v>56065311.94656615</v>
      </c>
      <c r="AX123" s="80">
        <f t="shared" si="74"/>
        <v>58701512.828650989</v>
      </c>
      <c r="AY123" s="80">
        <f t="shared" si="74"/>
        <v>61351906.046297379</v>
      </c>
      <c r="AZ123" s="80">
        <f t="shared" si="74"/>
        <v>64071981.994527087</v>
      </c>
      <c r="BA123" s="80">
        <f t="shared" si="74"/>
        <v>66923789.530491211</v>
      </c>
      <c r="BB123" s="80">
        <f t="shared" si="74"/>
        <v>69617253.969701737</v>
      </c>
      <c r="BC123" s="80">
        <f t="shared" si="74"/>
        <v>72382296.043921083</v>
      </c>
      <c r="BD123" s="80">
        <f t="shared" si="74"/>
        <v>75104891.764846236</v>
      </c>
      <c r="BE123" s="80">
        <f t="shared" si="74"/>
        <v>77842179.873336628</v>
      </c>
      <c r="BG123" s="80">
        <f t="shared" ref="BG123:BM128" si="75">SUMIFS($AA123:$BE123,$AA$3:$BE$3,BG$3)</f>
        <v>0</v>
      </c>
      <c r="BH123" s="80">
        <f t="shared" si="75"/>
        <v>12431163.114284173</v>
      </c>
      <c r="BI123" s="80">
        <f t="shared" si="75"/>
        <v>24832102.44622691</v>
      </c>
      <c r="BJ123" s="80">
        <f t="shared" si="75"/>
        <v>37524411.951112449</v>
      </c>
      <c r="BK123" s="80">
        <f t="shared" si="75"/>
        <v>50616794.724078394</v>
      </c>
      <c r="BL123" s="80">
        <f t="shared" si="75"/>
        <v>64071981.994527087</v>
      </c>
      <c r="BM123" s="80">
        <f t="shared" si="75"/>
        <v>77842179.873336628</v>
      </c>
    </row>
    <row r="124" spans="6:65" outlineLevel="1">
      <c r="F124" s="18" t="s">
        <v>214</v>
      </c>
      <c r="G124" s="17" t="str">
        <f t="shared" si="73"/>
        <v>£ Real</v>
      </c>
      <c r="AA124" s="14">
        <f t="shared" ref="AA124:BE124" si="76">Z124+AA99</f>
        <v>0</v>
      </c>
      <c r="AB124" s="14">
        <f t="shared" si="76"/>
        <v>0</v>
      </c>
      <c r="AC124" s="14">
        <f t="shared" si="76"/>
        <v>0</v>
      </c>
      <c r="AD124" s="14">
        <f t="shared" si="76"/>
        <v>0</v>
      </c>
      <c r="AE124" s="14">
        <f t="shared" si="76"/>
        <v>0</v>
      </c>
      <c r="AF124" s="14">
        <f t="shared" si="76"/>
        <v>0</v>
      </c>
      <c r="AG124" s="14">
        <f t="shared" si="76"/>
        <v>0</v>
      </c>
      <c r="AH124" s="14">
        <f t="shared" si="76"/>
        <v>0</v>
      </c>
      <c r="AI124" s="14">
        <f t="shared" si="76"/>
        <v>0</v>
      </c>
      <c r="AJ124" s="14">
        <f t="shared" si="76"/>
        <v>0</v>
      </c>
      <c r="AK124" s="14">
        <f t="shared" si="76"/>
        <v>0</v>
      </c>
      <c r="AL124" s="14">
        <f t="shared" si="76"/>
        <v>0</v>
      </c>
      <c r="AM124" s="14">
        <f t="shared" si="76"/>
        <v>0</v>
      </c>
      <c r="AN124" s="14">
        <f t="shared" si="76"/>
        <v>0</v>
      </c>
      <c r="AO124" s="14">
        <f t="shared" si="76"/>
        <v>0</v>
      </c>
      <c r="AP124" s="14">
        <f t="shared" si="76"/>
        <v>0</v>
      </c>
      <c r="AQ124" s="14">
        <f t="shared" si="76"/>
        <v>0</v>
      </c>
      <c r="AR124" s="14">
        <f t="shared" si="76"/>
        <v>0</v>
      </c>
      <c r="AS124" s="14">
        <f t="shared" si="76"/>
        <v>0</v>
      </c>
      <c r="AT124" s="14">
        <f t="shared" si="76"/>
        <v>0</v>
      </c>
      <c r="AU124" s="14">
        <f t="shared" si="76"/>
        <v>0</v>
      </c>
      <c r="AV124" s="14">
        <f t="shared" si="76"/>
        <v>0</v>
      </c>
      <c r="AW124" s="14">
        <f t="shared" si="76"/>
        <v>0</v>
      </c>
      <c r="AX124" s="14">
        <f t="shared" si="76"/>
        <v>0</v>
      </c>
      <c r="AY124" s="14">
        <f t="shared" si="76"/>
        <v>0</v>
      </c>
      <c r="AZ124" s="14">
        <f t="shared" si="76"/>
        <v>0</v>
      </c>
      <c r="BA124" s="14">
        <f t="shared" si="76"/>
        <v>0</v>
      </c>
      <c r="BB124" s="14">
        <f t="shared" si="76"/>
        <v>0</v>
      </c>
      <c r="BC124" s="14">
        <f t="shared" si="76"/>
        <v>0</v>
      </c>
      <c r="BD124" s="14">
        <f t="shared" si="76"/>
        <v>0</v>
      </c>
      <c r="BE124" s="14">
        <f t="shared" si="76"/>
        <v>0</v>
      </c>
      <c r="BG124" s="14">
        <f t="shared" si="75"/>
        <v>0</v>
      </c>
      <c r="BH124" s="14">
        <f t="shared" si="75"/>
        <v>0</v>
      </c>
      <c r="BI124" s="14">
        <f t="shared" si="75"/>
        <v>0</v>
      </c>
      <c r="BJ124" s="14">
        <f t="shared" si="75"/>
        <v>0</v>
      </c>
      <c r="BK124" s="14">
        <f t="shared" si="75"/>
        <v>0</v>
      </c>
      <c r="BL124" s="14">
        <f t="shared" si="75"/>
        <v>0</v>
      </c>
      <c r="BM124" s="14">
        <f t="shared" si="75"/>
        <v>0</v>
      </c>
    </row>
    <row r="125" spans="6:65" outlineLevel="1">
      <c r="F125" s="18" t="s">
        <v>42</v>
      </c>
      <c r="G125" s="17" t="str">
        <f t="shared" si="73"/>
        <v>£ Real</v>
      </c>
      <c r="AA125" s="14">
        <f t="shared" ref="AA125:BE125" si="77">Z125+AA100</f>
        <v>0</v>
      </c>
      <c r="AB125" s="14">
        <f t="shared" si="77"/>
        <v>2124256.3721825476</v>
      </c>
      <c r="AC125" s="14">
        <f t="shared" si="77"/>
        <v>4265222.7256605336</v>
      </c>
      <c r="AD125" s="14">
        <f t="shared" si="77"/>
        <v>6418795.3579617459</v>
      </c>
      <c r="AE125" s="14">
        <f t="shared" si="77"/>
        <v>8585048.4964394122</v>
      </c>
      <c r="AF125" s="14">
        <f t="shared" si="77"/>
        <v>10761920.522850793</v>
      </c>
      <c r="AG125" s="14">
        <f t="shared" si="77"/>
        <v>12949463.490568113</v>
      </c>
      <c r="AH125" s="14">
        <f t="shared" si="77"/>
        <v>15147729.708127182</v>
      </c>
      <c r="AI125" s="14">
        <f t="shared" si="77"/>
        <v>17356771.74047821</v>
      </c>
      <c r="AJ125" s="14">
        <f t="shared" si="77"/>
        <v>19576642.410242721</v>
      </c>
      <c r="AK125" s="14">
        <f t="shared" si="77"/>
        <v>21807394.798976667</v>
      </c>
      <c r="AL125" s="14">
        <f t="shared" si="77"/>
        <v>24049082.248439699</v>
      </c>
      <c r="AM125" s="14">
        <f t="shared" si="77"/>
        <v>26301758.361870687</v>
      </c>
      <c r="AN125" s="14">
        <f t="shared" si="77"/>
        <v>28565477.005269475</v>
      </c>
      <c r="AO125" s="14">
        <f t="shared" si="77"/>
        <v>30840292.308684923</v>
      </c>
      <c r="AP125" s="14">
        <f t="shared" si="77"/>
        <v>33126258.667509269</v>
      </c>
      <c r="AQ125" s="14">
        <f t="shared" si="77"/>
        <v>35423430.743778832</v>
      </c>
      <c r="AR125" s="14">
        <f t="shared" si="77"/>
        <v>37731863.467481092</v>
      </c>
      <c r="AS125" s="14">
        <f t="shared" si="77"/>
        <v>40051612.037868164</v>
      </c>
      <c r="AT125" s="14">
        <f t="shared" si="77"/>
        <v>42382731.92477674</v>
      </c>
      <c r="AU125" s="14">
        <f t="shared" si="77"/>
        <v>44725278.869954474</v>
      </c>
      <c r="AV125" s="14">
        <f t="shared" si="77"/>
        <v>47079308.888392888</v>
      </c>
      <c r="AW125" s="14">
        <f t="shared" si="77"/>
        <v>49444878.269666784</v>
      </c>
      <c r="AX125" s="14">
        <f t="shared" si="77"/>
        <v>51822043.579280257</v>
      </c>
      <c r="AY125" s="14">
        <f t="shared" si="77"/>
        <v>54210861.660019286</v>
      </c>
      <c r="AZ125" s="14">
        <f t="shared" si="77"/>
        <v>56611389.633310959</v>
      </c>
      <c r="BA125" s="14">
        <f t="shared" si="77"/>
        <v>59023684.900589354</v>
      </c>
      <c r="BB125" s="14">
        <f t="shared" si="77"/>
        <v>61447805.144668132</v>
      </c>
      <c r="BC125" s="14">
        <f t="shared" si="77"/>
        <v>63883808.331119843</v>
      </c>
      <c r="BD125" s="14">
        <f t="shared" si="77"/>
        <v>66331752.709662005</v>
      </c>
      <c r="BE125" s="14">
        <f t="shared" si="77"/>
        <v>68791696.815549955</v>
      </c>
      <c r="BG125" s="14">
        <f t="shared" si="75"/>
        <v>0</v>
      </c>
      <c r="BH125" s="14">
        <f t="shared" si="75"/>
        <v>10761920.522850793</v>
      </c>
      <c r="BI125" s="14">
        <f t="shared" si="75"/>
        <v>21807394.798976667</v>
      </c>
      <c r="BJ125" s="14">
        <f t="shared" si="75"/>
        <v>33126258.667509269</v>
      </c>
      <c r="BK125" s="14">
        <f t="shared" si="75"/>
        <v>44725278.869954474</v>
      </c>
      <c r="BL125" s="14">
        <f t="shared" si="75"/>
        <v>56611389.633310959</v>
      </c>
      <c r="BM125" s="14">
        <f t="shared" si="75"/>
        <v>68791696.815549955</v>
      </c>
    </row>
    <row r="126" spans="6:65" outlineLevel="1">
      <c r="F126" s="18" t="s">
        <v>227</v>
      </c>
      <c r="G126" s="17" t="str">
        <f t="shared" si="73"/>
        <v>£ Real</v>
      </c>
      <c r="AA126" s="14">
        <f t="shared" ref="AA126:BE126" si="78">Z126+AA101</f>
        <v>0</v>
      </c>
      <c r="AB126" s="14">
        <f t="shared" si="78"/>
        <v>718589.50381442916</v>
      </c>
      <c r="AC126" s="14">
        <f t="shared" si="78"/>
        <v>879147.99949146877</v>
      </c>
      <c r="AD126" s="14">
        <f t="shared" si="78"/>
        <v>1041439.7075850418</v>
      </c>
      <c r="AE126" s="14">
        <f t="shared" si="78"/>
        <v>1250627.054324283</v>
      </c>
      <c r="AF126" s="14">
        <f t="shared" si="78"/>
        <v>1416278.9555697097</v>
      </c>
      <c r="AG126" s="14">
        <f t="shared" si="78"/>
        <v>1725709.2328889596</v>
      </c>
      <c r="AH126" s="14">
        <f t="shared" si="78"/>
        <v>1941109.6650759869</v>
      </c>
      <c r="AI126" s="14">
        <f t="shared" si="78"/>
        <v>2111681.6029922212</v>
      </c>
      <c r="AJ126" s="14">
        <f t="shared" si="78"/>
        <v>2283925.8148095952</v>
      </c>
      <c r="AK126" s="14">
        <f t="shared" si="78"/>
        <v>2505723.8676535557</v>
      </c>
      <c r="AL126" s="14">
        <f t="shared" si="78"/>
        <v>2830622.6406962438</v>
      </c>
      <c r="AM126" s="14">
        <f t="shared" si="78"/>
        <v>3007982.6877808529</v>
      </c>
      <c r="AN126" s="14">
        <f t="shared" si="78"/>
        <v>3236368.3773817816</v>
      </c>
      <c r="AO126" s="14">
        <f t="shared" si="78"/>
        <v>3417223.1197424713</v>
      </c>
      <c r="AP126" s="14">
        <f t="shared" si="78"/>
        <v>3599850.9478125796</v>
      </c>
      <c r="AQ126" s="14">
        <f t="shared" si="78"/>
        <v>3991742.17965151</v>
      </c>
      <c r="AR126" s="14">
        <f t="shared" si="78"/>
        <v>4177968.499143607</v>
      </c>
      <c r="AS126" s="14">
        <f t="shared" si="78"/>
        <v>4366020.5668660188</v>
      </c>
      <c r="AT126" s="14">
        <f t="shared" si="78"/>
        <v>4608174.320620805</v>
      </c>
      <c r="AU126" s="14">
        <f t="shared" si="78"/>
        <v>4799931.7587664286</v>
      </c>
      <c r="AV126" s="14">
        <f t="shared" si="78"/>
        <v>5158126.001134458</v>
      </c>
      <c r="AW126" s="14">
        <f t="shared" si="78"/>
        <v>5407471.9774927273</v>
      </c>
      <c r="AX126" s="14">
        <f t="shared" si="78"/>
        <v>5604924.8143659439</v>
      </c>
      <c r="AY126" s="14">
        <f t="shared" si="78"/>
        <v>5804313.4633653685</v>
      </c>
      <c r="AZ126" s="14">
        <f t="shared" si="78"/>
        <v>6061065.2789453892</v>
      </c>
      <c r="BA126" s="14">
        <f t="shared" si="78"/>
        <v>6437165.7396519473</v>
      </c>
      <c r="BB126" s="14">
        <f t="shared" si="78"/>
        <v>6642476.4424125701</v>
      </c>
      <c r="BC126" s="14">
        <f t="shared" si="78"/>
        <v>6906854.0584721072</v>
      </c>
      <c r="BD126" s="14">
        <f t="shared" si="78"/>
        <v>7116210.1951106545</v>
      </c>
      <c r="BE126" s="14">
        <f t="shared" si="78"/>
        <v>7327618.8428927166</v>
      </c>
      <c r="BG126" s="14">
        <f t="shared" si="75"/>
        <v>0</v>
      </c>
      <c r="BH126" s="14">
        <f t="shared" si="75"/>
        <v>1416278.9555697097</v>
      </c>
      <c r="BI126" s="14">
        <f t="shared" si="75"/>
        <v>2505723.8676535557</v>
      </c>
      <c r="BJ126" s="14">
        <f t="shared" si="75"/>
        <v>3599850.9478125796</v>
      </c>
      <c r="BK126" s="14">
        <f t="shared" si="75"/>
        <v>4799931.7587664286</v>
      </c>
      <c r="BL126" s="14">
        <f t="shared" si="75"/>
        <v>6061065.2789453892</v>
      </c>
      <c r="BM126" s="14">
        <f t="shared" si="75"/>
        <v>7327618.8428927166</v>
      </c>
    </row>
    <row r="127" spans="6:65" outlineLevel="1">
      <c r="F127" s="18" t="s">
        <v>121</v>
      </c>
      <c r="G127" s="17" t="str">
        <f t="shared" si="73"/>
        <v>£ Real</v>
      </c>
      <c r="AA127" s="14">
        <f t="shared" ref="AA127:BE127" si="79">Z127+AA102</f>
        <v>0</v>
      </c>
      <c r="AB127" s="14">
        <f t="shared" si="79"/>
        <v>49443.888446017678</v>
      </c>
      <c r="AC127" s="14">
        <f t="shared" si="79"/>
        <v>99519.802998031664</v>
      </c>
      <c r="AD127" s="14">
        <f t="shared" si="79"/>
        <v>150136.28188770232</v>
      </c>
      <c r="AE127" s="14">
        <f t="shared" si="79"/>
        <v>201299.16045135373</v>
      </c>
      <c r="AF127" s="14">
        <f t="shared" si="79"/>
        <v>252963.6358636684</v>
      </c>
      <c r="AG127" s="14">
        <f t="shared" si="79"/>
        <v>305134.62574080966</v>
      </c>
      <c r="AH127" s="14">
        <f t="shared" si="79"/>
        <v>357817.09591086407</v>
      </c>
      <c r="AI127" s="14">
        <f t="shared" si="79"/>
        <v>411016.06088650727</v>
      </c>
      <c r="AJ127" s="14">
        <f t="shared" si="79"/>
        <v>464736.58434230386</v>
      </c>
      <c r="AK127" s="14">
        <f t="shared" si="79"/>
        <v>518983.77959668665</v>
      </c>
      <c r="AL127" s="14">
        <f t="shared" si="79"/>
        <v>573762.81009866146</v>
      </c>
      <c r="AM127" s="14">
        <f t="shared" si="79"/>
        <v>629078.8899192831</v>
      </c>
      <c r="AN127" s="14">
        <f t="shared" si="79"/>
        <v>684937.28424795007</v>
      </c>
      <c r="AO127" s="14">
        <f t="shared" si="79"/>
        <v>741343.30989356467</v>
      </c>
      <c r="AP127" s="14">
        <f t="shared" si="79"/>
        <v>798302.33579060691</v>
      </c>
      <c r="AQ127" s="14">
        <f t="shared" si="79"/>
        <v>855819.78351016913</v>
      </c>
      <c r="AR127" s="14">
        <f t="shared" si="79"/>
        <v>913901.12777600158</v>
      </c>
      <c r="AS127" s="14">
        <f t="shared" si="79"/>
        <v>972551.89698561677</v>
      </c>
      <c r="AT127" s="14">
        <f t="shared" si="79"/>
        <v>1031777.6737365026</v>
      </c>
      <c r="AU127" s="14">
        <f t="shared" si="79"/>
        <v>1091584.0953574954</v>
      </c>
      <c r="AV127" s="14">
        <f t="shared" si="79"/>
        <v>1151976.8544453604</v>
      </c>
      <c r="AW127" s="14">
        <f t="shared" si="79"/>
        <v>1212961.6994066359</v>
      </c>
      <c r="AX127" s="14">
        <f t="shared" si="79"/>
        <v>1274544.4350047868</v>
      </c>
      <c r="AY127" s="14">
        <f t="shared" si="79"/>
        <v>1336730.9229127234</v>
      </c>
      <c r="AZ127" s="14">
        <f t="shared" si="79"/>
        <v>1399527.0822707377</v>
      </c>
      <c r="BA127" s="14">
        <f t="shared" si="79"/>
        <v>1462938.8902499091</v>
      </c>
      <c r="BB127" s="14">
        <f t="shared" si="79"/>
        <v>1526972.3826210331</v>
      </c>
      <c r="BC127" s="14">
        <f t="shared" si="79"/>
        <v>1591633.654329129</v>
      </c>
      <c r="BD127" s="14">
        <f t="shared" si="79"/>
        <v>1656928.8600735788</v>
      </c>
      <c r="BE127" s="14">
        <f t="shared" si="79"/>
        <v>1722864.2148939546</v>
      </c>
      <c r="BG127" s="14">
        <f t="shared" si="75"/>
        <v>0</v>
      </c>
      <c r="BH127" s="14">
        <f t="shared" si="75"/>
        <v>252963.6358636684</v>
      </c>
      <c r="BI127" s="14">
        <f t="shared" si="75"/>
        <v>518983.77959668665</v>
      </c>
      <c r="BJ127" s="14">
        <f t="shared" si="75"/>
        <v>798302.33579060691</v>
      </c>
      <c r="BK127" s="14">
        <f t="shared" si="75"/>
        <v>1091584.0953574954</v>
      </c>
      <c r="BL127" s="14">
        <f t="shared" si="75"/>
        <v>1399527.0822707377</v>
      </c>
      <c r="BM127" s="14">
        <f t="shared" si="75"/>
        <v>1722864.2148939546</v>
      </c>
    </row>
    <row r="128" spans="6:65" outlineLevel="1">
      <c r="F128" s="18" t="s">
        <v>245</v>
      </c>
      <c r="G128" s="17" t="str">
        <f t="shared" si="73"/>
        <v>£ Real</v>
      </c>
      <c r="AA128" s="14">
        <f t="shared" ref="AA128:BE128" si="80">Z128+AA103</f>
        <v>0</v>
      </c>
      <c r="AB128" s="14">
        <f t="shared" si="80"/>
        <v>0</v>
      </c>
      <c r="AC128" s="14">
        <f t="shared" si="80"/>
        <v>0</v>
      </c>
      <c r="AD128" s="14">
        <f t="shared" si="80"/>
        <v>0</v>
      </c>
      <c r="AE128" s="14">
        <f t="shared" si="80"/>
        <v>0</v>
      </c>
      <c r="AF128" s="14">
        <f t="shared" si="80"/>
        <v>0</v>
      </c>
      <c r="AG128" s="14">
        <f t="shared" si="80"/>
        <v>0</v>
      </c>
      <c r="AH128" s="14">
        <f t="shared" si="80"/>
        <v>0</v>
      </c>
      <c r="AI128" s="14">
        <f t="shared" si="80"/>
        <v>0</v>
      </c>
      <c r="AJ128" s="14">
        <f t="shared" si="80"/>
        <v>0</v>
      </c>
      <c r="AK128" s="14">
        <f t="shared" si="80"/>
        <v>0</v>
      </c>
      <c r="AL128" s="14">
        <f t="shared" si="80"/>
        <v>0</v>
      </c>
      <c r="AM128" s="14">
        <f t="shared" si="80"/>
        <v>0</v>
      </c>
      <c r="AN128" s="14">
        <f t="shared" si="80"/>
        <v>0</v>
      </c>
      <c r="AO128" s="14">
        <f t="shared" si="80"/>
        <v>0</v>
      </c>
      <c r="AP128" s="14">
        <f t="shared" si="80"/>
        <v>0</v>
      </c>
      <c r="AQ128" s="14">
        <f t="shared" si="80"/>
        <v>0</v>
      </c>
      <c r="AR128" s="14">
        <f t="shared" si="80"/>
        <v>0</v>
      </c>
      <c r="AS128" s="14">
        <f t="shared" si="80"/>
        <v>0</v>
      </c>
      <c r="AT128" s="14">
        <f t="shared" si="80"/>
        <v>0</v>
      </c>
      <c r="AU128" s="14">
        <f t="shared" si="80"/>
        <v>0</v>
      </c>
      <c r="AV128" s="14">
        <f t="shared" si="80"/>
        <v>0</v>
      </c>
      <c r="AW128" s="14">
        <f t="shared" si="80"/>
        <v>0</v>
      </c>
      <c r="AX128" s="14">
        <f t="shared" si="80"/>
        <v>0</v>
      </c>
      <c r="AY128" s="14">
        <f t="shared" si="80"/>
        <v>0</v>
      </c>
      <c r="AZ128" s="14">
        <f t="shared" si="80"/>
        <v>0</v>
      </c>
      <c r="BA128" s="14">
        <f t="shared" si="80"/>
        <v>0</v>
      </c>
      <c r="BB128" s="14">
        <f t="shared" si="80"/>
        <v>0</v>
      </c>
      <c r="BC128" s="14">
        <f t="shared" si="80"/>
        <v>0</v>
      </c>
      <c r="BD128" s="14">
        <f t="shared" si="80"/>
        <v>0</v>
      </c>
      <c r="BE128" s="14">
        <f t="shared" si="80"/>
        <v>0</v>
      </c>
      <c r="BG128" s="14">
        <f t="shared" si="75"/>
        <v>0</v>
      </c>
      <c r="BH128" s="14">
        <f t="shared" si="75"/>
        <v>0</v>
      </c>
      <c r="BI128" s="14">
        <f t="shared" si="75"/>
        <v>0</v>
      </c>
      <c r="BJ128" s="14">
        <f t="shared" si="75"/>
        <v>0</v>
      </c>
      <c r="BK128" s="14">
        <f t="shared" si="75"/>
        <v>0</v>
      </c>
      <c r="BL128" s="14">
        <f t="shared" si="75"/>
        <v>0</v>
      </c>
      <c r="BM128" s="14">
        <f t="shared" si="75"/>
        <v>0</v>
      </c>
    </row>
    <row r="129" spans="1:66">
      <c r="F129" s="18"/>
      <c r="G129" s="17"/>
    </row>
    <row r="130" spans="1:66">
      <c r="F130" s="37" t="s">
        <v>255</v>
      </c>
      <c r="G130" s="17" t="str">
        <f t="shared" ref="G130:G135" si="81">cstRealUnit</f>
        <v>£ Real</v>
      </c>
      <c r="AA130" s="80">
        <f t="shared" ref="AA130:BE130" si="82">SUM(AA131:AA136)</f>
        <v>0</v>
      </c>
      <c r="AB130" s="80">
        <f t="shared" si="82"/>
        <v>2745310.9575518267</v>
      </c>
      <c r="AC130" s="80">
        <f t="shared" si="82"/>
        <v>5525714.3855541684</v>
      </c>
      <c r="AD130" s="80">
        <f t="shared" si="82"/>
        <v>8336131.9820629144</v>
      </c>
      <c r="AE130" s="80">
        <f t="shared" si="82"/>
        <v>11176887.746934365</v>
      </c>
      <c r="AF130" s="80">
        <f t="shared" si="82"/>
        <v>14045494.058520243</v>
      </c>
      <c r="AG130" s="80">
        <f t="shared" si="82"/>
        <v>16942223.961396176</v>
      </c>
      <c r="AH130" s="80">
        <f t="shared" si="82"/>
        <v>19867353.177045405</v>
      </c>
      <c r="AI130" s="80">
        <f t="shared" si="82"/>
        <v>22821160.130102959</v>
      </c>
      <c r="AJ130" s="80">
        <f t="shared" si="82"/>
        <v>25803925.974857155</v>
      </c>
      <c r="AK130" s="80">
        <f t="shared" si="82"/>
        <v>28815934.622010905</v>
      </c>
      <c r="AL130" s="80">
        <f t="shared" si="82"/>
        <v>31857472.765705377</v>
      </c>
      <c r="AM130" s="80">
        <f t="shared" si="82"/>
        <v>34928829.910808615</v>
      </c>
      <c r="AN130" s="80">
        <f t="shared" si="82"/>
        <v>38030298.400471695</v>
      </c>
      <c r="AO130" s="80">
        <f t="shared" si="82"/>
        <v>41162173.443954997</v>
      </c>
      <c r="AP130" s="80">
        <f t="shared" si="82"/>
        <v>44324753.144727349</v>
      </c>
      <c r="AQ130" s="80">
        <f t="shared" si="82"/>
        <v>47518338.528840609</v>
      </c>
      <c r="AR130" s="80">
        <f t="shared" si="82"/>
        <v>50743233.573582433</v>
      </c>
      <c r="AS130" s="80">
        <f t="shared" si="82"/>
        <v>53999745.236409962</v>
      </c>
      <c r="AT130" s="80">
        <f t="shared" si="82"/>
        <v>57288183.484167174</v>
      </c>
      <c r="AU130" s="80">
        <f t="shared" si="82"/>
        <v>60608861.322588667</v>
      </c>
      <c r="AV130" s="80">
        <f t="shared" si="82"/>
        <v>63962094.826092727</v>
      </c>
      <c r="AW130" s="80">
        <f t="shared" si="82"/>
        <v>67348203.167866439</v>
      </c>
      <c r="AX130" s="80">
        <f t="shared" si="82"/>
        <v>70767508.650245771</v>
      </c>
      <c r="AY130" s="80">
        <f t="shared" si="82"/>
        <v>74220336.735393524</v>
      </c>
      <c r="AZ130" s="80">
        <f t="shared" si="82"/>
        <v>77707016.076278016</v>
      </c>
      <c r="BA130" s="80">
        <f t="shared" si="82"/>
        <v>81227878.547955498</v>
      </c>
      <c r="BB130" s="80">
        <f t="shared" si="82"/>
        <v>84783259.279159233</v>
      </c>
      <c r="BC130" s="80">
        <f t="shared" si="82"/>
        <v>88373496.68419829</v>
      </c>
      <c r="BD130" s="80">
        <f t="shared" si="82"/>
        <v>91998932.495169103</v>
      </c>
      <c r="BE130" s="80">
        <f t="shared" si="82"/>
        <v>95659911.794482768</v>
      </c>
      <c r="BG130" s="80">
        <f t="shared" ref="BG130:BM135" si="83">SUMIFS($AA130:$BE130,$AA$3:$BE$3,BG$3)</f>
        <v>0</v>
      </c>
      <c r="BH130" s="80">
        <f t="shared" si="83"/>
        <v>14045494.058520243</v>
      </c>
      <c r="BI130" s="80">
        <f t="shared" si="83"/>
        <v>28815934.622010905</v>
      </c>
      <c r="BJ130" s="80">
        <f t="shared" si="83"/>
        <v>44324753.144727349</v>
      </c>
      <c r="BK130" s="80">
        <f t="shared" si="83"/>
        <v>60608861.322588667</v>
      </c>
      <c r="BL130" s="80">
        <f t="shared" si="83"/>
        <v>77707016.076278016</v>
      </c>
      <c r="BM130" s="80">
        <f t="shared" si="83"/>
        <v>95659911.794482768</v>
      </c>
    </row>
    <row r="131" spans="1:66" outlineLevel="1">
      <c r="F131" s="18" t="s">
        <v>214</v>
      </c>
      <c r="G131" s="17" t="str">
        <f t="shared" si="81"/>
        <v>£ Real</v>
      </c>
      <c r="AA131" s="14">
        <f t="shared" ref="AA131:BE131" si="84">Z131+AA106</f>
        <v>0</v>
      </c>
      <c r="AB131" s="14">
        <f t="shared" si="84"/>
        <v>2745310.9575518267</v>
      </c>
      <c r="AC131" s="14">
        <f t="shared" si="84"/>
        <v>5525714.3855541684</v>
      </c>
      <c r="AD131" s="14">
        <f t="shared" si="84"/>
        <v>8336131.9820629144</v>
      </c>
      <c r="AE131" s="14">
        <f t="shared" si="84"/>
        <v>11176887.746934365</v>
      </c>
      <c r="AF131" s="14">
        <f t="shared" si="84"/>
        <v>14045494.058520243</v>
      </c>
      <c r="AG131" s="14">
        <f t="shared" si="84"/>
        <v>16942223.961396176</v>
      </c>
      <c r="AH131" s="14">
        <f t="shared" si="84"/>
        <v>19867353.177045405</v>
      </c>
      <c r="AI131" s="14">
        <f t="shared" si="84"/>
        <v>22821160.130102959</v>
      </c>
      <c r="AJ131" s="14">
        <f t="shared" si="84"/>
        <v>25803925.974857155</v>
      </c>
      <c r="AK131" s="14">
        <f t="shared" si="84"/>
        <v>28815934.622010905</v>
      </c>
      <c r="AL131" s="14">
        <f t="shared" si="84"/>
        <v>31857472.765705377</v>
      </c>
      <c r="AM131" s="14">
        <f t="shared" si="84"/>
        <v>34928829.910808615</v>
      </c>
      <c r="AN131" s="14">
        <f t="shared" si="84"/>
        <v>38030298.400471695</v>
      </c>
      <c r="AO131" s="14">
        <f t="shared" si="84"/>
        <v>41162173.443954997</v>
      </c>
      <c r="AP131" s="14">
        <f t="shared" si="84"/>
        <v>44324753.144727349</v>
      </c>
      <c r="AQ131" s="14">
        <f t="shared" si="84"/>
        <v>47518338.528840609</v>
      </c>
      <c r="AR131" s="14">
        <f t="shared" si="84"/>
        <v>50743233.573582433</v>
      </c>
      <c r="AS131" s="14">
        <f t="shared" si="84"/>
        <v>53999745.236409962</v>
      </c>
      <c r="AT131" s="14">
        <f t="shared" si="84"/>
        <v>57288183.484167174</v>
      </c>
      <c r="AU131" s="14">
        <f t="shared" si="84"/>
        <v>60608861.322588667</v>
      </c>
      <c r="AV131" s="14">
        <f t="shared" si="84"/>
        <v>63962094.826092727</v>
      </c>
      <c r="AW131" s="14">
        <f t="shared" si="84"/>
        <v>67348203.167866439</v>
      </c>
      <c r="AX131" s="14">
        <f t="shared" si="84"/>
        <v>70767508.650245771</v>
      </c>
      <c r="AY131" s="14">
        <f t="shared" si="84"/>
        <v>74220336.735393524</v>
      </c>
      <c r="AZ131" s="14">
        <f t="shared" si="84"/>
        <v>77707016.076278016</v>
      </c>
      <c r="BA131" s="14">
        <f t="shared" si="84"/>
        <v>81227878.547955498</v>
      </c>
      <c r="BB131" s="14">
        <f t="shared" si="84"/>
        <v>84783259.279159233</v>
      </c>
      <c r="BC131" s="14">
        <f t="shared" si="84"/>
        <v>88373496.68419829</v>
      </c>
      <c r="BD131" s="14">
        <f t="shared" si="84"/>
        <v>91998932.495169103</v>
      </c>
      <c r="BE131" s="14">
        <f t="shared" si="84"/>
        <v>95659911.794482768</v>
      </c>
      <c r="BG131" s="14">
        <f t="shared" si="83"/>
        <v>0</v>
      </c>
      <c r="BH131" s="14">
        <f t="shared" si="83"/>
        <v>14045494.058520243</v>
      </c>
      <c r="BI131" s="14">
        <f t="shared" si="83"/>
        <v>28815934.622010905</v>
      </c>
      <c r="BJ131" s="14">
        <f t="shared" si="83"/>
        <v>44324753.144727349</v>
      </c>
      <c r="BK131" s="14">
        <f t="shared" si="83"/>
        <v>60608861.322588667</v>
      </c>
      <c r="BL131" s="14">
        <f t="shared" si="83"/>
        <v>77707016.076278016</v>
      </c>
      <c r="BM131" s="14">
        <f t="shared" si="83"/>
        <v>95659911.794482768</v>
      </c>
    </row>
    <row r="132" spans="1:66" outlineLevel="1">
      <c r="F132" s="18" t="s">
        <v>42</v>
      </c>
      <c r="G132" s="17" t="str">
        <f t="shared" si="81"/>
        <v>£ Real</v>
      </c>
      <c r="AA132" s="14">
        <f t="shared" ref="AA132:BE132" si="85">Z132+AA107</f>
        <v>0</v>
      </c>
      <c r="AB132" s="14">
        <f t="shared" si="85"/>
        <v>0</v>
      </c>
      <c r="AC132" s="14">
        <f t="shared" si="85"/>
        <v>0</v>
      </c>
      <c r="AD132" s="14">
        <f t="shared" si="85"/>
        <v>0</v>
      </c>
      <c r="AE132" s="14">
        <f t="shared" si="85"/>
        <v>0</v>
      </c>
      <c r="AF132" s="14">
        <f t="shared" si="85"/>
        <v>0</v>
      </c>
      <c r="AG132" s="14">
        <f t="shared" si="85"/>
        <v>0</v>
      </c>
      <c r="AH132" s="14">
        <f t="shared" si="85"/>
        <v>0</v>
      </c>
      <c r="AI132" s="14">
        <f t="shared" si="85"/>
        <v>0</v>
      </c>
      <c r="AJ132" s="14">
        <f t="shared" si="85"/>
        <v>0</v>
      </c>
      <c r="AK132" s="14">
        <f t="shared" si="85"/>
        <v>0</v>
      </c>
      <c r="AL132" s="14">
        <f t="shared" si="85"/>
        <v>0</v>
      </c>
      <c r="AM132" s="14">
        <f t="shared" si="85"/>
        <v>0</v>
      </c>
      <c r="AN132" s="14">
        <f t="shared" si="85"/>
        <v>0</v>
      </c>
      <c r="AO132" s="14">
        <f t="shared" si="85"/>
        <v>0</v>
      </c>
      <c r="AP132" s="14">
        <f t="shared" si="85"/>
        <v>0</v>
      </c>
      <c r="AQ132" s="14">
        <f t="shared" si="85"/>
        <v>0</v>
      </c>
      <c r="AR132" s="14">
        <f t="shared" si="85"/>
        <v>0</v>
      </c>
      <c r="AS132" s="14">
        <f t="shared" si="85"/>
        <v>0</v>
      </c>
      <c r="AT132" s="14">
        <f t="shared" si="85"/>
        <v>0</v>
      </c>
      <c r="AU132" s="14">
        <f t="shared" si="85"/>
        <v>0</v>
      </c>
      <c r="AV132" s="14">
        <f t="shared" si="85"/>
        <v>0</v>
      </c>
      <c r="AW132" s="14">
        <f t="shared" si="85"/>
        <v>0</v>
      </c>
      <c r="AX132" s="14">
        <f t="shared" si="85"/>
        <v>0</v>
      </c>
      <c r="AY132" s="14">
        <f t="shared" si="85"/>
        <v>0</v>
      </c>
      <c r="AZ132" s="14">
        <f t="shared" si="85"/>
        <v>0</v>
      </c>
      <c r="BA132" s="14">
        <f t="shared" si="85"/>
        <v>0</v>
      </c>
      <c r="BB132" s="14">
        <f t="shared" si="85"/>
        <v>0</v>
      </c>
      <c r="BC132" s="14">
        <f t="shared" si="85"/>
        <v>0</v>
      </c>
      <c r="BD132" s="14">
        <f t="shared" si="85"/>
        <v>0</v>
      </c>
      <c r="BE132" s="14">
        <f t="shared" si="85"/>
        <v>0</v>
      </c>
      <c r="BG132" s="14">
        <f t="shared" si="83"/>
        <v>0</v>
      </c>
      <c r="BH132" s="14">
        <f t="shared" si="83"/>
        <v>0</v>
      </c>
      <c r="BI132" s="14">
        <f t="shared" si="83"/>
        <v>0</v>
      </c>
      <c r="BJ132" s="14">
        <f t="shared" si="83"/>
        <v>0</v>
      </c>
      <c r="BK132" s="14">
        <f t="shared" si="83"/>
        <v>0</v>
      </c>
      <c r="BL132" s="14">
        <f t="shared" si="83"/>
        <v>0</v>
      </c>
      <c r="BM132" s="14">
        <f t="shared" si="83"/>
        <v>0</v>
      </c>
    </row>
    <row r="133" spans="1:66" outlineLevel="1">
      <c r="F133" s="18" t="s">
        <v>227</v>
      </c>
      <c r="G133" s="17" t="str">
        <f t="shared" si="81"/>
        <v>£ Real</v>
      </c>
      <c r="AA133" s="14">
        <f t="shared" ref="AA133:BE133" si="86">Z133+AA108</f>
        <v>0</v>
      </c>
      <c r="AB133" s="14">
        <f t="shared" si="86"/>
        <v>0</v>
      </c>
      <c r="AC133" s="14">
        <f t="shared" si="86"/>
        <v>0</v>
      </c>
      <c r="AD133" s="14">
        <f t="shared" si="86"/>
        <v>0</v>
      </c>
      <c r="AE133" s="14">
        <f t="shared" si="86"/>
        <v>0</v>
      </c>
      <c r="AF133" s="14">
        <f t="shared" si="86"/>
        <v>0</v>
      </c>
      <c r="AG133" s="14">
        <f t="shared" si="86"/>
        <v>0</v>
      </c>
      <c r="AH133" s="14">
        <f t="shared" si="86"/>
        <v>0</v>
      </c>
      <c r="AI133" s="14">
        <f t="shared" si="86"/>
        <v>0</v>
      </c>
      <c r="AJ133" s="14">
        <f t="shared" si="86"/>
        <v>0</v>
      </c>
      <c r="AK133" s="14">
        <f t="shared" si="86"/>
        <v>0</v>
      </c>
      <c r="AL133" s="14">
        <f t="shared" si="86"/>
        <v>0</v>
      </c>
      <c r="AM133" s="14">
        <f t="shared" si="86"/>
        <v>0</v>
      </c>
      <c r="AN133" s="14">
        <f t="shared" si="86"/>
        <v>0</v>
      </c>
      <c r="AO133" s="14">
        <f t="shared" si="86"/>
        <v>0</v>
      </c>
      <c r="AP133" s="14">
        <f t="shared" si="86"/>
        <v>0</v>
      </c>
      <c r="AQ133" s="14">
        <f t="shared" si="86"/>
        <v>0</v>
      </c>
      <c r="AR133" s="14">
        <f t="shared" si="86"/>
        <v>0</v>
      </c>
      <c r="AS133" s="14">
        <f t="shared" si="86"/>
        <v>0</v>
      </c>
      <c r="AT133" s="14">
        <f t="shared" si="86"/>
        <v>0</v>
      </c>
      <c r="AU133" s="14">
        <f t="shared" si="86"/>
        <v>0</v>
      </c>
      <c r="AV133" s="14">
        <f t="shared" si="86"/>
        <v>0</v>
      </c>
      <c r="AW133" s="14">
        <f t="shared" si="86"/>
        <v>0</v>
      </c>
      <c r="AX133" s="14">
        <f t="shared" si="86"/>
        <v>0</v>
      </c>
      <c r="AY133" s="14">
        <f t="shared" si="86"/>
        <v>0</v>
      </c>
      <c r="AZ133" s="14">
        <f t="shared" si="86"/>
        <v>0</v>
      </c>
      <c r="BA133" s="14">
        <f t="shared" si="86"/>
        <v>0</v>
      </c>
      <c r="BB133" s="14">
        <f t="shared" si="86"/>
        <v>0</v>
      </c>
      <c r="BC133" s="14">
        <f t="shared" si="86"/>
        <v>0</v>
      </c>
      <c r="BD133" s="14">
        <f t="shared" si="86"/>
        <v>0</v>
      </c>
      <c r="BE133" s="14">
        <f t="shared" si="86"/>
        <v>0</v>
      </c>
      <c r="BG133" s="14">
        <f t="shared" si="83"/>
        <v>0</v>
      </c>
      <c r="BH133" s="14">
        <f t="shared" si="83"/>
        <v>0</v>
      </c>
      <c r="BI133" s="14">
        <f t="shared" si="83"/>
        <v>0</v>
      </c>
      <c r="BJ133" s="14">
        <f t="shared" si="83"/>
        <v>0</v>
      </c>
      <c r="BK133" s="14">
        <f t="shared" si="83"/>
        <v>0</v>
      </c>
      <c r="BL133" s="14">
        <f t="shared" si="83"/>
        <v>0</v>
      </c>
      <c r="BM133" s="14">
        <f t="shared" si="83"/>
        <v>0</v>
      </c>
    </row>
    <row r="134" spans="1:66" outlineLevel="1">
      <c r="F134" s="18" t="s">
        <v>121</v>
      </c>
      <c r="G134" s="17" t="str">
        <f t="shared" si="81"/>
        <v>£ Real</v>
      </c>
      <c r="AA134" s="14">
        <f t="shared" ref="AA134:BE134" si="87">Z134+AA109</f>
        <v>0</v>
      </c>
      <c r="AB134" s="14">
        <f t="shared" si="87"/>
        <v>0</v>
      </c>
      <c r="AC134" s="14">
        <f t="shared" si="87"/>
        <v>0</v>
      </c>
      <c r="AD134" s="14">
        <f t="shared" si="87"/>
        <v>0</v>
      </c>
      <c r="AE134" s="14">
        <f t="shared" si="87"/>
        <v>0</v>
      </c>
      <c r="AF134" s="14">
        <f t="shared" si="87"/>
        <v>0</v>
      </c>
      <c r="AG134" s="14">
        <f t="shared" si="87"/>
        <v>0</v>
      </c>
      <c r="AH134" s="14">
        <f t="shared" si="87"/>
        <v>0</v>
      </c>
      <c r="AI134" s="14">
        <f t="shared" si="87"/>
        <v>0</v>
      </c>
      <c r="AJ134" s="14">
        <f t="shared" si="87"/>
        <v>0</v>
      </c>
      <c r="AK134" s="14">
        <f t="shared" si="87"/>
        <v>0</v>
      </c>
      <c r="AL134" s="14">
        <f t="shared" si="87"/>
        <v>0</v>
      </c>
      <c r="AM134" s="14">
        <f t="shared" si="87"/>
        <v>0</v>
      </c>
      <c r="AN134" s="14">
        <f t="shared" si="87"/>
        <v>0</v>
      </c>
      <c r="AO134" s="14">
        <f t="shared" si="87"/>
        <v>0</v>
      </c>
      <c r="AP134" s="14">
        <f t="shared" si="87"/>
        <v>0</v>
      </c>
      <c r="AQ134" s="14">
        <f t="shared" si="87"/>
        <v>0</v>
      </c>
      <c r="AR134" s="14">
        <f t="shared" si="87"/>
        <v>0</v>
      </c>
      <c r="AS134" s="14">
        <f t="shared" si="87"/>
        <v>0</v>
      </c>
      <c r="AT134" s="14">
        <f t="shared" si="87"/>
        <v>0</v>
      </c>
      <c r="AU134" s="14">
        <f t="shared" si="87"/>
        <v>0</v>
      </c>
      <c r="AV134" s="14">
        <f t="shared" si="87"/>
        <v>0</v>
      </c>
      <c r="AW134" s="14">
        <f t="shared" si="87"/>
        <v>0</v>
      </c>
      <c r="AX134" s="14">
        <f t="shared" si="87"/>
        <v>0</v>
      </c>
      <c r="AY134" s="14">
        <f t="shared" si="87"/>
        <v>0</v>
      </c>
      <c r="AZ134" s="14">
        <f t="shared" si="87"/>
        <v>0</v>
      </c>
      <c r="BA134" s="14">
        <f t="shared" si="87"/>
        <v>0</v>
      </c>
      <c r="BB134" s="14">
        <f t="shared" si="87"/>
        <v>0</v>
      </c>
      <c r="BC134" s="14">
        <f t="shared" si="87"/>
        <v>0</v>
      </c>
      <c r="BD134" s="14">
        <f t="shared" si="87"/>
        <v>0</v>
      </c>
      <c r="BE134" s="14">
        <f t="shared" si="87"/>
        <v>0</v>
      </c>
      <c r="BG134" s="14">
        <f t="shared" si="83"/>
        <v>0</v>
      </c>
      <c r="BH134" s="14">
        <f t="shared" si="83"/>
        <v>0</v>
      </c>
      <c r="BI134" s="14">
        <f t="shared" si="83"/>
        <v>0</v>
      </c>
      <c r="BJ134" s="14">
        <f t="shared" si="83"/>
        <v>0</v>
      </c>
      <c r="BK134" s="14">
        <f t="shared" si="83"/>
        <v>0</v>
      </c>
      <c r="BL134" s="14">
        <f t="shared" si="83"/>
        <v>0</v>
      </c>
      <c r="BM134" s="14">
        <f t="shared" si="83"/>
        <v>0</v>
      </c>
    </row>
    <row r="135" spans="1:66" outlineLevel="1">
      <c r="F135" s="18" t="s">
        <v>245</v>
      </c>
      <c r="G135" s="17" t="str">
        <f t="shared" si="81"/>
        <v>£ Real</v>
      </c>
      <c r="AA135" s="14">
        <f t="shared" ref="AA135:BE135" si="88">Z135+AA110</f>
        <v>0</v>
      </c>
      <c r="AB135" s="14">
        <f t="shared" si="88"/>
        <v>0</v>
      </c>
      <c r="AC135" s="14">
        <f t="shared" si="88"/>
        <v>0</v>
      </c>
      <c r="AD135" s="14">
        <f t="shared" si="88"/>
        <v>0</v>
      </c>
      <c r="AE135" s="14">
        <f t="shared" si="88"/>
        <v>0</v>
      </c>
      <c r="AF135" s="14">
        <f t="shared" si="88"/>
        <v>0</v>
      </c>
      <c r="AG135" s="14">
        <f t="shared" si="88"/>
        <v>0</v>
      </c>
      <c r="AH135" s="14">
        <f t="shared" si="88"/>
        <v>0</v>
      </c>
      <c r="AI135" s="14">
        <f t="shared" si="88"/>
        <v>0</v>
      </c>
      <c r="AJ135" s="14">
        <f t="shared" si="88"/>
        <v>0</v>
      </c>
      <c r="AK135" s="14">
        <f t="shared" si="88"/>
        <v>0</v>
      </c>
      <c r="AL135" s="14">
        <f t="shared" si="88"/>
        <v>0</v>
      </c>
      <c r="AM135" s="14">
        <f t="shared" si="88"/>
        <v>0</v>
      </c>
      <c r="AN135" s="14">
        <f t="shared" si="88"/>
        <v>0</v>
      </c>
      <c r="AO135" s="14">
        <f t="shared" si="88"/>
        <v>0</v>
      </c>
      <c r="AP135" s="14">
        <f t="shared" si="88"/>
        <v>0</v>
      </c>
      <c r="AQ135" s="14">
        <f t="shared" si="88"/>
        <v>0</v>
      </c>
      <c r="AR135" s="14">
        <f t="shared" si="88"/>
        <v>0</v>
      </c>
      <c r="AS135" s="14">
        <f t="shared" si="88"/>
        <v>0</v>
      </c>
      <c r="AT135" s="14">
        <f t="shared" si="88"/>
        <v>0</v>
      </c>
      <c r="AU135" s="14">
        <f t="shared" si="88"/>
        <v>0</v>
      </c>
      <c r="AV135" s="14">
        <f t="shared" si="88"/>
        <v>0</v>
      </c>
      <c r="AW135" s="14">
        <f t="shared" si="88"/>
        <v>0</v>
      </c>
      <c r="AX135" s="14">
        <f t="shared" si="88"/>
        <v>0</v>
      </c>
      <c r="AY135" s="14">
        <f t="shared" si="88"/>
        <v>0</v>
      </c>
      <c r="AZ135" s="14">
        <f t="shared" si="88"/>
        <v>0</v>
      </c>
      <c r="BA135" s="14">
        <f t="shared" si="88"/>
        <v>0</v>
      </c>
      <c r="BB135" s="14">
        <f t="shared" si="88"/>
        <v>0</v>
      </c>
      <c r="BC135" s="14">
        <f t="shared" si="88"/>
        <v>0</v>
      </c>
      <c r="BD135" s="14">
        <f t="shared" si="88"/>
        <v>0</v>
      </c>
      <c r="BE135" s="14">
        <f t="shared" si="88"/>
        <v>0</v>
      </c>
      <c r="BG135" s="14">
        <f t="shared" si="83"/>
        <v>0</v>
      </c>
      <c r="BH135" s="14">
        <f t="shared" si="83"/>
        <v>0</v>
      </c>
      <c r="BI135" s="14">
        <f t="shared" si="83"/>
        <v>0</v>
      </c>
      <c r="BJ135" s="14">
        <f t="shared" si="83"/>
        <v>0</v>
      </c>
      <c r="BK135" s="14">
        <f t="shared" si="83"/>
        <v>0</v>
      </c>
      <c r="BL135" s="14">
        <f t="shared" si="83"/>
        <v>0</v>
      </c>
      <c r="BM135" s="14">
        <f t="shared" si="83"/>
        <v>0</v>
      </c>
    </row>
    <row r="136" spans="1:66">
      <c r="F136" s="18"/>
      <c r="G136" s="17"/>
    </row>
    <row r="137" spans="1:66" ht="14" thickBot="1">
      <c r="A137" s="25"/>
      <c r="B137" s="25"/>
      <c r="C137" s="25"/>
      <c r="D137" s="25"/>
      <c r="E137" s="25" t="s">
        <v>413</v>
      </c>
      <c r="F137" s="25" t="s">
        <v>257</v>
      </c>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25"/>
      <c r="AG137" s="25"/>
      <c r="AH137" s="25"/>
      <c r="AI137" s="25"/>
      <c r="AJ137" s="25"/>
      <c r="AK137" s="25"/>
      <c r="AL137" s="25"/>
      <c r="AM137" s="25"/>
      <c r="AN137" s="25"/>
      <c r="AO137" s="25"/>
      <c r="AP137" s="25"/>
      <c r="AQ137" s="25"/>
      <c r="AR137" s="25"/>
      <c r="AS137" s="25"/>
      <c r="AT137" s="25"/>
      <c r="AU137" s="25"/>
      <c r="AV137" s="25"/>
      <c r="AW137" s="25"/>
      <c r="AX137" s="25"/>
      <c r="AY137" s="25"/>
      <c r="AZ137" s="25"/>
      <c r="BA137" s="25"/>
      <c r="BB137" s="25"/>
      <c r="BC137" s="25"/>
      <c r="BD137" s="25"/>
      <c r="BE137" s="25"/>
      <c r="BF137" s="25"/>
      <c r="BG137" s="25"/>
      <c r="BH137" s="25"/>
      <c r="BI137" s="25"/>
      <c r="BJ137" s="25"/>
      <c r="BK137" s="25"/>
      <c r="BL137" s="25"/>
      <c r="BM137" s="25"/>
      <c r="BN137" s="25"/>
    </row>
    <row r="138" spans="1:66">
      <c r="F138" s="18"/>
      <c r="G138" s="17"/>
    </row>
    <row r="139" spans="1:66" ht="13">
      <c r="F139" s="26" t="s">
        <v>258</v>
      </c>
      <c r="G139" s="17"/>
    </row>
    <row r="140" spans="1:66">
      <c r="F140" s="18"/>
      <c r="G140" s="17"/>
    </row>
    <row r="141" spans="1:66">
      <c r="F141" s="40" t="s">
        <v>379</v>
      </c>
      <c r="G141" s="17" t="str">
        <f>cstHours</f>
        <v>Hrs</v>
      </c>
      <c r="I141" s="9">
        <f>cVolumetrics!Z39</f>
        <v>2700000</v>
      </c>
      <c r="AA141" s="39"/>
      <c r="AB141" s="39"/>
      <c r="AC141" s="39"/>
      <c r="AD141" s="39"/>
      <c r="AE141" s="39"/>
      <c r="AF141" s="39"/>
      <c r="AG141" s="39"/>
      <c r="AH141" s="39"/>
      <c r="AI141" s="39"/>
      <c r="AJ141" s="39"/>
      <c r="AK141" s="39"/>
      <c r="AL141" s="39"/>
      <c r="AM141" s="39"/>
      <c r="AN141" s="39"/>
      <c r="AO141" s="39"/>
      <c r="AP141" s="39"/>
      <c r="AQ141" s="39"/>
      <c r="AR141" s="39"/>
      <c r="AS141" s="39"/>
      <c r="AT141" s="39"/>
      <c r="AU141" s="39"/>
      <c r="AV141" s="39"/>
      <c r="AW141" s="39"/>
      <c r="AX141" s="39"/>
      <c r="AY141" s="39"/>
      <c r="AZ141" s="39"/>
      <c r="BA141" s="39"/>
      <c r="BB141" s="39"/>
      <c r="BC141" s="39"/>
      <c r="BD141" s="39"/>
      <c r="BE141" s="39"/>
      <c r="BG141" s="39"/>
      <c r="BH141" s="39"/>
      <c r="BI141" s="39"/>
      <c r="BJ141" s="39"/>
      <c r="BK141" s="39"/>
      <c r="BL141" s="39"/>
      <c r="BM141" s="39"/>
    </row>
    <row r="142" spans="1:66">
      <c r="F142" s="18"/>
      <c r="G142" s="17"/>
    </row>
    <row r="143" spans="1:66" ht="13">
      <c r="F143" s="26" t="s">
        <v>251</v>
      </c>
      <c r="G143" s="17"/>
    </row>
    <row r="144" spans="1:66">
      <c r="F144" s="18"/>
      <c r="G144" s="17"/>
    </row>
    <row r="145" spans="1:66">
      <c r="F145" s="81" t="s">
        <v>252</v>
      </c>
      <c r="G145" s="17" t="str">
        <f>cstRealUnit</f>
        <v>£ Real</v>
      </c>
      <c r="I145" s="15">
        <f>I91/$I$141</f>
        <v>29.714263213570884</v>
      </c>
      <c r="AA145" s="39"/>
      <c r="AB145" s="39"/>
      <c r="AC145" s="39"/>
      <c r="AD145" s="39"/>
      <c r="AE145" s="39"/>
      <c r="AF145" s="39"/>
      <c r="AG145" s="39"/>
      <c r="AH145" s="39"/>
      <c r="AI145" s="39"/>
      <c r="AJ145" s="39"/>
      <c r="AK145" s="39"/>
      <c r="AL145" s="39"/>
      <c r="AM145" s="39"/>
      <c r="AN145" s="39"/>
      <c r="AO145" s="39"/>
      <c r="AP145" s="39"/>
      <c r="AQ145" s="39"/>
      <c r="AR145" s="39"/>
      <c r="AS145" s="39"/>
      <c r="AT145" s="39"/>
      <c r="AU145" s="39"/>
      <c r="AV145" s="39"/>
      <c r="AW145" s="39"/>
      <c r="AX145" s="39"/>
      <c r="AY145" s="39"/>
      <c r="AZ145" s="39"/>
      <c r="BA145" s="39"/>
      <c r="BB145" s="39"/>
      <c r="BC145" s="39"/>
      <c r="BD145" s="39"/>
      <c r="BE145" s="39"/>
      <c r="BG145" s="39"/>
      <c r="BH145" s="39"/>
      <c r="BI145" s="39"/>
      <c r="BJ145" s="39"/>
      <c r="BK145" s="39"/>
      <c r="BL145" s="39"/>
      <c r="BM145" s="39"/>
    </row>
    <row r="147" spans="1:66">
      <c r="F147" s="81" t="s">
        <v>253</v>
      </c>
      <c r="G147" s="17" t="str">
        <f>cstRealUnit</f>
        <v>£ Real</v>
      </c>
      <c r="I147" s="15">
        <f>I98/$I$141</f>
        <v>28.830436990124678</v>
      </c>
      <c r="AA147" s="39"/>
      <c r="AB147" s="39"/>
      <c r="AC147" s="39"/>
      <c r="AD147" s="39"/>
      <c r="AE147" s="39"/>
      <c r="AF147" s="39"/>
      <c r="AG147" s="39"/>
      <c r="AH147" s="39"/>
      <c r="AI147" s="39"/>
      <c r="AJ147" s="39"/>
      <c r="AK147" s="39"/>
      <c r="AL147" s="39"/>
      <c r="AM147" s="39"/>
      <c r="AN147" s="39"/>
      <c r="AO147" s="39"/>
      <c r="AP147" s="39"/>
      <c r="AQ147" s="39"/>
      <c r="AR147" s="39"/>
      <c r="AS147" s="39"/>
      <c r="AT147" s="39"/>
      <c r="AU147" s="39"/>
      <c r="AV147" s="39"/>
      <c r="AW147" s="39"/>
      <c r="AX147" s="39"/>
      <c r="AY147" s="39"/>
      <c r="AZ147" s="39"/>
      <c r="BA147" s="39"/>
      <c r="BB147" s="39"/>
      <c r="BC147" s="39"/>
      <c r="BD147" s="39"/>
      <c r="BE147" s="39"/>
      <c r="BG147" s="39"/>
      <c r="BH147" s="39"/>
      <c r="BI147" s="39"/>
      <c r="BJ147" s="39"/>
      <c r="BK147" s="39"/>
      <c r="BL147" s="39"/>
      <c r="BM147" s="39"/>
    </row>
    <row r="149" spans="1:66">
      <c r="F149" s="81" t="s">
        <v>255</v>
      </c>
      <c r="G149" s="17" t="str">
        <f>cstRealUnit</f>
        <v>£ Real</v>
      </c>
      <c r="I149" s="15">
        <f>I105/$I$141</f>
        <v>35.429596960919547</v>
      </c>
      <c r="AA149" s="39"/>
      <c r="AB149" s="39"/>
      <c r="AC149" s="39"/>
      <c r="AD149" s="39"/>
      <c r="AE149" s="39"/>
      <c r="AF149" s="39"/>
      <c r="AG149" s="39"/>
      <c r="AH149" s="39"/>
      <c r="AI149" s="39"/>
      <c r="AJ149" s="39"/>
      <c r="AK149" s="39"/>
      <c r="AL149" s="39"/>
      <c r="AM149" s="39"/>
      <c r="AN149" s="39"/>
      <c r="AO149" s="39"/>
      <c r="AP149" s="39"/>
      <c r="AQ149" s="39"/>
      <c r="AR149" s="39"/>
      <c r="AS149" s="39"/>
      <c r="AT149" s="39"/>
      <c r="AU149" s="39"/>
      <c r="AV149" s="39"/>
      <c r="AW149" s="39"/>
      <c r="AX149" s="39"/>
      <c r="AY149" s="39"/>
      <c r="AZ149" s="39"/>
      <c r="BA149" s="39"/>
      <c r="BB149" s="39"/>
      <c r="BC149" s="39"/>
      <c r="BD149" s="39"/>
      <c r="BE149" s="39"/>
      <c r="BG149" s="39"/>
      <c r="BH149" s="39"/>
      <c r="BI149" s="39"/>
      <c r="BJ149" s="39"/>
      <c r="BK149" s="39"/>
      <c r="BL149" s="39"/>
      <c r="BM149" s="39"/>
    </row>
    <row r="150" spans="1:66">
      <c r="F150" s="18"/>
      <c r="G150" s="17"/>
    </row>
    <row r="151" spans="1:66" ht="16">
      <c r="A151" s="24"/>
      <c r="B151" s="24"/>
      <c r="C151" s="24"/>
      <c r="D151" s="24">
        <v>4</v>
      </c>
      <c r="E151" s="24" t="s">
        <v>282</v>
      </c>
      <c r="F151" s="24"/>
      <c r="G151" s="24"/>
      <c r="H151" s="24"/>
      <c r="I151" s="24"/>
      <c r="J151" s="24"/>
      <c r="K151" s="24"/>
      <c r="L151" s="24"/>
      <c r="M151" s="24"/>
      <c r="N151" s="24"/>
      <c r="O151" s="24"/>
      <c r="P151" s="24"/>
      <c r="Q151" s="24"/>
      <c r="R151" s="24"/>
      <c r="S151" s="24"/>
      <c r="T151" s="24"/>
      <c r="U151" s="24"/>
      <c r="V151" s="24"/>
      <c r="W151" s="24"/>
      <c r="X151" s="24"/>
      <c r="Y151" s="24"/>
      <c r="Z151" s="24"/>
      <c r="AA151" s="24"/>
      <c r="AB151" s="24"/>
      <c r="AC151" s="24"/>
      <c r="AD151" s="24"/>
      <c r="AE151" s="24"/>
      <c r="AF151" s="24"/>
      <c r="AG151" s="24"/>
      <c r="AH151" s="24"/>
      <c r="AI151" s="24"/>
      <c r="AJ151" s="24"/>
      <c r="AK151" s="24"/>
      <c r="AL151" s="24"/>
      <c r="AM151" s="24"/>
      <c r="AN151" s="24"/>
      <c r="AO151" s="24"/>
      <c r="AP151" s="24"/>
      <c r="AQ151" s="24"/>
      <c r="AR151" s="24"/>
      <c r="AS151" s="24"/>
      <c r="AT151" s="24"/>
      <c r="AU151" s="24"/>
      <c r="AV151" s="24"/>
      <c r="AW151" s="24"/>
      <c r="AX151" s="24"/>
      <c r="AY151" s="24"/>
      <c r="AZ151" s="24"/>
      <c r="BA151" s="24"/>
      <c r="BB151" s="24"/>
      <c r="BC151" s="24"/>
      <c r="BD151" s="24"/>
      <c r="BE151" s="24"/>
      <c r="BF151" s="24"/>
      <c r="BG151" s="24"/>
      <c r="BH151" s="24"/>
      <c r="BI151" s="24"/>
      <c r="BJ151" s="24"/>
      <c r="BK151" s="24"/>
      <c r="BL151" s="24"/>
      <c r="BM151" s="24"/>
      <c r="BN151" s="24"/>
    </row>
    <row r="152" spans="1:66">
      <c r="F152" s="18"/>
      <c r="G152" s="17"/>
    </row>
    <row r="153" spans="1:66" ht="14" thickBot="1">
      <c r="A153" s="25"/>
      <c r="B153" s="25"/>
      <c r="C153" s="25"/>
      <c r="D153" s="25"/>
      <c r="E153" s="25" t="s">
        <v>391</v>
      </c>
      <c r="F153" s="25" t="s">
        <v>281</v>
      </c>
      <c r="G153" s="25"/>
      <c r="H153" s="25"/>
      <c r="I153" s="25"/>
      <c r="J153" s="25"/>
      <c r="K153" s="25"/>
      <c r="L153" s="25"/>
      <c r="M153" s="25"/>
      <c r="N153" s="25"/>
      <c r="O153" s="25"/>
      <c r="P153" s="25"/>
      <c r="Q153" s="25"/>
      <c r="R153" s="25"/>
      <c r="S153" s="25"/>
      <c r="T153" s="25"/>
      <c r="U153" s="25"/>
      <c r="V153" s="25"/>
      <c r="W153" s="25"/>
      <c r="X153" s="25"/>
      <c r="Y153" s="25"/>
      <c r="Z153" s="25"/>
      <c r="AA153" s="25"/>
      <c r="AB153" s="25"/>
      <c r="AC153" s="25"/>
      <c r="AD153" s="25"/>
      <c r="AE153" s="25"/>
      <c r="AF153" s="25"/>
      <c r="AG153" s="25"/>
      <c r="AH153" s="25"/>
      <c r="AI153" s="25"/>
      <c r="AJ153" s="25"/>
      <c r="AK153" s="25"/>
      <c r="AL153" s="25"/>
      <c r="AM153" s="25"/>
      <c r="AN153" s="25"/>
      <c r="AO153" s="25"/>
      <c r="AP153" s="25"/>
      <c r="AQ153" s="25"/>
      <c r="AR153" s="25"/>
      <c r="AS153" s="25"/>
      <c r="AT153" s="25"/>
      <c r="AU153" s="25"/>
      <c r="AV153" s="25"/>
      <c r="AW153" s="25"/>
      <c r="AX153" s="25"/>
      <c r="AY153" s="25"/>
      <c r="AZ153" s="25"/>
      <c r="BA153" s="25"/>
      <c r="BB153" s="25"/>
      <c r="BC153" s="25"/>
      <c r="BD153" s="25"/>
      <c r="BE153" s="25"/>
      <c r="BF153" s="25"/>
      <c r="BG153" s="25"/>
      <c r="BH153" s="25"/>
      <c r="BI153" s="25"/>
      <c r="BJ153" s="25"/>
      <c r="BK153" s="25"/>
      <c r="BL153" s="25"/>
      <c r="BM153" s="25"/>
      <c r="BN153" s="25"/>
    </row>
    <row r="154" spans="1:66">
      <c r="F154" s="18"/>
      <c r="G154" s="17"/>
    </row>
    <row r="155" spans="1:66" ht="13">
      <c r="F155" s="26" t="s">
        <v>251</v>
      </c>
      <c r="G155" s="17"/>
    </row>
    <row r="156" spans="1:66">
      <c r="F156" s="18"/>
      <c r="G156" s="17"/>
    </row>
    <row r="157" spans="1:66">
      <c r="F157" s="81" t="s">
        <v>252</v>
      </c>
      <c r="G157" s="17" t="str">
        <f>cstConstantUnit</f>
        <v>£ 2022/23</v>
      </c>
      <c r="I157" s="14">
        <f>SUM(AA157:BE157)</f>
        <v>49904643.652402788</v>
      </c>
      <c r="AA157" s="14">
        <f>AA91*AA$17</f>
        <v>3045073.0031171548</v>
      </c>
      <c r="AB157" s="14">
        <f t="shared" ref="AB157:BE157" si="89">AB91*AB$17</f>
        <v>2776217.1480893316</v>
      </c>
      <c r="AC157" s="14">
        <f t="shared" si="89"/>
        <v>2177370.8515913794</v>
      </c>
      <c r="AD157" s="14">
        <f t="shared" si="89"/>
        <v>2116974.4915576414</v>
      </c>
      <c r="AE157" s="14">
        <f t="shared" si="89"/>
        <v>2097597.2467407584</v>
      </c>
      <c r="AF157" s="14">
        <f t="shared" si="89"/>
        <v>1999209.9998556827</v>
      </c>
      <c r="AG157" s="14">
        <f t="shared" si="89"/>
        <v>2057502.9851701094</v>
      </c>
      <c r="AH157" s="14">
        <f t="shared" si="89"/>
        <v>1922695.6644557046</v>
      </c>
      <c r="AI157" s="14">
        <f t="shared" si="89"/>
        <v>1832059.2331900676</v>
      </c>
      <c r="AJ157" s="14">
        <f t="shared" si="89"/>
        <v>1779514.208532817</v>
      </c>
      <c r="AK157" s="14">
        <f t="shared" si="89"/>
        <v>1762411.9144139397</v>
      </c>
      <c r="AL157" s="14">
        <f t="shared" si="89"/>
        <v>1781146.7586405424</v>
      </c>
      <c r="AM157" s="14">
        <f t="shared" si="89"/>
        <v>1630767.7103500527</v>
      </c>
      <c r="AN157" s="14">
        <f t="shared" si="89"/>
        <v>1615521.797585773</v>
      </c>
      <c r="AO157" s="14">
        <f t="shared" si="89"/>
        <v>1538591.1467854565</v>
      </c>
      <c r="AP157" s="14">
        <f t="shared" si="89"/>
        <v>1494479.6664161754</v>
      </c>
      <c r="AQ157" s="14">
        <f t="shared" si="89"/>
        <v>1571286.4624867558</v>
      </c>
      <c r="AR157" s="14">
        <f t="shared" si="89"/>
        <v>1410022.4483076828</v>
      </c>
      <c r="AS157" s="14">
        <f t="shared" si="89"/>
        <v>1369604.79735325</v>
      </c>
      <c r="AT157" s="14">
        <f t="shared" si="89"/>
        <v>1357530.5483099858</v>
      </c>
      <c r="AU157" s="14">
        <f t="shared" si="89"/>
        <v>1292219.3359036581</v>
      </c>
      <c r="AV157" s="14">
        <f t="shared" si="89"/>
        <v>1335089.662346777</v>
      </c>
      <c r="AW157" s="14">
        <f t="shared" si="89"/>
        <v>1244460.7378798921</v>
      </c>
      <c r="AX157" s="14">
        <f t="shared" si="89"/>
        <v>1184278.7693995251</v>
      </c>
      <c r="AY157" s="14">
        <f t="shared" si="89"/>
        <v>1150345.2288188303</v>
      </c>
      <c r="AZ157" s="14">
        <f t="shared" si="89"/>
        <v>1140832.0635199677</v>
      </c>
      <c r="BA157" s="14">
        <f t="shared" si="89"/>
        <v>1156013.7985992061</v>
      </c>
      <c r="BB157" s="14">
        <f t="shared" si="89"/>
        <v>1054280.1872990795</v>
      </c>
      <c r="BC157" s="14">
        <f t="shared" si="89"/>
        <v>1045854.5056238795</v>
      </c>
      <c r="BD157" s="14">
        <f t="shared" si="89"/>
        <v>994746.05099401041</v>
      </c>
      <c r="BE157" s="14">
        <f t="shared" si="89"/>
        <v>970945.22906768147</v>
      </c>
      <c r="BG157" s="39"/>
      <c r="BH157" s="39"/>
      <c r="BI157" s="39"/>
      <c r="BJ157" s="39"/>
      <c r="BK157" s="39"/>
      <c r="BL157" s="39"/>
      <c r="BM157" s="39"/>
    </row>
    <row r="159" spans="1:66">
      <c r="F159" s="81" t="s">
        <v>253</v>
      </c>
      <c r="G159" s="17" t="str">
        <f>cstConstantUnit</f>
        <v>£ 2022/23</v>
      </c>
      <c r="I159" s="14">
        <f>SUM(AA159:BE159)</f>
        <v>47253500.669181302</v>
      </c>
      <c r="AA159" s="14">
        <f t="shared" ref="AA159:BE159" si="90">AA98*AA$17</f>
        <v>0</v>
      </c>
      <c r="AB159" s="14">
        <f t="shared" si="90"/>
        <v>2794482.8641961301</v>
      </c>
      <c r="AC159" s="14">
        <f t="shared" si="90"/>
        <v>2195244.4759103265</v>
      </c>
      <c r="AD159" s="14">
        <f t="shared" si="90"/>
        <v>2134430.1130569004</v>
      </c>
      <c r="AE159" s="14">
        <f t="shared" si="90"/>
        <v>2114644.6410737806</v>
      </c>
      <c r="AF159" s="14">
        <f t="shared" si="90"/>
        <v>2015842.3917880617</v>
      </c>
      <c r="AG159" s="14">
        <f t="shared" si="90"/>
        <v>2073730.4775356962</v>
      </c>
      <c r="AH159" s="14">
        <f t="shared" si="90"/>
        <v>1938528.1141445886</v>
      </c>
      <c r="AI159" s="14">
        <f t="shared" si="90"/>
        <v>1847506.2571358385</v>
      </c>
      <c r="AJ159" s="14">
        <f t="shared" si="90"/>
        <v>1794585.1895540771</v>
      </c>
      <c r="AK159" s="14">
        <f t="shared" si="90"/>
        <v>1777116.0069136058</v>
      </c>
      <c r="AL159" s="14">
        <f t="shared" si="90"/>
        <v>1795492.8941664079</v>
      </c>
      <c r="AM159" s="14">
        <f t="shared" si="90"/>
        <v>1644764.6030199795</v>
      </c>
      <c r="AN159" s="14">
        <f t="shared" si="90"/>
        <v>1629177.9493808139</v>
      </c>
      <c r="AO159" s="14">
        <f t="shared" si="90"/>
        <v>1551914.8527141216</v>
      </c>
      <c r="AP159" s="14">
        <f t="shared" si="90"/>
        <v>1507479.0195529805</v>
      </c>
      <c r="AQ159" s="14">
        <f t="shared" si="90"/>
        <v>1583969.3588881097</v>
      </c>
      <c r="AR159" s="14">
        <f t="shared" si="90"/>
        <v>1422396.5918081037</v>
      </c>
      <c r="AS159" s="14">
        <f t="shared" si="90"/>
        <v>1381677.704244823</v>
      </c>
      <c r="AT159" s="14">
        <f t="shared" si="90"/>
        <v>1369309.5519079021</v>
      </c>
      <c r="AU159" s="14">
        <f t="shared" si="90"/>
        <v>1303711.5910006117</v>
      </c>
      <c r="AV159" s="14">
        <f t="shared" si="90"/>
        <v>1346302.1495589225</v>
      </c>
      <c r="AW159" s="14">
        <f t="shared" si="90"/>
        <v>1255400.2678870058</v>
      </c>
      <c r="AX159" s="14">
        <f t="shared" si="90"/>
        <v>1194951.9870819415</v>
      </c>
      <c r="AY159" s="14">
        <f t="shared" si="90"/>
        <v>1160758.617293671</v>
      </c>
      <c r="AZ159" s="14">
        <f t="shared" si="90"/>
        <v>1150991.9480791092</v>
      </c>
      <c r="BA159" s="14">
        <f t="shared" si="90"/>
        <v>1165926.3505513854</v>
      </c>
      <c r="BB159" s="14">
        <f t="shared" si="90"/>
        <v>1063951.4277184645</v>
      </c>
      <c r="BC159" s="14">
        <f t="shared" si="90"/>
        <v>1055290.3090073846</v>
      </c>
      <c r="BD159" s="14">
        <f t="shared" si="90"/>
        <v>1003952.1488295795</v>
      </c>
      <c r="BE159" s="14">
        <f t="shared" si="90"/>
        <v>979970.81518098456</v>
      </c>
      <c r="BG159" s="39"/>
      <c r="BH159" s="39"/>
      <c r="BI159" s="39"/>
      <c r="BJ159" s="39"/>
      <c r="BK159" s="39"/>
      <c r="BL159" s="39"/>
      <c r="BM159" s="39"/>
    </row>
    <row r="161" spans="1:66">
      <c r="F161" s="81" t="s">
        <v>255</v>
      </c>
      <c r="G161" s="17" t="str">
        <f>cstConstantUnit</f>
        <v>£ 2022/23</v>
      </c>
      <c r="I161" s="14">
        <f>SUM(AA161:BE161)</f>
        <v>57204944.464090474</v>
      </c>
      <c r="AA161" s="14">
        <f t="shared" ref="AA161:BE161" si="91">AA105*AA$17</f>
        <v>0</v>
      </c>
      <c r="AB161" s="14">
        <f t="shared" si="91"/>
        <v>2652474.3551225383</v>
      </c>
      <c r="AC161" s="14">
        <f t="shared" si="91"/>
        <v>2595536.3513756143</v>
      </c>
      <c r="AD161" s="14">
        <f t="shared" si="91"/>
        <v>2534835.6510521187</v>
      </c>
      <c r="AE161" s="14">
        <f t="shared" si="91"/>
        <v>2475554.5320871398</v>
      </c>
      <c r="AF161" s="14">
        <f t="shared" si="91"/>
        <v>2415289.5406363113</v>
      </c>
      <c r="AG161" s="14">
        <f t="shared" si="91"/>
        <v>2356491.6423751074</v>
      </c>
      <c r="AH161" s="14">
        <f t="shared" si="91"/>
        <v>2299125.1223324439</v>
      </c>
      <c r="AI161" s="14">
        <f t="shared" si="91"/>
        <v>2243155.1349838194</v>
      </c>
      <c r="AJ161" s="14">
        <f t="shared" si="91"/>
        <v>2188547.6830854733</v>
      </c>
      <c r="AK161" s="14">
        <f t="shared" si="91"/>
        <v>2135269.5970238112</v>
      </c>
      <c r="AL161" s="14">
        <f t="shared" si="91"/>
        <v>2083288.5146675438</v>
      </c>
      <c r="AM161" s="14">
        <f t="shared" si="91"/>
        <v>2032572.861710306</v>
      </c>
      <c r="AN161" s="14">
        <f t="shared" si="91"/>
        <v>1983091.8324918209</v>
      </c>
      <c r="AO161" s="14">
        <f t="shared" si="91"/>
        <v>1934815.3712859484</v>
      </c>
      <c r="AP161" s="14">
        <f t="shared" si="91"/>
        <v>1887714.1540442621</v>
      </c>
      <c r="AQ161" s="14">
        <f t="shared" si="91"/>
        <v>1841759.5705840583</v>
      </c>
      <c r="AR161" s="14">
        <f t="shared" si="91"/>
        <v>1796923.7072099838</v>
      </c>
      <c r="AS161" s="14">
        <f t="shared" si="91"/>
        <v>1753179.3297587223</v>
      </c>
      <c r="AT161" s="14">
        <f t="shared" si="91"/>
        <v>1710499.8670564403</v>
      </c>
      <c r="AU161" s="14">
        <f t="shared" si="91"/>
        <v>1668859.3947789466</v>
      </c>
      <c r="AV161" s="14">
        <f t="shared" si="91"/>
        <v>1628232.6197047601</v>
      </c>
      <c r="AW161" s="14">
        <f t="shared" si="91"/>
        <v>1588594.8643515233</v>
      </c>
      <c r="AX161" s="14">
        <f t="shared" si="91"/>
        <v>1549922.0519864256</v>
      </c>
      <c r="AY161" s="14">
        <f t="shared" si="91"/>
        <v>1512190.6920015328</v>
      </c>
      <c r="AZ161" s="14">
        <f t="shared" si="91"/>
        <v>1475377.8656451446</v>
      </c>
      <c r="BA161" s="14">
        <f t="shared" si="91"/>
        <v>1439461.2121005012</v>
      </c>
      <c r="BB161" s="14">
        <f t="shared" si="91"/>
        <v>1404418.9149033972</v>
      </c>
      <c r="BC161" s="14">
        <f t="shared" si="91"/>
        <v>1370229.6886904414</v>
      </c>
      <c r="BD161" s="14">
        <f t="shared" si="91"/>
        <v>1336872.7662699204</v>
      </c>
      <c r="BE161" s="14">
        <f t="shared" si="91"/>
        <v>1310659.5747744318</v>
      </c>
      <c r="BG161" s="39"/>
      <c r="BH161" s="39"/>
      <c r="BI161" s="39"/>
      <c r="BJ161" s="39"/>
      <c r="BK161" s="39"/>
      <c r="BL161" s="39"/>
      <c r="BM161" s="39"/>
    </row>
    <row r="162" spans="1:66">
      <c r="D162" s="18"/>
      <c r="E162" s="18"/>
      <c r="F162" s="18"/>
      <c r="G162" s="17"/>
    </row>
    <row r="163" spans="1:66" ht="16">
      <c r="A163" s="24"/>
      <c r="B163" s="24"/>
      <c r="C163" s="24"/>
      <c r="D163" s="24">
        <v>5</v>
      </c>
      <c r="E163" s="24" t="s">
        <v>330</v>
      </c>
      <c r="F163" s="24"/>
      <c r="G163" s="24"/>
      <c r="H163" s="24"/>
      <c r="I163" s="24"/>
      <c r="J163" s="24"/>
      <c r="K163" s="24"/>
      <c r="L163" s="24"/>
      <c r="M163" s="24"/>
      <c r="N163" s="24"/>
      <c r="O163" s="24"/>
      <c r="P163" s="24"/>
      <c r="Q163" s="24"/>
      <c r="R163" s="24"/>
      <c r="S163" s="24"/>
      <c r="T163" s="24"/>
      <c r="U163" s="24"/>
      <c r="V163" s="24"/>
      <c r="W163" s="24"/>
      <c r="X163" s="24"/>
      <c r="Y163" s="24"/>
      <c r="Z163" s="24"/>
      <c r="AA163" s="24"/>
      <c r="AB163" s="24"/>
      <c r="AC163" s="24"/>
      <c r="AD163" s="24"/>
      <c r="AE163" s="24"/>
      <c r="AF163" s="24"/>
      <c r="AG163" s="24"/>
      <c r="AH163" s="24"/>
      <c r="AI163" s="24"/>
      <c r="AJ163" s="24"/>
      <c r="AK163" s="24"/>
      <c r="AL163" s="24"/>
      <c r="AM163" s="24"/>
      <c r="AN163" s="24"/>
      <c r="AO163" s="24"/>
      <c r="AP163" s="24"/>
      <c r="AQ163" s="24"/>
      <c r="AR163" s="24"/>
      <c r="AS163" s="24"/>
      <c r="AT163" s="24"/>
      <c r="AU163" s="24"/>
      <c r="AV163" s="24"/>
      <c r="AW163" s="24"/>
      <c r="AX163" s="24"/>
      <c r="AY163" s="24"/>
      <c r="AZ163" s="24"/>
      <c r="BA163" s="24"/>
      <c r="BB163" s="24"/>
      <c r="BC163" s="24"/>
      <c r="BD163" s="24"/>
      <c r="BE163" s="24"/>
      <c r="BF163" s="24"/>
      <c r="BG163" s="24"/>
      <c r="BH163" s="24"/>
      <c r="BI163" s="24"/>
      <c r="BJ163" s="24"/>
      <c r="BK163" s="24"/>
      <c r="BL163" s="24"/>
      <c r="BM163" s="24"/>
      <c r="BN163" s="24"/>
    </row>
    <row r="164" spans="1:66">
      <c r="F164" s="18"/>
      <c r="G164" s="17"/>
    </row>
    <row r="165" spans="1:66" ht="14" thickBot="1">
      <c r="A165" s="25"/>
      <c r="B165" s="25"/>
      <c r="C165" s="25"/>
      <c r="D165" s="25"/>
      <c r="E165" s="25" t="s">
        <v>392</v>
      </c>
      <c r="F165" s="25" t="s">
        <v>281</v>
      </c>
      <c r="G165" s="25"/>
      <c r="H165" s="25"/>
      <c r="I165" s="25"/>
      <c r="J165" s="25"/>
      <c r="K165" s="25"/>
      <c r="L165" s="25"/>
      <c r="M165" s="25"/>
      <c r="N165" s="25"/>
      <c r="O165" s="25"/>
      <c r="P165" s="25"/>
      <c r="Q165" s="25"/>
      <c r="R165" s="25"/>
      <c r="S165" s="25"/>
      <c r="T165" s="25"/>
      <c r="U165" s="25"/>
      <c r="V165" s="25"/>
      <c r="W165" s="25"/>
      <c r="X165" s="25"/>
      <c r="Y165" s="25"/>
      <c r="Z165" s="25"/>
      <c r="AA165" s="25"/>
      <c r="AB165" s="25"/>
      <c r="AC165" s="25"/>
      <c r="AD165" s="25"/>
      <c r="AE165" s="25"/>
      <c r="AF165" s="25"/>
      <c r="AG165" s="25"/>
      <c r="AH165" s="25"/>
      <c r="AI165" s="25"/>
      <c r="AJ165" s="25"/>
      <c r="AK165" s="25"/>
      <c r="AL165" s="25"/>
      <c r="AM165" s="25"/>
      <c r="AN165" s="25"/>
      <c r="AO165" s="25"/>
      <c r="AP165" s="25"/>
      <c r="AQ165" s="25"/>
      <c r="AR165" s="25"/>
      <c r="AS165" s="25"/>
      <c r="AT165" s="25"/>
      <c r="AU165" s="25"/>
      <c r="AV165" s="25"/>
      <c r="AW165" s="25"/>
      <c r="AX165" s="25"/>
      <c r="AY165" s="25"/>
      <c r="AZ165" s="25"/>
      <c r="BA165" s="25"/>
      <c r="BB165" s="25"/>
      <c r="BC165" s="25"/>
      <c r="BD165" s="25"/>
      <c r="BE165" s="25"/>
      <c r="BF165" s="25"/>
      <c r="BG165" s="25"/>
      <c r="BH165" s="25"/>
      <c r="BI165" s="25"/>
      <c r="BJ165" s="25"/>
      <c r="BK165" s="25"/>
      <c r="BL165" s="25"/>
      <c r="BM165" s="25"/>
      <c r="BN165" s="25"/>
    </row>
    <row r="166" spans="1:66">
      <c r="F166" s="18"/>
      <c r="G166" s="17"/>
    </row>
    <row r="167" spans="1:66">
      <c r="F167" s="81" t="str">
        <f>F157</f>
        <v>Build &amp; Operate</v>
      </c>
      <c r="G167" s="17" t="str">
        <f>G157</f>
        <v>£ 2022/23</v>
      </c>
      <c r="I167" s="14">
        <f>I157</f>
        <v>49904643.652402788</v>
      </c>
    </row>
    <row r="169" spans="1:66">
      <c r="F169" s="81" t="str">
        <f>F159</f>
        <v>Lease &amp; Operate</v>
      </c>
      <c r="G169" s="17" t="str">
        <f>G159</f>
        <v>£ 2022/23</v>
      </c>
      <c r="I169" s="14">
        <f>I159</f>
        <v>47253500.669181302</v>
      </c>
    </row>
    <row r="171" spans="1:66">
      <c r="F171" s="81" t="str">
        <f>F161</f>
        <v>Outsource</v>
      </c>
      <c r="G171" s="17" t="str">
        <f>G161</f>
        <v>£ 2022/23</v>
      </c>
      <c r="I171" s="14">
        <f>I161</f>
        <v>57204944.464090474</v>
      </c>
    </row>
    <row r="172" spans="1:66">
      <c r="F172" s="18"/>
      <c r="G172" s="17"/>
    </row>
    <row r="173" spans="1:66" ht="14" thickBot="1">
      <c r="A173" s="25"/>
      <c r="B173" s="25"/>
      <c r="C173" s="25"/>
      <c r="D173" s="25"/>
      <c r="E173" s="25" t="s">
        <v>398</v>
      </c>
      <c r="F173" s="25" t="s">
        <v>366</v>
      </c>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25"/>
      <c r="AG173" s="25"/>
      <c r="AH173" s="25"/>
      <c r="AI173" s="25"/>
      <c r="AJ173" s="25"/>
      <c r="AK173" s="25"/>
      <c r="AL173" s="25"/>
      <c r="AM173" s="25"/>
      <c r="AN173" s="25"/>
      <c r="AO173" s="25"/>
      <c r="AP173" s="25"/>
      <c r="AQ173" s="25"/>
      <c r="AR173" s="25"/>
      <c r="AS173" s="25"/>
      <c r="AT173" s="25"/>
      <c r="AU173" s="25"/>
      <c r="AV173" s="25"/>
      <c r="AW173" s="25"/>
      <c r="AX173" s="25"/>
      <c r="AY173" s="25"/>
      <c r="AZ173" s="25"/>
      <c r="BA173" s="25"/>
      <c r="BB173" s="25"/>
      <c r="BC173" s="25"/>
      <c r="BD173" s="25"/>
      <c r="BE173" s="25"/>
      <c r="BF173" s="25"/>
      <c r="BG173" s="25"/>
      <c r="BH173" s="25"/>
      <c r="BI173" s="25"/>
      <c r="BJ173" s="25"/>
      <c r="BK173" s="25"/>
      <c r="BL173" s="25"/>
      <c r="BM173" s="25"/>
      <c r="BN173" s="25"/>
    </row>
    <row r="174" spans="1:66">
      <c r="F174" s="18"/>
      <c r="G174" s="17"/>
    </row>
    <row r="175" spans="1:66">
      <c r="F175" s="81" t="str">
        <f>F25</f>
        <v>Build &amp; Operate</v>
      </c>
      <c r="G175" s="17" t="str">
        <f>cstNominalUnit</f>
        <v>£ Nominal</v>
      </c>
      <c r="I175" s="14">
        <f>I25</f>
        <v>108919988.90321052</v>
      </c>
    </row>
    <row r="177" spans="1:66">
      <c r="F177" s="81" t="str">
        <f>F32</f>
        <v>Lease &amp; Operate</v>
      </c>
      <c r="G177" s="17" t="str">
        <f>cstNominalUnit</f>
        <v>£ Nominal</v>
      </c>
      <c r="I177" s="14">
        <f>I32</f>
        <v>106786022.28538363</v>
      </c>
    </row>
    <row r="179" spans="1:66">
      <c r="F179" s="81" t="str">
        <f>F39</f>
        <v>Outsource</v>
      </c>
      <c r="G179" s="17" t="str">
        <f>cstNominalUnit</f>
        <v>£ Nominal</v>
      </c>
      <c r="I179" s="14">
        <f>I39</f>
        <v>132307231.07928161</v>
      </c>
    </row>
    <row r="180" spans="1:66">
      <c r="F180" s="18"/>
      <c r="G180" s="17"/>
    </row>
    <row r="181" spans="1:66" ht="14" thickBot="1">
      <c r="A181" s="25"/>
      <c r="B181" s="25"/>
      <c r="C181" s="25"/>
      <c r="D181" s="25"/>
      <c r="E181" s="25" t="s">
        <v>399</v>
      </c>
      <c r="F181" s="25" t="s">
        <v>331</v>
      </c>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25"/>
      <c r="AG181" s="25"/>
      <c r="AH181" s="25"/>
      <c r="AI181" s="25"/>
      <c r="AJ181" s="25"/>
      <c r="AK181" s="25"/>
      <c r="AL181" s="25"/>
      <c r="AM181" s="25"/>
      <c r="AN181" s="25"/>
      <c r="AO181" s="25"/>
      <c r="AP181" s="25"/>
      <c r="AQ181" s="25"/>
      <c r="AR181" s="25"/>
      <c r="AS181" s="25"/>
      <c r="AT181" s="25"/>
      <c r="AU181" s="25"/>
      <c r="AV181" s="25"/>
      <c r="AW181" s="25"/>
      <c r="AX181" s="25"/>
      <c r="AY181" s="25"/>
      <c r="AZ181" s="25"/>
      <c r="BA181" s="25"/>
      <c r="BB181" s="25"/>
      <c r="BC181" s="25"/>
      <c r="BD181" s="25"/>
      <c r="BE181" s="25"/>
      <c r="BF181" s="25"/>
      <c r="BG181" s="25"/>
      <c r="BH181" s="25"/>
      <c r="BI181" s="25"/>
      <c r="BJ181" s="25"/>
      <c r="BK181" s="25"/>
      <c r="BL181" s="25"/>
      <c r="BM181" s="25"/>
      <c r="BN181" s="25"/>
    </row>
    <row r="182" spans="1:66" customFormat="1"/>
    <row r="183" spans="1:66">
      <c r="F183" s="81" t="s">
        <v>252</v>
      </c>
      <c r="G183" s="17" t="str">
        <f>cstNominalUnit</f>
        <v>£ Nominal</v>
      </c>
      <c r="AA183" s="14">
        <f>AA25</f>
        <v>3045073.0031171548</v>
      </c>
      <c r="AB183" s="14">
        <f t="shared" ref="AB183:BE183" si="92">AB25</f>
        <v>2910738.75</v>
      </c>
      <c r="AC183" s="14">
        <f t="shared" si="92"/>
        <v>2402943.1855648537</v>
      </c>
      <c r="AD183" s="14">
        <f t="shared" si="92"/>
        <v>2464003.1386435665</v>
      </c>
      <c r="AE183" s="14">
        <f t="shared" si="92"/>
        <v>2574911.2799505424</v>
      </c>
      <c r="AF183" s="14">
        <f t="shared" si="92"/>
        <v>2590831.1048783096</v>
      </c>
      <c r="AG183" s="14">
        <f t="shared" si="92"/>
        <v>2814891.6486798846</v>
      </c>
      <c r="AH183" s="14">
        <f t="shared" si="92"/>
        <v>2776976.9639584702</v>
      </c>
      <c r="AI183" s="14">
        <f t="shared" si="92"/>
        <v>2793455.5336361132</v>
      </c>
      <c r="AJ183" s="14">
        <f t="shared" si="92"/>
        <v>2864469.7034477959</v>
      </c>
      <c r="AK183" s="14">
        <f t="shared" si="92"/>
        <v>2994957.8517065463</v>
      </c>
      <c r="AL183" s="14">
        <f t="shared" si="92"/>
        <v>3195387.4212059551</v>
      </c>
      <c r="AM183" s="14">
        <f t="shared" si="92"/>
        <v>3088562.8377815615</v>
      </c>
      <c r="AN183" s="14">
        <f t="shared" si="92"/>
        <v>3230112.7468674565</v>
      </c>
      <c r="AO183" s="14">
        <f t="shared" si="92"/>
        <v>3247645.4464756772</v>
      </c>
      <c r="AP183" s="14">
        <f t="shared" si="92"/>
        <v>3330242.9153075623</v>
      </c>
      <c r="AQ183" s="14">
        <f t="shared" si="92"/>
        <v>3696424.0987755307</v>
      </c>
      <c r="AR183" s="14">
        <f t="shared" si="92"/>
        <v>3501813.1769409515</v>
      </c>
      <c r="AS183" s="14">
        <f t="shared" si="92"/>
        <v>3590895.2440439588</v>
      </c>
      <c r="AT183" s="14">
        <f t="shared" si="92"/>
        <v>3757487.9804268619</v>
      </c>
      <c r="AU183" s="14">
        <f t="shared" si="92"/>
        <v>3775937.051582966</v>
      </c>
      <c r="AV183" s="14">
        <f t="shared" si="92"/>
        <v>4118503.7433783379</v>
      </c>
      <c r="AW183" s="14">
        <f t="shared" si="92"/>
        <v>4052758.7568085203</v>
      </c>
      <c r="AX183" s="14">
        <f t="shared" si="92"/>
        <v>4071589.809696231</v>
      </c>
      <c r="AY183" s="14">
        <f t="shared" si="92"/>
        <v>4175214.5000939886</v>
      </c>
      <c r="AZ183" s="14">
        <f t="shared" si="92"/>
        <v>4371322.3842407493</v>
      </c>
      <c r="BA183" s="14">
        <f t="shared" si="92"/>
        <v>4676217.01377388</v>
      </c>
      <c r="BB183" s="14">
        <f t="shared" si="92"/>
        <v>4502235.4817097001</v>
      </c>
      <c r="BC183" s="14">
        <f t="shared" si="92"/>
        <v>4715024.5082963761</v>
      </c>
      <c r="BD183" s="14">
        <f t="shared" si="92"/>
        <v>4734405.2354292851</v>
      </c>
      <c r="BE183" s="14">
        <f t="shared" si="92"/>
        <v>4854956.3867917685</v>
      </c>
      <c r="BG183" s="39"/>
      <c r="BH183" s="39"/>
      <c r="BI183" s="39"/>
      <c r="BJ183" s="39"/>
      <c r="BK183" s="39"/>
      <c r="BL183" s="39"/>
      <c r="BM183" s="39"/>
    </row>
    <row r="185" spans="1:66">
      <c r="F185" s="81" t="s">
        <v>253</v>
      </c>
      <c r="G185" s="17" t="str">
        <f>cstNominalUnit</f>
        <v>£ Nominal</v>
      </c>
      <c r="AA185" s="14">
        <f>AA32</f>
        <v>0</v>
      </c>
      <c r="AB185" s="14">
        <f t="shared" ref="AB185:BE185" si="93">AB32</f>
        <v>2929889.531380753</v>
      </c>
      <c r="AC185" s="14">
        <f t="shared" si="93"/>
        <v>2422668.4903870295</v>
      </c>
      <c r="AD185" s="14">
        <f t="shared" si="93"/>
        <v>2484320.202610408</v>
      </c>
      <c r="AE185" s="14">
        <f t="shared" si="93"/>
        <v>2595837.8558363887</v>
      </c>
      <c r="AF185" s="14">
        <f t="shared" si="93"/>
        <v>2612385.4780407315</v>
      </c>
      <c r="AG185" s="14">
        <f t="shared" si="93"/>
        <v>2837092.6530371788</v>
      </c>
      <c r="AH185" s="14">
        <f t="shared" si="93"/>
        <v>2799843.9984464832</v>
      </c>
      <c r="AI185" s="14">
        <f t="shared" si="93"/>
        <v>2817008.5791587667</v>
      </c>
      <c r="AJ185" s="14">
        <f t="shared" si="93"/>
        <v>2888729.3403361291</v>
      </c>
      <c r="AK185" s="14">
        <f t="shared" si="93"/>
        <v>3019945.2777015292</v>
      </c>
      <c r="AL185" s="14">
        <f t="shared" si="93"/>
        <v>3221124.4699807875</v>
      </c>
      <c r="AM185" s="14">
        <f t="shared" si="93"/>
        <v>3115071.9980196389</v>
      </c>
      <c r="AN185" s="14">
        <f t="shared" si="93"/>
        <v>3257417.1819126764</v>
      </c>
      <c r="AO185" s="14">
        <f t="shared" si="93"/>
        <v>3275769.0145722535</v>
      </c>
      <c r="AP185" s="14">
        <f t="shared" si="93"/>
        <v>3359210.1904470362</v>
      </c>
      <c r="AQ185" s="14">
        <f t="shared" si="93"/>
        <v>3726260.3921691887</v>
      </c>
      <c r="AR185" s="14">
        <f t="shared" si="93"/>
        <v>3532544.5591364191</v>
      </c>
      <c r="AS185" s="14">
        <f t="shared" si="93"/>
        <v>3622548.5677052909</v>
      </c>
      <c r="AT185" s="14">
        <f t="shared" si="93"/>
        <v>3790090.9037980335</v>
      </c>
      <c r="AU185" s="14">
        <f t="shared" si="93"/>
        <v>3809518.0626552729</v>
      </c>
      <c r="AV185" s="14">
        <f t="shared" si="93"/>
        <v>4153092.1847828142</v>
      </c>
      <c r="AW185" s="14">
        <f t="shared" si="93"/>
        <v>4088384.8514551306</v>
      </c>
      <c r="AX185" s="14">
        <f t="shared" si="93"/>
        <v>4108284.6871822397</v>
      </c>
      <c r="AY185" s="14">
        <f t="shared" si="93"/>
        <v>4213010.2239045771</v>
      </c>
      <c r="AZ185" s="14">
        <f t="shared" si="93"/>
        <v>4410251.9797656564</v>
      </c>
      <c r="BA185" s="14">
        <f t="shared" si="93"/>
        <v>4716314.4971645335</v>
      </c>
      <c r="BB185" s="14">
        <f t="shared" si="93"/>
        <v>4543535.8896020735</v>
      </c>
      <c r="BC185" s="14">
        <f t="shared" si="93"/>
        <v>4757563.9284255207</v>
      </c>
      <c r="BD185" s="14">
        <f t="shared" si="93"/>
        <v>4778220.8381623039</v>
      </c>
      <c r="BE185" s="14">
        <f t="shared" si="93"/>
        <v>4900086.4576067785</v>
      </c>
      <c r="BG185" s="39"/>
      <c r="BH185" s="39"/>
      <c r="BI185" s="39"/>
      <c r="BJ185" s="39"/>
      <c r="BK185" s="39"/>
      <c r="BL185" s="39"/>
      <c r="BM185" s="39"/>
    </row>
    <row r="187" spans="1:66">
      <c r="F187" s="81" t="s">
        <v>255</v>
      </c>
      <c r="G187" s="17" t="str">
        <f>cstNominalUnit</f>
        <v>£ Nominal</v>
      </c>
      <c r="AA187" s="14">
        <f>AA39</f>
        <v>0</v>
      </c>
      <c r="AB187" s="14">
        <f t="shared" ref="AB187:BE187" si="94">AB39</f>
        <v>2781000</v>
      </c>
      <c r="AC187" s="14">
        <f t="shared" si="94"/>
        <v>2864430</v>
      </c>
      <c r="AD187" s="14">
        <f t="shared" si="94"/>
        <v>2950362.9</v>
      </c>
      <c r="AE187" s="14">
        <f t="shared" si="94"/>
        <v>3038873.7870000005</v>
      </c>
      <c r="AF187" s="14">
        <f t="shared" si="94"/>
        <v>3130040.00061</v>
      </c>
      <c r="AG187" s="14">
        <f t="shared" si="94"/>
        <v>3223941.2006283002</v>
      </c>
      <c r="AH187" s="14">
        <f t="shared" si="94"/>
        <v>3320659.4366471497</v>
      </c>
      <c r="AI187" s="14">
        <f t="shared" si="94"/>
        <v>3420279.219746564</v>
      </c>
      <c r="AJ187" s="14">
        <f t="shared" si="94"/>
        <v>3522887.5963389613</v>
      </c>
      <c r="AK187" s="14">
        <f t="shared" si="94"/>
        <v>3628574.22422913</v>
      </c>
      <c r="AL187" s="14">
        <f t="shared" si="94"/>
        <v>3737431.4509560042</v>
      </c>
      <c r="AM187" s="14">
        <f t="shared" si="94"/>
        <v>3849554.3944846843</v>
      </c>
      <c r="AN187" s="14">
        <f t="shared" si="94"/>
        <v>3965041.0263192249</v>
      </c>
      <c r="AO187" s="14">
        <f t="shared" si="94"/>
        <v>4083992.257108802</v>
      </c>
      <c r="AP187" s="14">
        <f t="shared" si="94"/>
        <v>4206512.0248220665</v>
      </c>
      <c r="AQ187" s="14">
        <f t="shared" si="94"/>
        <v>4332707.3855667291</v>
      </c>
      <c r="AR187" s="14">
        <f t="shared" si="94"/>
        <v>4462688.6071337303</v>
      </c>
      <c r="AS187" s="14">
        <f t="shared" si="94"/>
        <v>4596569.2653477425</v>
      </c>
      <c r="AT187" s="14">
        <f t="shared" si="94"/>
        <v>4734466.343308175</v>
      </c>
      <c r="AU187" s="14">
        <f t="shared" si="94"/>
        <v>4876500.3336074203</v>
      </c>
      <c r="AV187" s="14">
        <f t="shared" si="94"/>
        <v>5022795.3436156437</v>
      </c>
      <c r="AW187" s="14">
        <f t="shared" si="94"/>
        <v>5173479.203924113</v>
      </c>
      <c r="AX187" s="14">
        <f t="shared" si="94"/>
        <v>5328683.5800418369</v>
      </c>
      <c r="AY187" s="14">
        <f t="shared" si="94"/>
        <v>5488544.0874430919</v>
      </c>
      <c r="AZ187" s="14">
        <f t="shared" si="94"/>
        <v>5653200.4100663848</v>
      </c>
      <c r="BA187" s="14">
        <f t="shared" si="94"/>
        <v>5822796.4223683765</v>
      </c>
      <c r="BB187" s="14">
        <f t="shared" si="94"/>
        <v>5997480.315039428</v>
      </c>
      <c r="BC187" s="14">
        <f t="shared" si="94"/>
        <v>6177404.7244906109</v>
      </c>
      <c r="BD187" s="14">
        <f t="shared" si="94"/>
        <v>6362726.8662253292</v>
      </c>
      <c r="BE187" s="14">
        <f t="shared" si="94"/>
        <v>6553608.6722120894</v>
      </c>
      <c r="BG187" s="39"/>
      <c r="BH187" s="39"/>
      <c r="BI187" s="39"/>
      <c r="BJ187" s="39"/>
      <c r="BK187" s="39"/>
      <c r="BL187" s="39"/>
      <c r="BM187" s="39"/>
    </row>
    <row r="188" spans="1:66">
      <c r="D188" s="18"/>
      <c r="E188" s="18"/>
      <c r="F188" s="18"/>
      <c r="G188" s="17"/>
    </row>
    <row r="189" spans="1:66" ht="14" thickBot="1">
      <c r="A189" s="25"/>
      <c r="B189" s="25"/>
      <c r="C189" s="25"/>
      <c r="D189" s="25"/>
      <c r="E189" s="25" t="s">
        <v>400</v>
      </c>
      <c r="F189" s="25" t="s">
        <v>380</v>
      </c>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25"/>
      <c r="AG189" s="25"/>
      <c r="AH189" s="25"/>
      <c r="AI189" s="25"/>
      <c r="AJ189" s="25"/>
      <c r="AK189" s="25"/>
      <c r="AL189" s="25"/>
      <c r="AM189" s="25"/>
      <c r="AN189" s="25"/>
      <c r="AO189" s="25"/>
      <c r="AP189" s="25"/>
      <c r="AQ189" s="25"/>
      <c r="AR189" s="25"/>
      <c r="AS189" s="25"/>
      <c r="AT189" s="25"/>
      <c r="AU189" s="25"/>
      <c r="AV189" s="25"/>
      <c r="AW189" s="25"/>
      <c r="AX189" s="25"/>
      <c r="AY189" s="25"/>
      <c r="AZ189" s="25"/>
      <c r="BA189" s="25"/>
      <c r="BB189" s="25"/>
      <c r="BC189" s="25"/>
      <c r="BD189" s="25"/>
      <c r="BE189" s="25"/>
      <c r="BF189" s="25"/>
      <c r="BG189" s="25"/>
      <c r="BH189" s="25"/>
      <c r="BI189" s="25"/>
      <c r="BJ189" s="25"/>
      <c r="BK189" s="25"/>
      <c r="BL189" s="25"/>
      <c r="BM189" s="25"/>
      <c r="BN189" s="25"/>
    </row>
    <row r="190" spans="1:66">
      <c r="D190" s="18"/>
      <c r="E190" s="18"/>
      <c r="F190" s="18"/>
      <c r="G190" s="17"/>
    </row>
    <row r="191" spans="1:66">
      <c r="D191" s="18"/>
      <c r="E191" s="18"/>
      <c r="F191" s="18" t="s">
        <v>381</v>
      </c>
      <c r="G191" s="17" t="s">
        <v>2</v>
      </c>
      <c r="I191" s="22" t="str" cm="1">
        <f t="array" ref="I191">INDEX(iOptions!F16:F18,ActiveCallVolumeScenarioIndex)</f>
        <v>Scenario A</v>
      </c>
    </row>
    <row r="192" spans="1:66">
      <c r="D192" s="18"/>
      <c r="E192" s="18"/>
      <c r="F192" s="18"/>
      <c r="G192" s="17"/>
    </row>
    <row r="193" spans="1:66">
      <c r="D193" s="18"/>
      <c r="E193" s="18"/>
      <c r="F193" s="18" t="s">
        <v>213</v>
      </c>
      <c r="G193" s="17" t="s">
        <v>2</v>
      </c>
      <c r="I193" s="22" t="str" cm="1">
        <f t="array" ref="I193">INDEX(iOptions!M8:O8,ActiveCostScenarioIndex)</f>
        <v>Base Case</v>
      </c>
    </row>
    <row r="194" spans="1:66">
      <c r="D194"/>
      <c r="E194"/>
      <c r="F194"/>
      <c r="G194"/>
      <c r="H194"/>
      <c r="I194"/>
      <c r="J194"/>
    </row>
    <row r="195" spans="1:66">
      <c r="D195" s="18"/>
      <c r="E195" s="18"/>
      <c r="F195" s="18" t="s">
        <v>382</v>
      </c>
      <c r="G195" s="17" t="s">
        <v>2</v>
      </c>
      <c r="I195" s="40" t="str">
        <f>I191&amp; " - "&amp;I193</f>
        <v>Scenario A - Base Case</v>
      </c>
    </row>
    <row r="196" spans="1:66">
      <c r="D196" s="18"/>
      <c r="E196" s="18"/>
      <c r="F196" s="18"/>
      <c r="G196" s="17"/>
    </row>
    <row r="197" spans="1:66" ht="16">
      <c r="A197" s="24"/>
      <c r="B197" s="24"/>
      <c r="C197" s="24"/>
      <c r="D197" s="24" t="s">
        <v>8</v>
      </c>
      <c r="E197" s="24"/>
      <c r="F197" s="24"/>
      <c r="G197" s="24"/>
      <c r="H197" s="24"/>
      <c r="I197" s="24"/>
      <c r="J197" s="24"/>
      <c r="K197" s="24"/>
      <c r="L197" s="24"/>
      <c r="M197" s="24"/>
      <c r="N197" s="24"/>
      <c r="O197" s="24"/>
      <c r="P197" s="24"/>
      <c r="Q197" s="24"/>
      <c r="R197" s="24"/>
      <c r="S197" s="24"/>
      <c r="T197" s="24"/>
      <c r="U197" s="24"/>
      <c r="V197" s="24"/>
      <c r="W197" s="24"/>
      <c r="X197" s="24"/>
      <c r="Y197" s="24"/>
      <c r="Z197" s="24"/>
      <c r="AA197" s="24"/>
      <c r="AB197" s="24"/>
      <c r="AC197" s="24"/>
      <c r="AD197" s="24"/>
      <c r="AE197" s="24"/>
      <c r="AF197" s="24"/>
      <c r="AG197" s="24"/>
      <c r="AH197" s="24"/>
      <c r="AI197" s="24"/>
      <c r="AJ197" s="24"/>
      <c r="AK197" s="24"/>
      <c r="AL197" s="24"/>
      <c r="AM197" s="24"/>
      <c r="AN197" s="24"/>
      <c r="AO197" s="24"/>
      <c r="AP197" s="24"/>
      <c r="AQ197" s="24"/>
      <c r="AR197" s="24"/>
      <c r="AS197" s="24"/>
      <c r="AT197" s="24"/>
      <c r="AU197" s="24"/>
      <c r="AV197" s="24"/>
      <c r="AW197" s="24"/>
      <c r="AX197" s="24"/>
      <c r="AY197" s="24"/>
      <c r="AZ197" s="24"/>
      <c r="BA197" s="24"/>
      <c r="BB197" s="24"/>
      <c r="BC197" s="24"/>
      <c r="BD197" s="24"/>
      <c r="BE197" s="24"/>
      <c r="BF197" s="24"/>
      <c r="BG197" s="24"/>
      <c r="BH197" s="24"/>
      <c r="BI197" s="24"/>
      <c r="BJ197" s="24"/>
      <c r="BK197" s="24"/>
      <c r="BL197" s="24"/>
      <c r="BM197" s="24"/>
      <c r="BN197" s="24"/>
    </row>
  </sheetData>
  <sheetProtection algorithmName="SHA-512" hashValue="NZaVDkXwu8uuypF29O7l1dQPhXAEfKoDuYU1S6NC1UtD486SMIOmDJ7YvmVR2BUMt0iCQbfRql/sExY/2nqrQg==" saltValue="wwFrhK3Pxj4qB6Q/idJC0g==" spinCount="100000" sheet="1" objects="1" scenarios="1" formatColumns="0" formatRows="0"/>
  <conditionalFormatting sqref="C5:F5">
    <cfRule type="expression" dxfId="14" priority="1">
      <formula>IF(AND(sysChk=0,sysWarn=0),1,0)</formula>
    </cfRule>
    <cfRule type="expression" dxfId="13" priority="2">
      <formula>IF(AND(sysChk=0,sysWarn&lt;&gt;0),1,0)</formula>
    </cfRule>
    <cfRule type="expression" dxfId="12" priority="3">
      <formula>IF(sysChk&lt;&gt;0,1,0)</formula>
    </cfRule>
  </conditionalFormatting>
  <pageMargins left="0.70866141732283472" right="0.70866141732283472" top="0.74803149606299213" bottom="0.74803149606299213" header="0.31496062992125984" footer="0.31496062992125984"/>
  <pageSetup paperSize="9" scale="22" orientation="landscape" r:id="rId1"/>
  <headerFooter>
    <oddFooter>&amp;F</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8">
    <tabColor rgb="FF002060"/>
    <pageSetUpPr fitToPage="1"/>
  </sheetPr>
  <dimension ref="A1:B8"/>
  <sheetViews>
    <sheetView showGridLines="0" topLeftCell="A1048576" workbookViewId="0">
      <selection activeCell="Z73" sqref="Z73"/>
    </sheetView>
  </sheetViews>
  <sheetFormatPr baseColWidth="10" defaultColWidth="0" defaultRowHeight="0" customHeight="1" zeroHeight="1"/>
  <cols>
    <col min="1" max="2" width="5.796875" style="40" customWidth="1"/>
    <col min="3" max="16384" width="8.796875" style="40" hidden="1"/>
  </cols>
  <sheetData>
    <row r="1" ht="12" hidden="1"/>
    <row r="2" ht="0" hidden="1" customHeight="1"/>
    <row r="3" ht="0" hidden="1" customHeight="1"/>
    <row r="4" ht="0" hidden="1" customHeight="1"/>
    <row r="5" ht="0" hidden="1" customHeight="1"/>
    <row r="6" ht="0" hidden="1" customHeight="1"/>
    <row r="7" ht="0" hidden="1" customHeight="1"/>
    <row r="8" ht="0" hidden="1" customHeight="1"/>
  </sheetData>
  <sheetProtection algorithmName="SHA-512" hashValue="GxPrNkzUnLKN4tQk3/d4JHuoX94uxB+dOR5bcBSlISWdDx1x5QPjxqzSqTb29XKXZbfES2AFYXWAHHGyWLDKgg==" saltValue="rYMioqlJU8qoccbYSKuETA==" spinCount="100000" sheet="1" objects="1" scenarios="1"/>
  <pageMargins left="0.70866141732283472" right="0.70866141732283472" top="0.74803149606299213" bottom="0.74803149606299213" header="0.31496062992125984" footer="0.31496062992125984"/>
  <pageSetup paperSize="9" orientation="landscape" r:id="rId1"/>
  <headerFooter>
    <oddFooter>&amp;F</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4E398-A1F9-4F60-8C76-DDDA0E500F9F}">
  <sheetPr codeName="Sheet22">
    <tabColor rgb="FF002060"/>
    <pageSetUpPr fitToPage="1"/>
  </sheetPr>
  <dimension ref="A1:BR178"/>
  <sheetViews>
    <sheetView showGridLines="0" zoomScale="80" zoomScaleNormal="80" workbookViewId="0">
      <pane xSplit="26" ySplit="9" topLeftCell="AZ10" activePane="bottomRight" state="frozen"/>
      <selection pane="topRight"/>
      <selection pane="bottomLeft"/>
      <selection pane="bottomRight"/>
    </sheetView>
  </sheetViews>
  <sheetFormatPr baseColWidth="10" defaultColWidth="0" defaultRowHeight="12" outlineLevelRow="1" outlineLevelCol="1"/>
  <cols>
    <col min="1" max="2" width="5.796875" style="40" customWidth="1"/>
    <col min="3" max="3" width="8" style="40" bestFit="1" customWidth="1"/>
    <col min="4" max="5" width="3.59765625" style="40" customWidth="1"/>
    <col min="6" max="6" width="33.59765625" style="40" bestFit="1" customWidth="1"/>
    <col min="7" max="7" width="8.796875" style="40" bestFit="1" customWidth="1"/>
    <col min="8" max="8" width="2.19921875" style="40" customWidth="1"/>
    <col min="9" max="9" width="14.796875" style="40" bestFit="1" customWidth="1"/>
    <col min="10" max="10" width="2.19921875" style="40" customWidth="1"/>
    <col min="11" max="11" width="14.796875" style="40" bestFit="1" customWidth="1"/>
    <col min="12" max="25" width="2.19921875" style="40" hidden="1" customWidth="1" outlineLevel="1"/>
    <col min="26" max="26" width="2.19921875" style="40" customWidth="1" collapsed="1"/>
    <col min="27" max="65" width="15.19921875" style="40" customWidth="1"/>
    <col min="66" max="66" width="8.796875" style="40" hidden="1" customWidth="1"/>
    <col min="67" max="70" width="0" style="40" hidden="1" customWidth="1"/>
    <col min="71" max="16384" width="8.796875" style="40" hidden="1"/>
  </cols>
  <sheetData>
    <row r="1" spans="1:66">
      <c r="A1" s="95"/>
      <c r="B1" s="95"/>
      <c r="C1" s="96" t="s">
        <v>436</v>
      </c>
      <c r="D1" s="95"/>
      <c r="E1" s="95"/>
      <c r="F1" s="95"/>
      <c r="G1" s="95"/>
      <c r="H1" s="95"/>
      <c r="I1" s="95"/>
      <c r="J1" s="95"/>
      <c r="K1" s="95"/>
      <c r="L1" s="95"/>
      <c r="M1" s="95"/>
      <c r="N1" s="95"/>
      <c r="O1" s="95"/>
      <c r="P1" s="95"/>
      <c r="Q1" s="95"/>
      <c r="R1" s="95"/>
      <c r="S1" s="95"/>
      <c r="T1" s="95"/>
      <c r="U1" s="95"/>
      <c r="V1" s="95"/>
      <c r="W1" s="95"/>
      <c r="X1" s="95"/>
      <c r="Y1" s="95"/>
      <c r="Z1" s="95"/>
      <c r="AA1" s="95"/>
      <c r="AB1" s="95"/>
      <c r="AC1" s="95"/>
      <c r="AD1" s="95"/>
      <c r="AE1" s="95"/>
      <c r="AF1" s="95"/>
      <c r="AG1" s="95"/>
      <c r="AH1" s="95"/>
      <c r="AI1" s="95"/>
      <c r="AJ1" s="95"/>
      <c r="AK1" s="95"/>
      <c r="AL1" s="95"/>
      <c r="AM1" s="95"/>
      <c r="AN1" s="95"/>
      <c r="AO1" s="95"/>
      <c r="AP1" s="95"/>
      <c r="AQ1" s="95"/>
      <c r="AR1" s="95"/>
      <c r="AS1" s="95"/>
      <c r="AT1" s="95"/>
      <c r="AU1" s="95"/>
      <c r="AV1" s="95"/>
      <c r="AW1" s="95"/>
      <c r="AX1" s="95"/>
      <c r="AY1" s="95"/>
      <c r="AZ1" s="95"/>
      <c r="BA1" s="95"/>
      <c r="BB1" s="95"/>
      <c r="BC1" s="95"/>
      <c r="BD1" s="95"/>
      <c r="BE1" s="95"/>
      <c r="BF1" s="95"/>
      <c r="BG1" s="95"/>
      <c r="BH1" s="95"/>
      <c r="BI1" s="95"/>
      <c r="BJ1" s="95"/>
      <c r="BK1" s="95"/>
      <c r="BL1" s="95"/>
      <c r="BM1" s="95"/>
      <c r="BN1" s="21"/>
    </row>
    <row r="2" spans="1:66" ht="13">
      <c r="A2" s="95"/>
      <c r="B2" s="95"/>
      <c r="C2" s="98" t="str">
        <f>cstProjectName</f>
        <v>Should Cost Modelling Case Study - Illustrative SCM</v>
      </c>
      <c r="D2" s="95"/>
      <c r="E2" s="95"/>
      <c r="F2" s="95"/>
      <c r="G2" s="95"/>
      <c r="H2" s="95"/>
      <c r="I2" s="95"/>
      <c r="J2" s="95"/>
      <c r="K2" s="95"/>
      <c r="L2" s="95"/>
      <c r="M2" s="95"/>
      <c r="N2" s="95"/>
      <c r="O2" s="95"/>
      <c r="P2" s="95"/>
      <c r="Q2" s="95"/>
      <c r="R2" s="95"/>
      <c r="S2" s="95"/>
      <c r="T2" s="95"/>
      <c r="U2" s="95"/>
      <c r="V2" s="95"/>
      <c r="W2" s="95"/>
      <c r="X2" s="95"/>
      <c r="Y2" s="95"/>
      <c r="Z2" s="105" t="str">
        <f>SysTime!Z2</f>
        <v>Period Start</v>
      </c>
      <c r="AA2" s="57">
        <f>SysTime!AA2</f>
        <v>44652</v>
      </c>
      <c r="AB2" s="57">
        <f>SysTime!AB2</f>
        <v>45017</v>
      </c>
      <c r="AC2" s="57">
        <f>SysTime!AC2</f>
        <v>45383</v>
      </c>
      <c r="AD2" s="57">
        <f>SysTime!AD2</f>
        <v>45748</v>
      </c>
      <c r="AE2" s="57">
        <f>SysTime!AE2</f>
        <v>46113</v>
      </c>
      <c r="AF2" s="57">
        <f>SysTime!AF2</f>
        <v>46478</v>
      </c>
      <c r="AG2" s="57">
        <f>SysTime!AG2</f>
        <v>46844</v>
      </c>
      <c r="AH2" s="57">
        <f>SysTime!AH2</f>
        <v>47209</v>
      </c>
      <c r="AI2" s="57">
        <f>SysTime!AI2</f>
        <v>47574</v>
      </c>
      <c r="AJ2" s="57">
        <f>SysTime!AJ2</f>
        <v>47939</v>
      </c>
      <c r="AK2" s="57">
        <f>SysTime!AK2</f>
        <v>48305</v>
      </c>
      <c r="AL2" s="57">
        <f>SysTime!AL2</f>
        <v>48670</v>
      </c>
      <c r="AM2" s="57">
        <f>SysTime!AM2</f>
        <v>49035</v>
      </c>
      <c r="AN2" s="57">
        <f>SysTime!AN2</f>
        <v>49400</v>
      </c>
      <c r="AO2" s="57">
        <f>SysTime!AO2</f>
        <v>49766</v>
      </c>
      <c r="AP2" s="57">
        <f>SysTime!AP2</f>
        <v>50131</v>
      </c>
      <c r="AQ2" s="57">
        <f>SysTime!AQ2</f>
        <v>50496</v>
      </c>
      <c r="AR2" s="57">
        <f>SysTime!AR2</f>
        <v>50861</v>
      </c>
      <c r="AS2" s="57">
        <f>SysTime!AS2</f>
        <v>51227</v>
      </c>
      <c r="AT2" s="57">
        <f>SysTime!AT2</f>
        <v>51592</v>
      </c>
      <c r="AU2" s="57">
        <f>SysTime!AU2</f>
        <v>51957</v>
      </c>
      <c r="AV2" s="57">
        <f>SysTime!AV2</f>
        <v>52322</v>
      </c>
      <c r="AW2" s="57">
        <f>SysTime!AW2</f>
        <v>52688</v>
      </c>
      <c r="AX2" s="57">
        <f>SysTime!AX2</f>
        <v>53053</v>
      </c>
      <c r="AY2" s="57">
        <f>SysTime!AY2</f>
        <v>53418</v>
      </c>
      <c r="AZ2" s="57">
        <f>SysTime!AZ2</f>
        <v>53783</v>
      </c>
      <c r="BA2" s="57">
        <f>SysTime!BA2</f>
        <v>54149</v>
      </c>
      <c r="BB2" s="57">
        <f>SysTime!BB2</f>
        <v>54514</v>
      </c>
      <c r="BC2" s="57">
        <f>SysTime!BC2</f>
        <v>54879</v>
      </c>
      <c r="BD2" s="57">
        <f>SysTime!BD2</f>
        <v>55244</v>
      </c>
      <c r="BE2" s="57">
        <f>SysTime!BE2</f>
        <v>55610</v>
      </c>
      <c r="BF2" s="58"/>
      <c r="BG2" s="59">
        <f>SysTime!BG2</f>
        <v>44652</v>
      </c>
      <c r="BH2" s="59">
        <f>SysTime!BH2</f>
        <v>45017</v>
      </c>
      <c r="BI2" s="59">
        <f>SysTime!BI2</f>
        <v>46844</v>
      </c>
      <c r="BJ2" s="59">
        <f>SysTime!BJ2</f>
        <v>48670</v>
      </c>
      <c r="BK2" s="59">
        <f>SysTime!BK2</f>
        <v>50496</v>
      </c>
      <c r="BL2" s="59">
        <f>SysTime!BL2</f>
        <v>52322</v>
      </c>
      <c r="BM2" s="59">
        <f>SysTime!BM2</f>
        <v>54149</v>
      </c>
      <c r="BN2" s="33"/>
    </row>
    <row r="3" spans="1:66" ht="13">
      <c r="A3" s="95"/>
      <c r="B3" s="95"/>
      <c r="C3" s="100" t="str">
        <f ca="1">MID(CELL("filename",A1),FIND("]",CELL("filename",A1))+1,256)&amp;" Sheet"</f>
        <v>oFinancials Sheet</v>
      </c>
      <c r="D3" s="95"/>
      <c r="E3" s="95"/>
      <c r="F3" s="95"/>
      <c r="G3" s="95"/>
      <c r="H3" s="95"/>
      <c r="I3" s="95"/>
      <c r="J3" s="95"/>
      <c r="K3" s="95"/>
      <c r="L3" s="95"/>
      <c r="M3" s="95"/>
      <c r="N3" s="95"/>
      <c r="O3" s="95"/>
      <c r="P3" s="95"/>
      <c r="Q3" s="95"/>
      <c r="R3" s="95"/>
      <c r="S3" s="95"/>
      <c r="T3" s="95"/>
      <c r="U3" s="95"/>
      <c r="V3" s="95"/>
      <c r="W3" s="95"/>
      <c r="X3" s="95"/>
      <c r="Y3" s="95"/>
      <c r="Z3" s="105" t="str">
        <f>SysTime!Z3</f>
        <v>Period End</v>
      </c>
      <c r="AA3" s="57">
        <f>SysTime!AA3</f>
        <v>45016</v>
      </c>
      <c r="AB3" s="57">
        <f>SysTime!AB3</f>
        <v>45382</v>
      </c>
      <c r="AC3" s="57">
        <f>SysTime!AC3</f>
        <v>45747</v>
      </c>
      <c r="AD3" s="57">
        <f>SysTime!AD3</f>
        <v>46112</v>
      </c>
      <c r="AE3" s="57">
        <f>SysTime!AE3</f>
        <v>46477</v>
      </c>
      <c r="AF3" s="57">
        <f>SysTime!AF3</f>
        <v>46843</v>
      </c>
      <c r="AG3" s="57">
        <f>SysTime!AG3</f>
        <v>47208</v>
      </c>
      <c r="AH3" s="57">
        <f>SysTime!AH3</f>
        <v>47573</v>
      </c>
      <c r="AI3" s="57">
        <f>SysTime!AI3</f>
        <v>47938</v>
      </c>
      <c r="AJ3" s="57">
        <f>SysTime!AJ3</f>
        <v>48304</v>
      </c>
      <c r="AK3" s="57">
        <f>SysTime!AK3</f>
        <v>48669</v>
      </c>
      <c r="AL3" s="57">
        <f>SysTime!AL3</f>
        <v>49034</v>
      </c>
      <c r="AM3" s="57">
        <f>SysTime!AM3</f>
        <v>49399</v>
      </c>
      <c r="AN3" s="57">
        <f>SysTime!AN3</f>
        <v>49765</v>
      </c>
      <c r="AO3" s="57">
        <f>SysTime!AO3</f>
        <v>50130</v>
      </c>
      <c r="AP3" s="57">
        <f>SysTime!AP3</f>
        <v>50495</v>
      </c>
      <c r="AQ3" s="57">
        <f>SysTime!AQ3</f>
        <v>50860</v>
      </c>
      <c r="AR3" s="57">
        <f>SysTime!AR3</f>
        <v>51226</v>
      </c>
      <c r="AS3" s="57">
        <f>SysTime!AS3</f>
        <v>51591</v>
      </c>
      <c r="AT3" s="57">
        <f>SysTime!AT3</f>
        <v>51956</v>
      </c>
      <c r="AU3" s="57">
        <f>SysTime!AU3</f>
        <v>52321</v>
      </c>
      <c r="AV3" s="57">
        <f>SysTime!AV3</f>
        <v>52687</v>
      </c>
      <c r="AW3" s="57">
        <f>SysTime!AW3</f>
        <v>53052</v>
      </c>
      <c r="AX3" s="57">
        <f>SysTime!AX3</f>
        <v>53417</v>
      </c>
      <c r="AY3" s="57">
        <f>SysTime!AY3</f>
        <v>53782</v>
      </c>
      <c r="AZ3" s="57">
        <f>SysTime!AZ3</f>
        <v>54148</v>
      </c>
      <c r="BA3" s="57">
        <f>SysTime!BA3</f>
        <v>54513</v>
      </c>
      <c r="BB3" s="57">
        <f>SysTime!BB3</f>
        <v>54878</v>
      </c>
      <c r="BC3" s="57">
        <f>SysTime!BC3</f>
        <v>55243</v>
      </c>
      <c r="BD3" s="57">
        <f>SysTime!BD3</f>
        <v>55609</v>
      </c>
      <c r="BE3" s="57">
        <f>SysTime!BE3</f>
        <v>55974</v>
      </c>
      <c r="BF3" s="58"/>
      <c r="BG3" s="59">
        <f>SysTime!BG3</f>
        <v>45016</v>
      </c>
      <c r="BH3" s="59">
        <f>SysTime!BH3</f>
        <v>46843</v>
      </c>
      <c r="BI3" s="59">
        <f>SysTime!BI3</f>
        <v>48669</v>
      </c>
      <c r="BJ3" s="59">
        <f>SysTime!BJ3</f>
        <v>50495</v>
      </c>
      <c r="BK3" s="59">
        <f>SysTime!BK3</f>
        <v>52321</v>
      </c>
      <c r="BL3" s="59">
        <f>SysTime!BL3</f>
        <v>54148</v>
      </c>
      <c r="BM3" s="59">
        <f>SysTime!BM3</f>
        <v>55974</v>
      </c>
      <c r="BN3" s="33"/>
    </row>
    <row r="4" spans="1:66">
      <c r="A4" s="95"/>
      <c r="B4" s="95"/>
      <c r="C4" s="96" t="str">
        <f>IF(ISBLANK(cstProtectiveMarking),"",cstProtectiveMarking)</f>
        <v>Not Protectively Marked</v>
      </c>
      <c r="D4" s="95"/>
      <c r="E4" s="95"/>
      <c r="F4" s="95"/>
      <c r="G4" s="95"/>
      <c r="H4" s="95"/>
      <c r="I4" s="95"/>
      <c r="J4" s="95"/>
      <c r="K4" s="95"/>
      <c r="L4" s="95"/>
      <c r="M4" s="95"/>
      <c r="N4" s="95"/>
      <c r="O4" s="95"/>
      <c r="P4" s="95"/>
      <c r="Q4" s="95"/>
      <c r="R4" s="95"/>
      <c r="S4" s="95"/>
      <c r="T4" s="95"/>
      <c r="U4" s="95"/>
      <c r="V4" s="95"/>
      <c r="W4" s="95"/>
      <c r="X4" s="95"/>
      <c r="Y4" s="95"/>
      <c r="Z4" s="105" t="str">
        <f>SysTime!Z4</f>
        <v>Timeline</v>
      </c>
      <c r="AA4" s="60" t="str">
        <f>SysTime!AA4</f>
        <v>Annual</v>
      </c>
      <c r="AB4" s="60" t="str">
        <f>SysTime!AB4</f>
        <v>Annual</v>
      </c>
      <c r="AC4" s="60" t="str">
        <f>SysTime!AC4</f>
        <v>Annual</v>
      </c>
      <c r="AD4" s="60" t="str">
        <f>SysTime!AD4</f>
        <v>Annual</v>
      </c>
      <c r="AE4" s="60" t="str">
        <f>SysTime!AE4</f>
        <v>Annual</v>
      </c>
      <c r="AF4" s="60" t="str">
        <f>SysTime!AF4</f>
        <v>Annual</v>
      </c>
      <c r="AG4" s="60" t="str">
        <f>SysTime!AG4</f>
        <v>Annual</v>
      </c>
      <c r="AH4" s="60" t="str">
        <f>SysTime!AH4</f>
        <v>Annual</v>
      </c>
      <c r="AI4" s="60" t="str">
        <f>SysTime!AI4</f>
        <v>Annual</v>
      </c>
      <c r="AJ4" s="60" t="str">
        <f>SysTime!AJ4</f>
        <v>Annual</v>
      </c>
      <c r="AK4" s="60" t="str">
        <f>SysTime!AK4</f>
        <v>Annual</v>
      </c>
      <c r="AL4" s="60" t="str">
        <f>SysTime!AL4</f>
        <v>Annual</v>
      </c>
      <c r="AM4" s="60" t="str">
        <f>SysTime!AM4</f>
        <v>Annual</v>
      </c>
      <c r="AN4" s="60" t="str">
        <f>SysTime!AN4</f>
        <v>Annual</v>
      </c>
      <c r="AO4" s="60" t="str">
        <f>SysTime!AO4</f>
        <v>Annual</v>
      </c>
      <c r="AP4" s="60" t="str">
        <f>SysTime!AP4</f>
        <v>Annual</v>
      </c>
      <c r="AQ4" s="60" t="str">
        <f>SysTime!AQ4</f>
        <v>Annual</v>
      </c>
      <c r="AR4" s="60" t="str">
        <f>SysTime!AR4</f>
        <v>Annual</v>
      </c>
      <c r="AS4" s="60" t="str">
        <f>SysTime!AS4</f>
        <v>Annual</v>
      </c>
      <c r="AT4" s="60" t="str">
        <f>SysTime!AT4</f>
        <v>Annual</v>
      </c>
      <c r="AU4" s="60" t="str">
        <f>SysTime!AU4</f>
        <v>Annual</v>
      </c>
      <c r="AV4" s="60" t="str">
        <f>SysTime!AV4</f>
        <v>Annual</v>
      </c>
      <c r="AW4" s="60" t="str">
        <f>SysTime!AW4</f>
        <v>Annual</v>
      </c>
      <c r="AX4" s="60" t="str">
        <f>SysTime!AX4</f>
        <v>Annual</v>
      </c>
      <c r="AY4" s="60" t="str">
        <f>SysTime!AY4</f>
        <v>Annual</v>
      </c>
      <c r="AZ4" s="60" t="str">
        <f>SysTime!AZ4</f>
        <v>Annual</v>
      </c>
      <c r="BA4" s="60" t="str">
        <f>SysTime!BA4</f>
        <v>Annual</v>
      </c>
      <c r="BB4" s="60" t="str">
        <f>SysTime!BB4</f>
        <v>Annual</v>
      </c>
      <c r="BC4" s="60" t="str">
        <f>SysTime!BC4</f>
        <v>Annual</v>
      </c>
      <c r="BD4" s="60" t="str">
        <f>SysTime!BD4</f>
        <v>Annual</v>
      </c>
      <c r="BE4" s="60" t="str">
        <f>SysTime!BE4</f>
        <v>Annual</v>
      </c>
      <c r="BF4" s="61"/>
      <c r="BG4" s="62" t="str">
        <f>SysTime!BG4</f>
        <v>Annual</v>
      </c>
      <c r="BH4" s="62" t="str">
        <f>SysTime!BH4</f>
        <v>5 Yearly</v>
      </c>
      <c r="BI4" s="62" t="str">
        <f>SysTime!BI4</f>
        <v>5 Yearly</v>
      </c>
      <c r="BJ4" s="62" t="str">
        <f>SysTime!BJ4</f>
        <v>5 Yearly</v>
      </c>
      <c r="BK4" s="62" t="str">
        <f>SysTime!BK4</f>
        <v>5 Yearly</v>
      </c>
      <c r="BL4" s="62" t="str">
        <f>SysTime!BL4</f>
        <v>5 Yearly</v>
      </c>
      <c r="BM4" s="62" t="str">
        <f>SysTime!BM4</f>
        <v>5 Yearly</v>
      </c>
      <c r="BN4" s="34"/>
    </row>
    <row r="5" spans="1:66">
      <c r="A5" s="95"/>
      <c r="B5" s="95"/>
      <c r="C5" s="101" t="str">
        <f>HYPERLINK("#'Contents'!A1",sysChkWord)</f>
        <v>All Checks OK</v>
      </c>
      <c r="D5" s="101"/>
      <c r="E5" s="101"/>
      <c r="F5" s="101"/>
      <c r="G5" s="95"/>
      <c r="H5" s="95"/>
      <c r="I5" s="95"/>
      <c r="J5" s="95"/>
      <c r="K5" s="95"/>
      <c r="L5" s="95"/>
      <c r="M5" s="95"/>
      <c r="N5" s="95"/>
      <c r="O5" s="95"/>
      <c r="P5" s="95"/>
      <c r="Q5" s="95"/>
      <c r="R5" s="95"/>
      <c r="S5" s="95"/>
      <c r="T5" s="95"/>
      <c r="U5" s="95"/>
      <c r="V5" s="95"/>
      <c r="W5" s="95"/>
      <c r="X5" s="95"/>
      <c r="Y5" s="95"/>
      <c r="Z5" s="105" t="str">
        <f>SysTime!Z5</f>
        <v>Period index</v>
      </c>
      <c r="AA5" s="63">
        <f>SysTime!AA5</f>
        <v>1</v>
      </c>
      <c r="AB5" s="63">
        <f>SysTime!AB5</f>
        <v>2</v>
      </c>
      <c r="AC5" s="63">
        <f>SysTime!AC5</f>
        <v>3</v>
      </c>
      <c r="AD5" s="63">
        <f>SysTime!AD5</f>
        <v>4</v>
      </c>
      <c r="AE5" s="63">
        <f>SysTime!AE5</f>
        <v>5</v>
      </c>
      <c r="AF5" s="63">
        <f>SysTime!AF5</f>
        <v>6</v>
      </c>
      <c r="AG5" s="63">
        <f>SysTime!AG5</f>
        <v>7</v>
      </c>
      <c r="AH5" s="63">
        <f>SysTime!AH5</f>
        <v>8</v>
      </c>
      <c r="AI5" s="63">
        <f>SysTime!AI5</f>
        <v>9</v>
      </c>
      <c r="AJ5" s="63">
        <f>SysTime!AJ5</f>
        <v>10</v>
      </c>
      <c r="AK5" s="63">
        <f>SysTime!AK5</f>
        <v>11</v>
      </c>
      <c r="AL5" s="63">
        <f>SysTime!AL5</f>
        <v>12</v>
      </c>
      <c r="AM5" s="63">
        <f>SysTime!AM5</f>
        <v>13</v>
      </c>
      <c r="AN5" s="63">
        <f>SysTime!AN5</f>
        <v>14</v>
      </c>
      <c r="AO5" s="63">
        <f>SysTime!AO5</f>
        <v>15</v>
      </c>
      <c r="AP5" s="63">
        <f>SysTime!AP5</f>
        <v>16</v>
      </c>
      <c r="AQ5" s="63">
        <f>SysTime!AQ5</f>
        <v>17</v>
      </c>
      <c r="AR5" s="63">
        <f>SysTime!AR5</f>
        <v>18</v>
      </c>
      <c r="AS5" s="63">
        <f>SysTime!AS5</f>
        <v>19</v>
      </c>
      <c r="AT5" s="63">
        <f>SysTime!AT5</f>
        <v>20</v>
      </c>
      <c r="AU5" s="63">
        <f>SysTime!AU5</f>
        <v>21</v>
      </c>
      <c r="AV5" s="63">
        <f>SysTime!AV5</f>
        <v>22</v>
      </c>
      <c r="AW5" s="63">
        <f>SysTime!AW5</f>
        <v>23</v>
      </c>
      <c r="AX5" s="63">
        <f>SysTime!AX5</f>
        <v>24</v>
      </c>
      <c r="AY5" s="63">
        <f>SysTime!AY5</f>
        <v>25</v>
      </c>
      <c r="AZ5" s="63">
        <f>SysTime!AZ5</f>
        <v>26</v>
      </c>
      <c r="BA5" s="63">
        <f>SysTime!BA5</f>
        <v>27</v>
      </c>
      <c r="BB5" s="63">
        <f>SysTime!BB5</f>
        <v>28</v>
      </c>
      <c r="BC5" s="63">
        <f>SysTime!BC5</f>
        <v>29</v>
      </c>
      <c r="BD5" s="63">
        <f>SysTime!BD5</f>
        <v>30</v>
      </c>
      <c r="BE5" s="63">
        <f>SysTime!BE5</f>
        <v>31</v>
      </c>
      <c r="BF5" s="64"/>
      <c r="BG5" s="65">
        <f>SysTime!BG5</f>
        <v>1</v>
      </c>
      <c r="BH5" s="65">
        <f>SysTime!BH5</f>
        <v>2</v>
      </c>
      <c r="BI5" s="65">
        <f>SysTime!BI5</f>
        <v>3</v>
      </c>
      <c r="BJ5" s="65">
        <f>SysTime!BJ5</f>
        <v>4</v>
      </c>
      <c r="BK5" s="65">
        <f>SysTime!BK5</f>
        <v>5</v>
      </c>
      <c r="BL5" s="65">
        <f>SysTime!BL5</f>
        <v>6</v>
      </c>
      <c r="BM5" s="65">
        <f>SysTime!BM5</f>
        <v>7</v>
      </c>
      <c r="BN5" s="35"/>
    </row>
    <row r="6" spans="1:66" ht="13">
      <c r="A6" s="95"/>
      <c r="B6" s="102"/>
      <c r="C6" s="103" t="str">
        <f>HYPERLINK("#'Contents'!A1","Click for Contents")</f>
        <v>Click for Contents</v>
      </c>
      <c r="D6" s="101"/>
      <c r="E6" s="101"/>
      <c r="F6" s="101"/>
      <c r="G6" s="95"/>
      <c r="H6" s="95"/>
      <c r="I6" s="95"/>
      <c r="J6" s="95"/>
      <c r="K6" s="95"/>
      <c r="L6" s="95"/>
      <c r="M6" s="95"/>
      <c r="N6" s="95"/>
      <c r="O6" s="95"/>
      <c r="P6" s="95"/>
      <c r="Q6" s="95"/>
      <c r="R6" s="95"/>
      <c r="S6" s="95"/>
      <c r="T6" s="95"/>
      <c r="U6" s="95"/>
      <c r="V6" s="95"/>
      <c r="W6" s="95"/>
      <c r="X6" s="95"/>
      <c r="Y6" s="95"/>
      <c r="Z6" s="105" t="str">
        <f>SysTime!Z6</f>
        <v>Year index</v>
      </c>
      <c r="AA6" s="63">
        <f>SysTime!AA6</f>
        <v>1</v>
      </c>
      <c r="AB6" s="63">
        <f>SysTime!AB6</f>
        <v>2</v>
      </c>
      <c r="AC6" s="63">
        <f>SysTime!AC6</f>
        <v>3</v>
      </c>
      <c r="AD6" s="63">
        <f>SysTime!AD6</f>
        <v>4</v>
      </c>
      <c r="AE6" s="63">
        <f>SysTime!AE6</f>
        <v>5</v>
      </c>
      <c r="AF6" s="63">
        <f>SysTime!AF6</f>
        <v>6</v>
      </c>
      <c r="AG6" s="63">
        <f>SysTime!AG6</f>
        <v>7</v>
      </c>
      <c r="AH6" s="63">
        <f>SysTime!AH6</f>
        <v>8</v>
      </c>
      <c r="AI6" s="63">
        <f>SysTime!AI6</f>
        <v>9</v>
      </c>
      <c r="AJ6" s="63">
        <f>SysTime!AJ6</f>
        <v>10</v>
      </c>
      <c r="AK6" s="63">
        <f>SysTime!AK6</f>
        <v>11</v>
      </c>
      <c r="AL6" s="63">
        <f>SysTime!AL6</f>
        <v>12</v>
      </c>
      <c r="AM6" s="63">
        <f>SysTime!AM6</f>
        <v>13</v>
      </c>
      <c r="AN6" s="63">
        <f>SysTime!AN6</f>
        <v>14</v>
      </c>
      <c r="AO6" s="63">
        <f>SysTime!AO6</f>
        <v>15</v>
      </c>
      <c r="AP6" s="63">
        <f>SysTime!AP6</f>
        <v>16</v>
      </c>
      <c r="AQ6" s="63">
        <f>SysTime!AQ6</f>
        <v>17</v>
      </c>
      <c r="AR6" s="63">
        <f>SysTime!AR6</f>
        <v>18</v>
      </c>
      <c r="AS6" s="63">
        <f>SysTime!AS6</f>
        <v>19</v>
      </c>
      <c r="AT6" s="63">
        <f>SysTime!AT6</f>
        <v>20</v>
      </c>
      <c r="AU6" s="63">
        <f>SysTime!AU6</f>
        <v>21</v>
      </c>
      <c r="AV6" s="63">
        <f>SysTime!AV6</f>
        <v>22</v>
      </c>
      <c r="AW6" s="63">
        <f>SysTime!AW6</f>
        <v>23</v>
      </c>
      <c r="AX6" s="63">
        <f>SysTime!AX6</f>
        <v>24</v>
      </c>
      <c r="AY6" s="63">
        <f>SysTime!AY6</f>
        <v>25</v>
      </c>
      <c r="AZ6" s="63">
        <f>SysTime!AZ6</f>
        <v>26</v>
      </c>
      <c r="BA6" s="63">
        <f>SysTime!BA6</f>
        <v>27</v>
      </c>
      <c r="BB6" s="63">
        <f>SysTime!BB6</f>
        <v>28</v>
      </c>
      <c r="BC6" s="63">
        <f>SysTime!BC6</f>
        <v>29</v>
      </c>
      <c r="BD6" s="63">
        <f>SysTime!BD6</f>
        <v>30</v>
      </c>
      <c r="BE6" s="63">
        <f>SysTime!BE6</f>
        <v>31</v>
      </c>
      <c r="BF6" s="64"/>
      <c r="BG6" s="65">
        <f>SysTime!BG6</f>
        <v>0</v>
      </c>
      <c r="BH6" s="65">
        <f>SysTime!BH6</f>
        <v>0</v>
      </c>
      <c r="BI6" s="65">
        <f>SysTime!BI6</f>
        <v>0</v>
      </c>
      <c r="BJ6" s="65">
        <f>SysTime!BJ6</f>
        <v>0</v>
      </c>
      <c r="BK6" s="65">
        <f>SysTime!BK6</f>
        <v>0</v>
      </c>
      <c r="BL6" s="65">
        <f>SysTime!BL6</f>
        <v>0</v>
      </c>
      <c r="BM6" s="65">
        <f>SysTime!BM6</f>
        <v>0</v>
      </c>
      <c r="BN6" s="35"/>
    </row>
    <row r="7" spans="1:66">
      <c r="A7" s="95"/>
      <c r="B7" s="95"/>
      <c r="C7" s="95"/>
      <c r="D7" s="95"/>
      <c r="E7" s="95"/>
      <c r="F7" s="95"/>
      <c r="G7" s="95"/>
      <c r="H7" s="95"/>
      <c r="I7" s="95"/>
      <c r="J7" s="95"/>
      <c r="K7" s="95"/>
      <c r="L7" s="95"/>
      <c r="M7" s="95"/>
      <c r="N7" s="95"/>
      <c r="O7" s="95"/>
      <c r="P7" s="95"/>
      <c r="Q7" s="95"/>
      <c r="R7" s="95"/>
      <c r="S7" s="95"/>
      <c r="T7" s="95"/>
      <c r="U7" s="95"/>
      <c r="V7" s="95"/>
      <c r="W7" s="95"/>
      <c r="X7" s="95"/>
      <c r="Y7" s="95"/>
      <c r="Z7" s="105" t="str">
        <f>SysTime!Z7</f>
        <v>Relative period</v>
      </c>
      <c r="AA7" s="63">
        <f>SysTime!AA7</f>
        <v>1</v>
      </c>
      <c r="AB7" s="63">
        <f>SysTime!AB7</f>
        <v>2</v>
      </c>
      <c r="AC7" s="63">
        <f>SysTime!AC7</f>
        <v>3</v>
      </c>
      <c r="AD7" s="63">
        <f>SysTime!AD7</f>
        <v>4</v>
      </c>
      <c r="AE7" s="63">
        <f>SysTime!AE7</f>
        <v>5</v>
      </c>
      <c r="AF7" s="63">
        <f>SysTime!AF7</f>
        <v>6</v>
      </c>
      <c r="AG7" s="63">
        <f>SysTime!AG7</f>
        <v>7</v>
      </c>
      <c r="AH7" s="63">
        <f>SysTime!AH7</f>
        <v>8</v>
      </c>
      <c r="AI7" s="63">
        <f>SysTime!AI7</f>
        <v>9</v>
      </c>
      <c r="AJ7" s="63">
        <f>SysTime!AJ7</f>
        <v>10</v>
      </c>
      <c r="AK7" s="63">
        <f>SysTime!AK7</f>
        <v>11</v>
      </c>
      <c r="AL7" s="63">
        <f>SysTime!AL7</f>
        <v>12</v>
      </c>
      <c r="AM7" s="63">
        <f>SysTime!AM7</f>
        <v>13</v>
      </c>
      <c r="AN7" s="63">
        <f>SysTime!AN7</f>
        <v>14</v>
      </c>
      <c r="AO7" s="63">
        <f>SysTime!AO7</f>
        <v>15</v>
      </c>
      <c r="AP7" s="63">
        <f>SysTime!AP7</f>
        <v>16</v>
      </c>
      <c r="AQ7" s="63">
        <f>SysTime!AQ7</f>
        <v>17</v>
      </c>
      <c r="AR7" s="63">
        <f>SysTime!AR7</f>
        <v>18</v>
      </c>
      <c r="AS7" s="63">
        <f>SysTime!AS7</f>
        <v>19</v>
      </c>
      <c r="AT7" s="63">
        <f>SysTime!AT7</f>
        <v>20</v>
      </c>
      <c r="AU7" s="63">
        <f>SysTime!AU7</f>
        <v>21</v>
      </c>
      <c r="AV7" s="63">
        <f>SysTime!AV7</f>
        <v>22</v>
      </c>
      <c r="AW7" s="63">
        <f>SysTime!AW7</f>
        <v>23</v>
      </c>
      <c r="AX7" s="63">
        <f>SysTime!AX7</f>
        <v>24</v>
      </c>
      <c r="AY7" s="63">
        <f>SysTime!AY7</f>
        <v>25</v>
      </c>
      <c r="AZ7" s="63">
        <f>SysTime!AZ7</f>
        <v>26</v>
      </c>
      <c r="BA7" s="63">
        <f>SysTime!BA7</f>
        <v>27</v>
      </c>
      <c r="BB7" s="63">
        <f>SysTime!BB7</f>
        <v>28</v>
      </c>
      <c r="BC7" s="63">
        <f>SysTime!BC7</f>
        <v>29</v>
      </c>
      <c r="BD7" s="63">
        <f>SysTime!BD7</f>
        <v>30</v>
      </c>
      <c r="BE7" s="63">
        <f>SysTime!BE7</f>
        <v>31</v>
      </c>
      <c r="BF7" s="64"/>
      <c r="BG7" s="65">
        <f>SysTime!BG7</f>
        <v>1</v>
      </c>
      <c r="BH7" s="65">
        <f>SysTime!BH7</f>
        <v>2</v>
      </c>
      <c r="BI7" s="65">
        <f>SysTime!BI7</f>
        <v>3</v>
      </c>
      <c r="BJ7" s="65">
        <f>SysTime!BJ7</f>
        <v>4</v>
      </c>
      <c r="BK7" s="65">
        <f>SysTime!BK7</f>
        <v>5</v>
      </c>
      <c r="BL7" s="65">
        <f>SysTime!BL7</f>
        <v>6</v>
      </c>
      <c r="BM7" s="65">
        <f>SysTime!BM7</f>
        <v>7</v>
      </c>
      <c r="BN7" s="35"/>
    </row>
    <row r="8" spans="1:66">
      <c r="A8" s="97">
        <f>SUM(A9:A178)</f>
        <v>0</v>
      </c>
      <c r="B8" s="99">
        <f>SUM(B9:B178)</f>
        <v>0</v>
      </c>
      <c r="C8" s="104"/>
      <c r="D8" s="104"/>
      <c r="E8" s="104"/>
      <c r="F8" s="104"/>
      <c r="G8" s="104" t="s">
        <v>5</v>
      </c>
      <c r="H8" s="104"/>
      <c r="I8" s="104"/>
      <c r="J8" s="95"/>
      <c r="K8" s="95"/>
      <c r="L8" s="95"/>
      <c r="M8" s="95"/>
      <c r="N8" s="95"/>
      <c r="O8" s="95"/>
      <c r="P8" s="95"/>
      <c r="Q8" s="95"/>
      <c r="R8" s="95"/>
      <c r="S8" s="95"/>
      <c r="T8" s="95"/>
      <c r="U8" s="95"/>
      <c r="V8" s="95"/>
      <c r="W8" s="95"/>
      <c r="X8" s="95"/>
      <c r="Y8" s="95"/>
      <c r="Z8" s="95"/>
      <c r="AA8" s="95"/>
      <c r="AB8" s="95"/>
      <c r="AC8" s="95"/>
      <c r="AD8" s="95"/>
      <c r="AE8" s="95"/>
      <c r="AF8" s="95"/>
      <c r="AG8" s="95"/>
      <c r="AH8" s="95"/>
      <c r="AI8" s="95"/>
      <c r="AJ8" s="95"/>
      <c r="AK8" s="95"/>
      <c r="AL8" s="95"/>
      <c r="AM8" s="95"/>
      <c r="AN8" s="95"/>
      <c r="AO8" s="95"/>
      <c r="AP8" s="95"/>
      <c r="AQ8" s="95"/>
      <c r="AR8" s="95"/>
      <c r="AS8" s="95"/>
      <c r="AT8" s="95"/>
      <c r="AU8" s="95"/>
      <c r="AV8" s="95"/>
      <c r="AW8" s="95"/>
      <c r="AX8" s="95"/>
      <c r="AY8" s="95"/>
      <c r="AZ8" s="95"/>
      <c r="BA8" s="95"/>
      <c r="BB8" s="95"/>
      <c r="BC8" s="95"/>
      <c r="BD8" s="95"/>
      <c r="BE8" s="95"/>
      <c r="BF8" s="95"/>
      <c r="BG8" s="95"/>
      <c r="BH8" s="95"/>
      <c r="BI8" s="95"/>
      <c r="BJ8" s="95"/>
      <c r="BK8" s="95"/>
      <c r="BL8" s="95"/>
      <c r="BM8" s="95"/>
      <c r="BN8" s="21"/>
    </row>
    <row r="10" spans="1:66" ht="16">
      <c r="A10" s="24"/>
      <c r="B10" s="24"/>
      <c r="C10" s="24"/>
      <c r="D10" s="24">
        <v>1</v>
      </c>
      <c r="E10" s="24" t="s">
        <v>212</v>
      </c>
      <c r="F10" s="24"/>
      <c r="G10" s="24"/>
      <c r="H10" s="24"/>
      <c r="I10" s="24"/>
      <c r="J10" s="24"/>
      <c r="K10" s="24"/>
      <c r="L10" s="24"/>
      <c r="M10" s="24"/>
      <c r="N10" s="24"/>
      <c r="O10" s="24"/>
      <c r="P10" s="24"/>
      <c r="Q10" s="24"/>
      <c r="R10" s="24"/>
      <c r="S10" s="24"/>
      <c r="T10" s="24"/>
      <c r="U10" s="24"/>
      <c r="V10" s="24"/>
      <c r="W10" s="24"/>
      <c r="X10" s="24"/>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c r="BM10" s="24"/>
    </row>
    <row r="11" spans="1:66">
      <c r="F11" s="18"/>
      <c r="G11" s="17"/>
    </row>
    <row r="12" spans="1:66" ht="14" thickBot="1">
      <c r="A12" s="25"/>
      <c r="B12" s="25"/>
      <c r="C12" s="25"/>
      <c r="D12" s="25"/>
      <c r="E12" s="25" t="s">
        <v>387</v>
      </c>
      <c r="F12" s="25" t="s">
        <v>211</v>
      </c>
      <c r="G12" s="25"/>
      <c r="H12" s="25"/>
      <c r="I12" s="25"/>
      <c r="J12" s="25"/>
      <c r="K12" s="25"/>
      <c r="L12" s="25"/>
      <c r="M12" s="25"/>
      <c r="N12" s="25"/>
      <c r="O12" s="25"/>
      <c r="P12" s="25"/>
      <c r="Q12" s="25"/>
      <c r="R12" s="25"/>
      <c r="S12" s="25"/>
      <c r="T12" s="25"/>
      <c r="U12" s="25"/>
      <c r="V12" s="25"/>
      <c r="W12" s="25"/>
      <c r="X12" s="25"/>
      <c r="Y12" s="25"/>
      <c r="Z12" s="25"/>
      <c r="AA12" s="25"/>
      <c r="AB12" s="25"/>
      <c r="AC12" s="25"/>
      <c r="AD12" s="25"/>
      <c r="AE12" s="25"/>
      <c r="AF12" s="25"/>
      <c r="AG12" s="25"/>
      <c r="AH12" s="25"/>
      <c r="AI12" s="25"/>
      <c r="AJ12" s="25"/>
      <c r="AK12" s="25"/>
      <c r="AL12" s="25"/>
      <c r="AM12" s="25"/>
      <c r="AN12" s="25"/>
      <c r="AO12" s="25"/>
      <c r="AP12" s="25"/>
      <c r="AQ12" s="25"/>
      <c r="AR12" s="25"/>
      <c r="AS12" s="25"/>
      <c r="AT12" s="25"/>
      <c r="AU12" s="25"/>
      <c r="AV12" s="25"/>
      <c r="AW12" s="25"/>
      <c r="AX12" s="25"/>
      <c r="AY12" s="25"/>
      <c r="AZ12" s="25"/>
      <c r="BA12" s="25"/>
      <c r="BB12" s="25"/>
      <c r="BC12" s="25"/>
      <c r="BD12" s="25"/>
      <c r="BE12" s="25"/>
      <c r="BF12" s="25"/>
      <c r="BG12" s="25"/>
      <c r="BH12" s="25"/>
      <c r="BI12" s="25"/>
      <c r="BJ12" s="25"/>
      <c r="BK12" s="25"/>
      <c r="BL12" s="25"/>
      <c r="BM12" s="25"/>
    </row>
    <row r="13" spans="1:66">
      <c r="F13" s="18"/>
      <c r="G13" s="17"/>
    </row>
    <row r="14" spans="1:66">
      <c r="F14" s="18" t="s">
        <v>176</v>
      </c>
      <c r="G14" s="17"/>
      <c r="I14"/>
    </row>
    <row r="15" spans="1:66">
      <c r="F15" s="18"/>
      <c r="G15" s="17"/>
    </row>
    <row r="16" spans="1:66">
      <c r="F16" s="18" t="s">
        <v>213</v>
      </c>
      <c r="G16" s="17"/>
      <c r="I16"/>
    </row>
    <row r="17" spans="1:66">
      <c r="F17" s="18"/>
      <c r="G17" s="17"/>
    </row>
    <row r="18" spans="1:66" ht="16">
      <c r="A18" s="24"/>
      <c r="B18" s="24"/>
      <c r="C18" s="24"/>
      <c r="D18" s="24">
        <v>2</v>
      </c>
      <c r="E18" s="24" t="s">
        <v>249</v>
      </c>
      <c r="F18" s="24"/>
      <c r="G18" s="24"/>
      <c r="H18" s="24"/>
      <c r="I18" s="24"/>
      <c r="J18" s="24"/>
      <c r="K18" s="24"/>
      <c r="L18" s="24"/>
      <c r="M18" s="24"/>
      <c r="N18" s="24"/>
      <c r="O18" s="24"/>
      <c r="P18" s="24"/>
      <c r="Q18" s="24"/>
      <c r="R18" s="24"/>
      <c r="S18" s="24"/>
      <c r="T18" s="24"/>
      <c r="U18" s="24"/>
      <c r="V18" s="24"/>
      <c r="W18" s="24"/>
      <c r="X18" s="24"/>
      <c r="Y18" s="24"/>
      <c r="Z18" s="24"/>
      <c r="AA18" s="24"/>
      <c r="AB18" s="24"/>
      <c r="AC18" s="24"/>
      <c r="AD18" s="24"/>
      <c r="AE18" s="24"/>
      <c r="AF18" s="24"/>
      <c r="AG18" s="24"/>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c r="BM18" s="24"/>
      <c r="BN18" s="24"/>
    </row>
    <row r="19" spans="1:66">
      <c r="F19" s="18"/>
      <c r="G19" s="17"/>
    </row>
    <row r="20" spans="1:66" ht="14" thickBot="1">
      <c r="A20" s="25"/>
      <c r="B20" s="25"/>
      <c r="C20" s="25"/>
      <c r="D20" s="25"/>
      <c r="E20" s="25" t="s">
        <v>388</v>
      </c>
      <c r="F20" s="25" t="s">
        <v>250</v>
      </c>
      <c r="G20" s="25"/>
      <c r="H20" s="25"/>
      <c r="I20" s="25"/>
      <c r="J20" s="25"/>
      <c r="K20" s="25"/>
      <c r="L20" s="25"/>
      <c r="M20" s="25"/>
      <c r="N20" s="25"/>
      <c r="O20" s="25"/>
      <c r="P20" s="25"/>
      <c r="Q20" s="25"/>
      <c r="R20" s="25"/>
      <c r="S20" s="25"/>
      <c r="T20" s="25"/>
      <c r="U20" s="25"/>
      <c r="V20" s="25"/>
      <c r="W20" s="25"/>
      <c r="X20" s="25"/>
      <c r="Y20" s="25"/>
      <c r="Z20" s="25"/>
      <c r="AA20" s="25"/>
      <c r="AB20" s="25"/>
      <c r="AC20" s="25"/>
      <c r="AD20" s="25"/>
      <c r="AE20" s="25"/>
      <c r="AF20" s="25"/>
      <c r="AG20" s="25"/>
      <c r="AH20" s="25"/>
      <c r="AI20" s="25"/>
      <c r="AJ20" s="25"/>
      <c r="AK20" s="25"/>
      <c r="AL20" s="25"/>
      <c r="AM20" s="25"/>
      <c r="AN20" s="25"/>
      <c r="AO20" s="25"/>
      <c r="AP20" s="25"/>
      <c r="AQ20" s="25"/>
      <c r="AR20" s="25"/>
      <c r="AS20" s="25"/>
      <c r="AT20" s="25"/>
      <c r="AU20" s="25"/>
      <c r="AV20" s="25"/>
      <c r="AW20" s="25"/>
      <c r="AX20" s="25"/>
      <c r="AY20" s="25"/>
      <c r="AZ20" s="25"/>
      <c r="BA20" s="25"/>
      <c r="BB20" s="25"/>
      <c r="BC20" s="25"/>
      <c r="BD20" s="25"/>
      <c r="BE20" s="25"/>
      <c r="BF20" s="25"/>
      <c r="BG20" s="25"/>
      <c r="BH20" s="25"/>
      <c r="BI20" s="25"/>
      <c r="BJ20" s="25"/>
      <c r="BK20" s="25"/>
      <c r="BL20" s="25"/>
      <c r="BM20" s="25"/>
      <c r="BN20" s="25"/>
    </row>
    <row r="21" spans="1:66">
      <c r="F21" s="18"/>
      <c r="G21" s="17"/>
    </row>
    <row r="22" spans="1:66" ht="13">
      <c r="F22" s="26" t="s">
        <v>251</v>
      </c>
      <c r="G22" s="17"/>
      <c r="I22" s="46" t="s">
        <v>256</v>
      </c>
    </row>
    <row r="23" spans="1:66">
      <c r="F23" s="18"/>
      <c r="G23" s="17"/>
    </row>
    <row r="24" spans="1:66">
      <c r="F24" s="37" t="s">
        <v>252</v>
      </c>
      <c r="G24" s="17" t="str">
        <f t="shared" ref="G24:G29" si="0">cstNominalUnit</f>
        <v>£ Nominal</v>
      </c>
      <c r="I24" s="82">
        <f>cOutputs!I25</f>
        <v>108919988.90321052</v>
      </c>
      <c r="AA24" s="82">
        <f>cOutputs!AA25</f>
        <v>3045073.0031171548</v>
      </c>
      <c r="AB24" s="82">
        <f>cOutputs!AB25</f>
        <v>2910738.75</v>
      </c>
      <c r="AC24" s="82">
        <f>cOutputs!AC25</f>
        <v>2402943.1855648537</v>
      </c>
      <c r="AD24" s="82">
        <f>cOutputs!AD25</f>
        <v>2464003.1386435665</v>
      </c>
      <c r="AE24" s="82">
        <f>cOutputs!AE25</f>
        <v>2574911.2799505424</v>
      </c>
      <c r="AF24" s="82">
        <f>cOutputs!AF25</f>
        <v>2590831.1048783096</v>
      </c>
      <c r="AG24" s="82">
        <f>cOutputs!AG25</f>
        <v>2814891.6486798846</v>
      </c>
      <c r="AH24" s="82">
        <f>cOutputs!AH25</f>
        <v>2776976.9639584702</v>
      </c>
      <c r="AI24" s="82">
        <f>cOutputs!AI25</f>
        <v>2793455.5336361132</v>
      </c>
      <c r="AJ24" s="82">
        <f>cOutputs!AJ25</f>
        <v>2864469.7034477959</v>
      </c>
      <c r="AK24" s="82">
        <f>cOutputs!AK25</f>
        <v>2994957.8517065463</v>
      </c>
      <c r="AL24" s="82">
        <f>cOutputs!AL25</f>
        <v>3195387.4212059551</v>
      </c>
      <c r="AM24" s="82">
        <f>cOutputs!AM25</f>
        <v>3088562.8377815615</v>
      </c>
      <c r="AN24" s="82">
        <f>cOutputs!AN25</f>
        <v>3230112.7468674565</v>
      </c>
      <c r="AO24" s="82">
        <f>cOutputs!AO25</f>
        <v>3247645.4464756772</v>
      </c>
      <c r="AP24" s="82">
        <f>cOutputs!AP25</f>
        <v>3330242.9153075623</v>
      </c>
      <c r="AQ24" s="82">
        <f>cOutputs!AQ25</f>
        <v>3696424.0987755307</v>
      </c>
      <c r="AR24" s="82">
        <f>cOutputs!AR25</f>
        <v>3501813.1769409515</v>
      </c>
      <c r="AS24" s="82">
        <f>cOutputs!AS25</f>
        <v>3590895.2440439588</v>
      </c>
      <c r="AT24" s="82">
        <f>cOutputs!AT25</f>
        <v>3757487.9804268619</v>
      </c>
      <c r="AU24" s="82">
        <f>cOutputs!AU25</f>
        <v>3775937.051582966</v>
      </c>
      <c r="AV24" s="82">
        <f>cOutputs!AV25</f>
        <v>4118503.7433783379</v>
      </c>
      <c r="AW24" s="82">
        <f>cOutputs!AW25</f>
        <v>4052758.7568085203</v>
      </c>
      <c r="AX24" s="82">
        <f>cOutputs!AX25</f>
        <v>4071589.809696231</v>
      </c>
      <c r="AY24" s="82">
        <f>cOutputs!AY25</f>
        <v>4175214.5000939886</v>
      </c>
      <c r="AZ24" s="82">
        <f>cOutputs!AZ25</f>
        <v>4371322.3842407493</v>
      </c>
      <c r="BA24" s="82">
        <f>cOutputs!BA25</f>
        <v>4676217.01377388</v>
      </c>
      <c r="BB24" s="82">
        <f>cOutputs!BB25</f>
        <v>4502235.4817097001</v>
      </c>
      <c r="BC24" s="82">
        <f>cOutputs!BC25</f>
        <v>4715024.5082963761</v>
      </c>
      <c r="BD24" s="82">
        <f>cOutputs!BD25</f>
        <v>4734405.2354292851</v>
      </c>
      <c r="BE24" s="82">
        <f>cOutputs!BE25</f>
        <v>4854956.3867917685</v>
      </c>
      <c r="BG24" s="82">
        <f>cOutputs!BG25</f>
        <v>3045073.0031171548</v>
      </c>
      <c r="BH24" s="82">
        <f>cOutputs!BH25</f>
        <v>12943427.459037272</v>
      </c>
      <c r="BI24" s="82">
        <f>cOutputs!BI25</f>
        <v>14244751.70142881</v>
      </c>
      <c r="BJ24" s="82">
        <f>cOutputs!BJ25</f>
        <v>16091951.367638212</v>
      </c>
      <c r="BK24" s="82">
        <f>cOutputs!BK25</f>
        <v>18322557.55177027</v>
      </c>
      <c r="BL24" s="82">
        <f>cOutputs!BL25</f>
        <v>20789389.194217827</v>
      </c>
      <c r="BM24" s="82">
        <f>cOutputs!BM25</f>
        <v>23482838.626001012</v>
      </c>
    </row>
    <row r="25" spans="1:66" outlineLevel="1">
      <c r="F25" s="18" t="s">
        <v>214</v>
      </c>
      <c r="G25" s="17" t="str">
        <f t="shared" si="0"/>
        <v>£ Nominal</v>
      </c>
      <c r="I25" s="47">
        <f>cOutputs!I26</f>
        <v>0</v>
      </c>
      <c r="AA25" s="47">
        <f>cOutputs!AA26</f>
        <v>0</v>
      </c>
      <c r="AB25" s="47">
        <f>cOutputs!AB26</f>
        <v>0</v>
      </c>
      <c r="AC25" s="47">
        <f>cOutputs!AC26</f>
        <v>0</v>
      </c>
      <c r="AD25" s="47">
        <f>cOutputs!AD26</f>
        <v>0</v>
      </c>
      <c r="AE25" s="47">
        <f>cOutputs!AE26</f>
        <v>0</v>
      </c>
      <c r="AF25" s="47">
        <f>cOutputs!AF26</f>
        <v>0</v>
      </c>
      <c r="AG25" s="47">
        <f>cOutputs!AG26</f>
        <v>0</v>
      </c>
      <c r="AH25" s="47">
        <f>cOutputs!AH26</f>
        <v>0</v>
      </c>
      <c r="AI25" s="47">
        <f>cOutputs!AI26</f>
        <v>0</v>
      </c>
      <c r="AJ25" s="47">
        <f>cOutputs!AJ26</f>
        <v>0</v>
      </c>
      <c r="AK25" s="47">
        <f>cOutputs!AK26</f>
        <v>0</v>
      </c>
      <c r="AL25" s="47">
        <f>cOutputs!AL26</f>
        <v>0</v>
      </c>
      <c r="AM25" s="47">
        <f>cOutputs!AM26</f>
        <v>0</v>
      </c>
      <c r="AN25" s="47">
        <f>cOutputs!AN26</f>
        <v>0</v>
      </c>
      <c r="AO25" s="47">
        <f>cOutputs!AO26</f>
        <v>0</v>
      </c>
      <c r="AP25" s="47">
        <f>cOutputs!AP26</f>
        <v>0</v>
      </c>
      <c r="AQ25" s="47">
        <f>cOutputs!AQ26</f>
        <v>0</v>
      </c>
      <c r="AR25" s="47">
        <f>cOutputs!AR26</f>
        <v>0</v>
      </c>
      <c r="AS25" s="47">
        <f>cOutputs!AS26</f>
        <v>0</v>
      </c>
      <c r="AT25" s="47">
        <f>cOutputs!AT26</f>
        <v>0</v>
      </c>
      <c r="AU25" s="47">
        <f>cOutputs!AU26</f>
        <v>0</v>
      </c>
      <c r="AV25" s="47">
        <f>cOutputs!AV26</f>
        <v>0</v>
      </c>
      <c r="AW25" s="47">
        <f>cOutputs!AW26</f>
        <v>0</v>
      </c>
      <c r="AX25" s="47">
        <f>cOutputs!AX26</f>
        <v>0</v>
      </c>
      <c r="AY25" s="47">
        <f>cOutputs!AY26</f>
        <v>0</v>
      </c>
      <c r="AZ25" s="47">
        <f>cOutputs!AZ26</f>
        <v>0</v>
      </c>
      <c r="BA25" s="47">
        <f>cOutputs!BA26</f>
        <v>0</v>
      </c>
      <c r="BB25" s="47">
        <f>cOutputs!BB26</f>
        <v>0</v>
      </c>
      <c r="BC25" s="47">
        <f>cOutputs!BC26</f>
        <v>0</v>
      </c>
      <c r="BD25" s="47">
        <f>cOutputs!BD26</f>
        <v>0</v>
      </c>
      <c r="BE25" s="47">
        <f>cOutputs!BE26</f>
        <v>0</v>
      </c>
      <c r="BG25" s="47">
        <f>cOutputs!BG26</f>
        <v>0</v>
      </c>
      <c r="BH25" s="47">
        <f>cOutputs!BH26</f>
        <v>0</v>
      </c>
      <c r="BI25" s="47">
        <f>cOutputs!BI26</f>
        <v>0</v>
      </c>
      <c r="BJ25" s="47">
        <f>cOutputs!BJ26</f>
        <v>0</v>
      </c>
      <c r="BK25" s="47">
        <f>cOutputs!BK26</f>
        <v>0</v>
      </c>
      <c r="BL25" s="47">
        <f>cOutputs!BL26</f>
        <v>0</v>
      </c>
      <c r="BM25" s="47">
        <f>cOutputs!BM26</f>
        <v>0</v>
      </c>
    </row>
    <row r="26" spans="1:66" outlineLevel="1">
      <c r="F26" s="18" t="s">
        <v>42</v>
      </c>
      <c r="G26" s="17" t="str">
        <f t="shared" si="0"/>
        <v>£ Nominal</v>
      </c>
      <c r="I26" s="47">
        <f>cOutputs!I27</f>
        <v>94472984.710976586</v>
      </c>
      <c r="AA26" s="47">
        <f>cOutputs!AA27</f>
        <v>0</v>
      </c>
      <c r="AB26" s="47">
        <f>cOutputs!AB27</f>
        <v>2151871.7050209204</v>
      </c>
      <c r="AC26" s="47">
        <f>cOutputs!AC27</f>
        <v>2205668.4976464435</v>
      </c>
      <c r="AD26" s="47">
        <f>cOutputs!AD27</f>
        <v>2260810.2100876044</v>
      </c>
      <c r="AE26" s="47">
        <f>cOutputs!AE27</f>
        <v>2317330.4653397943</v>
      </c>
      <c r="AF26" s="47">
        <f>cOutputs!AF27</f>
        <v>2375263.7269732892</v>
      </c>
      <c r="AG26" s="47">
        <f>cOutputs!AG27</f>
        <v>2434645.320147621</v>
      </c>
      <c r="AH26" s="47">
        <f>cOutputs!AH27</f>
        <v>2495511.4531513113</v>
      </c>
      <c r="AI26" s="47">
        <f>cOutputs!AI27</f>
        <v>2557899.2394800941</v>
      </c>
      <c r="AJ26" s="47">
        <f>cOutputs!AJ27</f>
        <v>2621846.7204670957</v>
      </c>
      <c r="AK26" s="47">
        <f>cOutputs!AK27</f>
        <v>2687392.8884787722</v>
      </c>
      <c r="AL26" s="47">
        <f>cOutputs!AL27</f>
        <v>2754577.7106907414</v>
      </c>
      <c r="AM26" s="47">
        <f>cOutputs!AM27</f>
        <v>2823442.1534580104</v>
      </c>
      <c r="AN26" s="47">
        <f>cOutputs!AN27</f>
        <v>2894028.2072944604</v>
      </c>
      <c r="AO26" s="47">
        <f>cOutputs!AO27</f>
        <v>2966378.9124768213</v>
      </c>
      <c r="AP26" s="47">
        <f>cOutputs!AP27</f>
        <v>3040538.3852887414</v>
      </c>
      <c r="AQ26" s="47">
        <f>cOutputs!AQ27</f>
        <v>3116551.8449209598</v>
      </c>
      <c r="AR26" s="47">
        <f>cOutputs!AR27</f>
        <v>3194465.6410439839</v>
      </c>
      <c r="AS26" s="47">
        <f>cOutputs!AS27</f>
        <v>3274327.2820700826</v>
      </c>
      <c r="AT26" s="47">
        <f>cOutputs!AT27</f>
        <v>3356185.4641218344</v>
      </c>
      <c r="AU26" s="47">
        <f>cOutputs!AU27</f>
        <v>3440090.1007248801</v>
      </c>
      <c r="AV26" s="47">
        <f>cOutputs!AV27</f>
        <v>3526092.3532430013</v>
      </c>
      <c r="AW26" s="47">
        <f>cOutputs!AW27</f>
        <v>3614244.6620740765</v>
      </c>
      <c r="AX26" s="47">
        <f>cOutputs!AX27</f>
        <v>3704600.7786259279</v>
      </c>
      <c r="AY26" s="47">
        <f>cOutputs!AY27</f>
        <v>3797215.798091576</v>
      </c>
      <c r="AZ26" s="47">
        <f>cOutputs!AZ27</f>
        <v>3892146.1930438648</v>
      </c>
      <c r="BA26" s="47">
        <f>cOutputs!BA27</f>
        <v>3989449.8478699611</v>
      </c>
      <c r="BB26" s="47">
        <f>cOutputs!BB27</f>
        <v>4089186.0940667097</v>
      </c>
      <c r="BC26" s="47">
        <f>cOutputs!BC27</f>
        <v>4191415.7464183774</v>
      </c>
      <c r="BD26" s="47">
        <f>cOutputs!BD27</f>
        <v>4296201.1400788361</v>
      </c>
      <c r="BE26" s="47">
        <f>cOutputs!BE27</f>
        <v>4403606.1685808068</v>
      </c>
      <c r="BG26" s="47">
        <f>cOutputs!BG27</f>
        <v>0</v>
      </c>
      <c r="BH26" s="47">
        <f>cOutputs!BH27</f>
        <v>11310944.605068052</v>
      </c>
      <c r="BI26" s="47">
        <f>cOutputs!BI27</f>
        <v>12797295.621724894</v>
      </c>
      <c r="BJ26" s="47">
        <f>cOutputs!BJ27</f>
        <v>14478965.369208774</v>
      </c>
      <c r="BK26" s="47">
        <f>cOutputs!BK27</f>
        <v>16381620.332881741</v>
      </c>
      <c r="BL26" s="47">
        <f>cOutputs!BL27</f>
        <v>18534299.785078447</v>
      </c>
      <c r="BM26" s="47">
        <f>cOutputs!BM27</f>
        <v>20969858.99701469</v>
      </c>
    </row>
    <row r="27" spans="1:66" outlineLevel="1">
      <c r="F27" s="18" t="s">
        <v>227</v>
      </c>
      <c r="G27" s="17" t="str">
        <f t="shared" si="0"/>
        <v>£ Nominal</v>
      </c>
      <c r="I27" s="47">
        <f>cOutputs!I28</f>
        <v>9930143.9513402898</v>
      </c>
      <c r="AA27" s="47">
        <f>cOutputs!AA28</f>
        <v>0</v>
      </c>
      <c r="AB27" s="47">
        <f>cOutputs!AB28</f>
        <v>727931.16736401664</v>
      </c>
      <c r="AC27" s="47">
        <f>cOutputs!AC28</f>
        <v>165410.73397489538</v>
      </c>
      <c r="AD27" s="47">
        <f>cOutputs!AD28</f>
        <v>170373.05599414228</v>
      </c>
      <c r="AE27" s="47">
        <f>cOutputs!AE28</f>
        <v>223776.34587207329</v>
      </c>
      <c r="AF27" s="47">
        <f>cOutputs!AF28</f>
        <v>180748.77510418557</v>
      </c>
      <c r="AG27" s="47">
        <f>cOutputs!AG28</f>
        <v>344383.16764740366</v>
      </c>
      <c r="AH27" s="47">
        <f>cOutputs!AH28</f>
        <v>244526.45509575302</v>
      </c>
      <c r="AI27" s="47">
        <f>cOutputs!AI28</f>
        <v>197509.06677327139</v>
      </c>
      <c r="AJ27" s="47">
        <f>cOutputs!AJ28</f>
        <v>203434.33877646955</v>
      </c>
      <c r="AK27" s="47">
        <f>cOutputs!AK28</f>
        <v>267200.65969741694</v>
      </c>
      <c r="AL27" s="47">
        <f>cOutputs!AL28</f>
        <v>399234.47787894559</v>
      </c>
      <c r="AM27" s="47">
        <f>cOutputs!AM28</f>
        <v>222298.19470819522</v>
      </c>
      <c r="AN27" s="47">
        <f>cOutputs!AN28</f>
        <v>291977.37526917929</v>
      </c>
      <c r="AO27" s="47">
        <f>cOutputs!AO28</f>
        <v>235836.15476592435</v>
      </c>
      <c r="AP27" s="47">
        <f>cOutputs!AP28</f>
        <v>242911.2394089021</v>
      </c>
      <c r="AQ27" s="47">
        <f>cOutputs!AQ28</f>
        <v>531675.16452635406</v>
      </c>
      <c r="AR27" s="47">
        <f>cOutputs!AR28</f>
        <v>257704.53388890426</v>
      </c>
      <c r="AS27" s="47">
        <f>cOutputs!AS28</f>
        <v>265435.66990557138</v>
      </c>
      <c r="AT27" s="47">
        <f>cOutputs!AT28</f>
        <v>348636.25547467323</v>
      </c>
      <c r="AU27" s="47">
        <f>cOutputs!AU28</f>
        <v>281600.70220282074</v>
      </c>
      <c r="AV27" s="47">
        <f>cOutputs!AV28</f>
        <v>536537.75402041385</v>
      </c>
      <c r="AW27" s="47">
        <f>cOutputs!AW28</f>
        <v>380964.24953607342</v>
      </c>
      <c r="AX27" s="47">
        <f>cOutputs!AX28</f>
        <v>307712.6905159817</v>
      </c>
      <c r="AY27" s="47">
        <f>cOutputs!AY28</f>
        <v>316944.07123146125</v>
      </c>
      <c r="AZ27" s="47">
        <f>cOutputs!AZ28</f>
        <v>416289.92150280491</v>
      </c>
      <c r="BA27" s="47">
        <f>cOutputs!BA28</f>
        <v>621994.30811901635</v>
      </c>
      <c r="BB27" s="47">
        <f>cOutputs!BB28</f>
        <v>346333.34412454092</v>
      </c>
      <c r="BC27" s="47">
        <f>cOutputs!BC28</f>
        <v>454891.23705399554</v>
      </c>
      <c r="BD27" s="47">
        <f>cOutputs!BD28</f>
        <v>367425.0447817255</v>
      </c>
      <c r="BE27" s="47">
        <f>cOutputs!BE28</f>
        <v>378447.79612517724</v>
      </c>
      <c r="BG27" s="47">
        <f>cOutputs!BG28</f>
        <v>0</v>
      </c>
      <c r="BH27" s="47">
        <f>cOutputs!BH28</f>
        <v>1468240.0783093132</v>
      </c>
      <c r="BI27" s="47">
        <f>cOutputs!BI28</f>
        <v>1257053.6879903148</v>
      </c>
      <c r="BJ27" s="47">
        <f>cOutputs!BJ28</f>
        <v>1392257.4420311467</v>
      </c>
      <c r="BK27" s="47">
        <f>cOutputs!BK28</f>
        <v>1685052.3259983235</v>
      </c>
      <c r="BL27" s="47">
        <f>cOutputs!BL28</f>
        <v>1958448.6868067351</v>
      </c>
      <c r="BM27" s="47">
        <f>cOutputs!BM28</f>
        <v>2169091.7302044556</v>
      </c>
    </row>
    <row r="28" spans="1:66" outlineLevel="1">
      <c r="F28" s="18" t="s">
        <v>121</v>
      </c>
      <c r="G28" s="17" t="str">
        <f t="shared" si="0"/>
        <v>£ Nominal</v>
      </c>
      <c r="I28" s="47">
        <f>cOutputs!I29</f>
        <v>0</v>
      </c>
      <c r="AA28" s="47">
        <f>cOutputs!AA29</f>
        <v>0</v>
      </c>
      <c r="AB28" s="47">
        <f>cOutputs!AB29</f>
        <v>0</v>
      </c>
      <c r="AC28" s="47">
        <f>cOutputs!AC29</f>
        <v>0</v>
      </c>
      <c r="AD28" s="47">
        <f>cOutputs!AD29</f>
        <v>0</v>
      </c>
      <c r="AE28" s="47">
        <f>cOutputs!AE29</f>
        <v>0</v>
      </c>
      <c r="AF28" s="47">
        <f>cOutputs!AF29</f>
        <v>0</v>
      </c>
      <c r="AG28" s="47">
        <f>cOutputs!AG29</f>
        <v>0</v>
      </c>
      <c r="AH28" s="47">
        <f>cOutputs!AH29</f>
        <v>0</v>
      </c>
      <c r="AI28" s="47">
        <f>cOutputs!AI29</f>
        <v>0</v>
      </c>
      <c r="AJ28" s="47">
        <f>cOutputs!AJ29</f>
        <v>0</v>
      </c>
      <c r="AK28" s="47">
        <f>cOutputs!AK29</f>
        <v>0</v>
      </c>
      <c r="AL28" s="47">
        <f>cOutputs!AL29</f>
        <v>0</v>
      </c>
      <c r="AM28" s="47">
        <f>cOutputs!AM29</f>
        <v>0</v>
      </c>
      <c r="AN28" s="47">
        <f>cOutputs!AN29</f>
        <v>0</v>
      </c>
      <c r="AO28" s="47">
        <f>cOutputs!AO29</f>
        <v>0</v>
      </c>
      <c r="AP28" s="47">
        <f>cOutputs!AP29</f>
        <v>0</v>
      </c>
      <c r="AQ28" s="47">
        <f>cOutputs!AQ29</f>
        <v>0</v>
      </c>
      <c r="AR28" s="47">
        <f>cOutputs!AR29</f>
        <v>0</v>
      </c>
      <c r="AS28" s="47">
        <f>cOutputs!AS29</f>
        <v>0</v>
      </c>
      <c r="AT28" s="47">
        <f>cOutputs!AT29</f>
        <v>0</v>
      </c>
      <c r="AU28" s="47">
        <f>cOutputs!AU29</f>
        <v>0</v>
      </c>
      <c r="AV28" s="47">
        <f>cOutputs!AV29</f>
        <v>0</v>
      </c>
      <c r="AW28" s="47">
        <f>cOutputs!AW29</f>
        <v>0</v>
      </c>
      <c r="AX28" s="47">
        <f>cOutputs!AX29</f>
        <v>0</v>
      </c>
      <c r="AY28" s="47">
        <f>cOutputs!AY29</f>
        <v>0</v>
      </c>
      <c r="AZ28" s="47">
        <f>cOutputs!AZ29</f>
        <v>0</v>
      </c>
      <c r="BA28" s="47">
        <f>cOutputs!BA29</f>
        <v>0</v>
      </c>
      <c r="BB28" s="47">
        <f>cOutputs!BB29</f>
        <v>0</v>
      </c>
      <c r="BC28" s="47">
        <f>cOutputs!BC29</f>
        <v>0</v>
      </c>
      <c r="BD28" s="47">
        <f>cOutputs!BD29</f>
        <v>0</v>
      </c>
      <c r="BE28" s="47">
        <f>cOutputs!BE29</f>
        <v>0</v>
      </c>
      <c r="BG28" s="47">
        <f>cOutputs!BG29</f>
        <v>0</v>
      </c>
      <c r="BH28" s="47">
        <f>cOutputs!BH29</f>
        <v>0</v>
      </c>
      <c r="BI28" s="47">
        <f>cOutputs!BI29</f>
        <v>0</v>
      </c>
      <c r="BJ28" s="47">
        <f>cOutputs!BJ29</f>
        <v>0</v>
      </c>
      <c r="BK28" s="47">
        <f>cOutputs!BK29</f>
        <v>0</v>
      </c>
      <c r="BL28" s="47">
        <f>cOutputs!BL29</f>
        <v>0</v>
      </c>
      <c r="BM28" s="47">
        <f>cOutputs!BM29</f>
        <v>0</v>
      </c>
    </row>
    <row r="29" spans="1:66" outlineLevel="1">
      <c r="F29" s="18" t="s">
        <v>245</v>
      </c>
      <c r="G29" s="17" t="str">
        <f t="shared" si="0"/>
        <v>£ Nominal</v>
      </c>
      <c r="I29" s="47">
        <f>cOutputs!I30</f>
        <v>4516860.2408936685</v>
      </c>
      <c r="AA29" s="47">
        <f>cOutputs!AA30</f>
        <v>3045073.0031171548</v>
      </c>
      <c r="AB29" s="47">
        <f>cOutputs!AB30</f>
        <v>30935.87761506276</v>
      </c>
      <c r="AC29" s="47">
        <f>cOutputs!AC30</f>
        <v>31863.953943514643</v>
      </c>
      <c r="AD29" s="47">
        <f>cOutputs!AD30</f>
        <v>32819.872561820084</v>
      </c>
      <c r="AE29" s="47">
        <f>cOutputs!AE30</f>
        <v>33804.468738674688</v>
      </c>
      <c r="AF29" s="47">
        <f>cOutputs!AF30</f>
        <v>34818.602800834931</v>
      </c>
      <c r="AG29" s="47">
        <f>cOutputs!AG30</f>
        <v>35863.160884859979</v>
      </c>
      <c r="AH29" s="47">
        <f>cOutputs!AH30</f>
        <v>36939.055711405781</v>
      </c>
      <c r="AI29" s="47">
        <f>cOutputs!AI30</f>
        <v>38047.227382747951</v>
      </c>
      <c r="AJ29" s="47">
        <f>cOutputs!AJ30</f>
        <v>39188.644204230397</v>
      </c>
      <c r="AK29" s="47">
        <f>cOutputs!AK30</f>
        <v>40364.303530357312</v>
      </c>
      <c r="AL29" s="47">
        <f>cOutputs!AL30</f>
        <v>41575.232636268032</v>
      </c>
      <c r="AM29" s="47">
        <f>cOutputs!AM30</f>
        <v>42822.489615356069</v>
      </c>
      <c r="AN29" s="47">
        <f>cOutputs!AN30</f>
        <v>44107.164303816753</v>
      </c>
      <c r="AO29" s="47">
        <f>cOutputs!AO30</f>
        <v>45430.379232931256</v>
      </c>
      <c r="AP29" s="47">
        <f>cOutputs!AP30</f>
        <v>46793.290609919204</v>
      </c>
      <c r="AQ29" s="47">
        <f>cOutputs!AQ30</f>
        <v>48197.089328216782</v>
      </c>
      <c r="AR29" s="47">
        <f>cOutputs!AR30</f>
        <v>49643.002008063282</v>
      </c>
      <c r="AS29" s="47">
        <f>cOutputs!AS30</f>
        <v>51132.292068305178</v>
      </c>
      <c r="AT29" s="47">
        <f>cOutputs!AT30</f>
        <v>52666.260830354338</v>
      </c>
      <c r="AU29" s="47">
        <f>cOutputs!AU30</f>
        <v>54246.248655264979</v>
      </c>
      <c r="AV29" s="47">
        <f>cOutputs!AV30</f>
        <v>55873.636114922934</v>
      </c>
      <c r="AW29" s="47">
        <f>cOutputs!AW30</f>
        <v>57549.845198370618</v>
      </c>
      <c r="AX29" s="47">
        <f>cOutputs!AX30</f>
        <v>59276.340554321738</v>
      </c>
      <c r="AY29" s="47">
        <f>cOutputs!AY30</f>
        <v>61054.630770951393</v>
      </c>
      <c r="AZ29" s="47">
        <f>cOutputs!AZ30</f>
        <v>62886.269694079936</v>
      </c>
      <c r="BA29" s="47">
        <f>cOutputs!BA30</f>
        <v>64772.857784902342</v>
      </c>
      <c r="BB29" s="47">
        <f>cOutputs!BB30</f>
        <v>66716.043518449413</v>
      </c>
      <c r="BC29" s="47">
        <f>cOutputs!BC30</f>
        <v>68717.524824002889</v>
      </c>
      <c r="BD29" s="47">
        <f>cOutputs!BD30</f>
        <v>70779.050568722974</v>
      </c>
      <c r="BE29" s="47">
        <f>cOutputs!BE30</f>
        <v>72902.422085784667</v>
      </c>
      <c r="BG29" s="47">
        <f>cOutputs!BG30</f>
        <v>3045073.0031171548</v>
      </c>
      <c r="BH29" s="47">
        <f>cOutputs!BH30</f>
        <v>164242.77565990709</v>
      </c>
      <c r="BI29" s="47">
        <f>cOutputs!BI30</f>
        <v>190402.39171360142</v>
      </c>
      <c r="BJ29" s="47">
        <f>cOutputs!BJ30</f>
        <v>220728.55639829132</v>
      </c>
      <c r="BK29" s="47">
        <f>cOutputs!BK30</f>
        <v>255884.89289020456</v>
      </c>
      <c r="BL29" s="47">
        <f>cOutputs!BL30</f>
        <v>296640.7223326466</v>
      </c>
      <c r="BM29" s="47">
        <f>cOutputs!BM30</f>
        <v>343887.89878186228</v>
      </c>
    </row>
    <row r="30" spans="1:66" outlineLevel="1">
      <c r="F30" s="18"/>
      <c r="G30" s="17"/>
      <c r="I30"/>
    </row>
    <row r="31" spans="1:66" outlineLevel="1">
      <c r="A31" s="19">
        <f>SUM(C31:BM31)</f>
        <v>0</v>
      </c>
      <c r="F31" s="27" t="s">
        <v>329</v>
      </c>
      <c r="G31" s="17"/>
      <c r="AA31" s="19">
        <f t="shared" ref="AA31:BE31" si="1">IF(ABS(SUM(AA25:AA29)-AA24)&lt;eTol,0,1)</f>
        <v>0</v>
      </c>
      <c r="AB31" s="19">
        <f t="shared" si="1"/>
        <v>0</v>
      </c>
      <c r="AC31" s="19">
        <f t="shared" si="1"/>
        <v>0</v>
      </c>
      <c r="AD31" s="19">
        <f t="shared" si="1"/>
        <v>0</v>
      </c>
      <c r="AE31" s="19">
        <f t="shared" si="1"/>
        <v>0</v>
      </c>
      <c r="AF31" s="19">
        <f t="shared" si="1"/>
        <v>0</v>
      </c>
      <c r="AG31" s="19">
        <f t="shared" si="1"/>
        <v>0</v>
      </c>
      <c r="AH31" s="19">
        <f t="shared" si="1"/>
        <v>0</v>
      </c>
      <c r="AI31" s="19">
        <f t="shared" si="1"/>
        <v>0</v>
      </c>
      <c r="AJ31" s="19">
        <f t="shared" si="1"/>
        <v>0</v>
      </c>
      <c r="AK31" s="19">
        <f t="shared" si="1"/>
        <v>0</v>
      </c>
      <c r="AL31" s="19">
        <f t="shared" si="1"/>
        <v>0</v>
      </c>
      <c r="AM31" s="19">
        <f t="shared" si="1"/>
        <v>0</v>
      </c>
      <c r="AN31" s="19">
        <f t="shared" si="1"/>
        <v>0</v>
      </c>
      <c r="AO31" s="19">
        <f t="shared" si="1"/>
        <v>0</v>
      </c>
      <c r="AP31" s="19">
        <f t="shared" si="1"/>
        <v>0</v>
      </c>
      <c r="AQ31" s="19">
        <f t="shared" si="1"/>
        <v>0</v>
      </c>
      <c r="AR31" s="19">
        <f t="shared" si="1"/>
        <v>0</v>
      </c>
      <c r="AS31" s="19">
        <f t="shared" si="1"/>
        <v>0</v>
      </c>
      <c r="AT31" s="19">
        <f t="shared" si="1"/>
        <v>0</v>
      </c>
      <c r="AU31" s="19">
        <f t="shared" si="1"/>
        <v>0</v>
      </c>
      <c r="AV31" s="19">
        <f t="shared" si="1"/>
        <v>0</v>
      </c>
      <c r="AW31" s="19">
        <f t="shared" si="1"/>
        <v>0</v>
      </c>
      <c r="AX31" s="19">
        <f t="shared" si="1"/>
        <v>0</v>
      </c>
      <c r="AY31" s="19">
        <f t="shared" si="1"/>
        <v>0</v>
      </c>
      <c r="AZ31" s="19">
        <f t="shared" si="1"/>
        <v>0</v>
      </c>
      <c r="BA31" s="19">
        <f t="shared" si="1"/>
        <v>0</v>
      </c>
      <c r="BB31" s="19">
        <f t="shared" si="1"/>
        <v>0</v>
      </c>
      <c r="BC31" s="19">
        <f t="shared" si="1"/>
        <v>0</v>
      </c>
      <c r="BD31" s="19">
        <f t="shared" si="1"/>
        <v>0</v>
      </c>
      <c r="BE31" s="19">
        <f t="shared" si="1"/>
        <v>0</v>
      </c>
      <c r="BG31" s="19">
        <f t="shared" ref="BG31:BM31" si="2">IF(ABS(SUM(BG25:BG29)-BG24)&lt;eTol,0,1)</f>
        <v>0</v>
      </c>
      <c r="BH31" s="19">
        <f t="shared" si="2"/>
        <v>0</v>
      </c>
      <c r="BI31" s="19">
        <f t="shared" si="2"/>
        <v>0</v>
      </c>
      <c r="BJ31" s="19">
        <f t="shared" si="2"/>
        <v>0</v>
      </c>
      <c r="BK31" s="19">
        <f t="shared" si="2"/>
        <v>0</v>
      </c>
      <c r="BL31" s="19">
        <f t="shared" si="2"/>
        <v>0</v>
      </c>
      <c r="BM31" s="19">
        <f t="shared" si="2"/>
        <v>0</v>
      </c>
    </row>
    <row r="32" spans="1:66">
      <c r="F32" s="18"/>
      <c r="G32" s="17"/>
    </row>
    <row r="33" spans="1:65">
      <c r="F33" s="37" t="s">
        <v>253</v>
      </c>
      <c r="G33" s="17" t="str">
        <f t="shared" ref="G33:G38" si="3">cstNominalUnit</f>
        <v>£ Nominal</v>
      </c>
      <c r="I33" s="82">
        <f>cOutputs!I32</f>
        <v>106786022.28538363</v>
      </c>
      <c r="AA33" s="82">
        <f>cOutputs!AA32</f>
        <v>0</v>
      </c>
      <c r="AB33" s="82">
        <f>cOutputs!AB32</f>
        <v>2929889.531380753</v>
      </c>
      <c r="AC33" s="82">
        <f>cOutputs!AC32</f>
        <v>2422668.4903870295</v>
      </c>
      <c r="AD33" s="82">
        <f>cOutputs!AD32</f>
        <v>2484320.202610408</v>
      </c>
      <c r="AE33" s="82">
        <f>cOutputs!AE32</f>
        <v>2595837.8558363887</v>
      </c>
      <c r="AF33" s="82">
        <f>cOutputs!AF32</f>
        <v>2612385.4780407315</v>
      </c>
      <c r="AG33" s="82">
        <f>cOutputs!AG32</f>
        <v>2837092.6530371788</v>
      </c>
      <c r="AH33" s="82">
        <f>cOutputs!AH32</f>
        <v>2799843.9984464832</v>
      </c>
      <c r="AI33" s="82">
        <f>cOutputs!AI32</f>
        <v>2817008.5791587667</v>
      </c>
      <c r="AJ33" s="82">
        <f>cOutputs!AJ32</f>
        <v>2888729.3403361291</v>
      </c>
      <c r="AK33" s="82">
        <f>cOutputs!AK32</f>
        <v>3019945.2777015292</v>
      </c>
      <c r="AL33" s="82">
        <f>cOutputs!AL32</f>
        <v>3221124.4699807875</v>
      </c>
      <c r="AM33" s="82">
        <f>cOutputs!AM32</f>
        <v>3115071.9980196389</v>
      </c>
      <c r="AN33" s="82">
        <f>cOutputs!AN32</f>
        <v>3257417.1819126764</v>
      </c>
      <c r="AO33" s="82">
        <f>cOutputs!AO32</f>
        <v>3275769.0145722535</v>
      </c>
      <c r="AP33" s="82">
        <f>cOutputs!AP32</f>
        <v>3359210.1904470362</v>
      </c>
      <c r="AQ33" s="82">
        <f>cOutputs!AQ32</f>
        <v>3726260.3921691887</v>
      </c>
      <c r="AR33" s="82">
        <f>cOutputs!AR32</f>
        <v>3532544.5591364191</v>
      </c>
      <c r="AS33" s="82">
        <f>cOutputs!AS32</f>
        <v>3622548.5677052909</v>
      </c>
      <c r="AT33" s="82">
        <f>cOutputs!AT32</f>
        <v>3790090.9037980335</v>
      </c>
      <c r="AU33" s="82">
        <f>cOutputs!AU32</f>
        <v>3809518.0626552729</v>
      </c>
      <c r="AV33" s="82">
        <f>cOutputs!AV32</f>
        <v>4153092.1847828142</v>
      </c>
      <c r="AW33" s="82">
        <f>cOutputs!AW32</f>
        <v>4088384.8514551306</v>
      </c>
      <c r="AX33" s="82">
        <f>cOutputs!AX32</f>
        <v>4108284.6871822397</v>
      </c>
      <c r="AY33" s="82">
        <f>cOutputs!AY32</f>
        <v>4213010.2239045771</v>
      </c>
      <c r="AZ33" s="82">
        <f>cOutputs!AZ32</f>
        <v>4410251.9797656564</v>
      </c>
      <c r="BA33" s="82">
        <f>cOutputs!BA32</f>
        <v>4716314.4971645335</v>
      </c>
      <c r="BB33" s="82">
        <f>cOutputs!BB32</f>
        <v>4543535.8896020735</v>
      </c>
      <c r="BC33" s="82">
        <f>cOutputs!BC32</f>
        <v>4757563.9284255207</v>
      </c>
      <c r="BD33" s="82">
        <f>cOutputs!BD32</f>
        <v>4778220.8381623039</v>
      </c>
      <c r="BE33" s="82">
        <f>cOutputs!BE32</f>
        <v>4900086.4576067785</v>
      </c>
      <c r="BG33" s="82">
        <f>cOutputs!BG32</f>
        <v>0</v>
      </c>
      <c r="BH33" s="82">
        <f>cOutputs!BH32</f>
        <v>13045101.558255311</v>
      </c>
      <c r="BI33" s="82">
        <f>cOutputs!BI32</f>
        <v>14362619.848680086</v>
      </c>
      <c r="BJ33" s="82">
        <f>cOutputs!BJ32</f>
        <v>16228592.854932392</v>
      </c>
      <c r="BK33" s="82">
        <f>cOutputs!BK32</f>
        <v>18480962.485464204</v>
      </c>
      <c r="BL33" s="82">
        <f>cOutputs!BL32</f>
        <v>20973023.927090418</v>
      </c>
      <c r="BM33" s="82">
        <f>cOutputs!BM32</f>
        <v>23695721.61096121</v>
      </c>
    </row>
    <row r="34" spans="1:65" outlineLevel="1">
      <c r="F34" s="18" t="s">
        <v>214</v>
      </c>
      <c r="G34" s="17" t="str">
        <f t="shared" si="3"/>
        <v>£ Nominal</v>
      </c>
      <c r="I34" s="47">
        <f>cOutputs!I33</f>
        <v>0</v>
      </c>
      <c r="AA34" s="47">
        <f>cOutputs!AA33</f>
        <v>0</v>
      </c>
      <c r="AB34" s="47">
        <f>cOutputs!AB33</f>
        <v>0</v>
      </c>
      <c r="AC34" s="47">
        <f>cOutputs!AC33</f>
        <v>0</v>
      </c>
      <c r="AD34" s="47">
        <f>cOutputs!AD33</f>
        <v>0</v>
      </c>
      <c r="AE34" s="47">
        <f>cOutputs!AE33</f>
        <v>0</v>
      </c>
      <c r="AF34" s="47">
        <f>cOutputs!AF33</f>
        <v>0</v>
      </c>
      <c r="AG34" s="47">
        <f>cOutputs!AG33</f>
        <v>0</v>
      </c>
      <c r="AH34" s="47">
        <f>cOutputs!AH33</f>
        <v>0</v>
      </c>
      <c r="AI34" s="47">
        <f>cOutputs!AI33</f>
        <v>0</v>
      </c>
      <c r="AJ34" s="47">
        <f>cOutputs!AJ33</f>
        <v>0</v>
      </c>
      <c r="AK34" s="47">
        <f>cOutputs!AK33</f>
        <v>0</v>
      </c>
      <c r="AL34" s="47">
        <f>cOutputs!AL33</f>
        <v>0</v>
      </c>
      <c r="AM34" s="47">
        <f>cOutputs!AM33</f>
        <v>0</v>
      </c>
      <c r="AN34" s="47">
        <f>cOutputs!AN33</f>
        <v>0</v>
      </c>
      <c r="AO34" s="47">
        <f>cOutputs!AO33</f>
        <v>0</v>
      </c>
      <c r="AP34" s="47">
        <f>cOutputs!AP33</f>
        <v>0</v>
      </c>
      <c r="AQ34" s="47">
        <f>cOutputs!AQ33</f>
        <v>0</v>
      </c>
      <c r="AR34" s="47">
        <f>cOutputs!AR33</f>
        <v>0</v>
      </c>
      <c r="AS34" s="47">
        <f>cOutputs!AS33</f>
        <v>0</v>
      </c>
      <c r="AT34" s="47">
        <f>cOutputs!AT33</f>
        <v>0</v>
      </c>
      <c r="AU34" s="47">
        <f>cOutputs!AU33</f>
        <v>0</v>
      </c>
      <c r="AV34" s="47">
        <f>cOutputs!AV33</f>
        <v>0</v>
      </c>
      <c r="AW34" s="47">
        <f>cOutputs!AW33</f>
        <v>0</v>
      </c>
      <c r="AX34" s="47">
        <f>cOutputs!AX33</f>
        <v>0</v>
      </c>
      <c r="AY34" s="47">
        <f>cOutputs!AY33</f>
        <v>0</v>
      </c>
      <c r="AZ34" s="47">
        <f>cOutputs!AZ33</f>
        <v>0</v>
      </c>
      <c r="BA34" s="47">
        <f>cOutputs!BA33</f>
        <v>0</v>
      </c>
      <c r="BB34" s="47">
        <f>cOutputs!BB33</f>
        <v>0</v>
      </c>
      <c r="BC34" s="47">
        <f>cOutputs!BC33</f>
        <v>0</v>
      </c>
      <c r="BD34" s="47">
        <f>cOutputs!BD33</f>
        <v>0</v>
      </c>
      <c r="BE34" s="47">
        <f>cOutputs!BE33</f>
        <v>0</v>
      </c>
      <c r="BG34" s="47">
        <f>cOutputs!BG33</f>
        <v>0</v>
      </c>
      <c r="BH34" s="47">
        <f>cOutputs!BH33</f>
        <v>0</v>
      </c>
      <c r="BI34" s="47">
        <f>cOutputs!BI33</f>
        <v>0</v>
      </c>
      <c r="BJ34" s="47">
        <f>cOutputs!BJ33</f>
        <v>0</v>
      </c>
      <c r="BK34" s="47">
        <f>cOutputs!BK33</f>
        <v>0</v>
      </c>
      <c r="BL34" s="47">
        <f>cOutputs!BL33</f>
        <v>0</v>
      </c>
      <c r="BM34" s="47">
        <f>cOutputs!BM33</f>
        <v>0</v>
      </c>
    </row>
    <row r="35" spans="1:65" outlineLevel="1">
      <c r="F35" s="18" t="s">
        <v>42</v>
      </c>
      <c r="G35" s="17" t="str">
        <f t="shared" si="3"/>
        <v>£ Nominal</v>
      </c>
      <c r="I35" s="47">
        <f>cOutputs!I34</f>
        <v>94472984.710976586</v>
      </c>
      <c r="AA35" s="47">
        <f>cOutputs!AA34</f>
        <v>0</v>
      </c>
      <c r="AB35" s="47">
        <f>cOutputs!AB34</f>
        <v>2151871.7050209204</v>
      </c>
      <c r="AC35" s="47">
        <f>cOutputs!AC34</f>
        <v>2205668.4976464435</v>
      </c>
      <c r="AD35" s="47">
        <f>cOutputs!AD34</f>
        <v>2260810.2100876044</v>
      </c>
      <c r="AE35" s="47">
        <f>cOutputs!AE34</f>
        <v>2317330.4653397943</v>
      </c>
      <c r="AF35" s="47">
        <f>cOutputs!AF34</f>
        <v>2375263.7269732892</v>
      </c>
      <c r="AG35" s="47">
        <f>cOutputs!AG34</f>
        <v>2434645.320147621</v>
      </c>
      <c r="AH35" s="47">
        <f>cOutputs!AH34</f>
        <v>2495511.4531513113</v>
      </c>
      <c r="AI35" s="47">
        <f>cOutputs!AI34</f>
        <v>2557899.2394800941</v>
      </c>
      <c r="AJ35" s="47">
        <f>cOutputs!AJ34</f>
        <v>2621846.7204670957</v>
      </c>
      <c r="AK35" s="47">
        <f>cOutputs!AK34</f>
        <v>2687392.8884787722</v>
      </c>
      <c r="AL35" s="47">
        <f>cOutputs!AL34</f>
        <v>2754577.7106907414</v>
      </c>
      <c r="AM35" s="47">
        <f>cOutputs!AM34</f>
        <v>2823442.1534580104</v>
      </c>
      <c r="AN35" s="47">
        <f>cOutputs!AN34</f>
        <v>2894028.2072944604</v>
      </c>
      <c r="AO35" s="47">
        <f>cOutputs!AO34</f>
        <v>2966378.9124768213</v>
      </c>
      <c r="AP35" s="47">
        <f>cOutputs!AP34</f>
        <v>3040538.3852887414</v>
      </c>
      <c r="AQ35" s="47">
        <f>cOutputs!AQ34</f>
        <v>3116551.8449209598</v>
      </c>
      <c r="AR35" s="47">
        <f>cOutputs!AR34</f>
        <v>3194465.6410439839</v>
      </c>
      <c r="AS35" s="47">
        <f>cOutputs!AS34</f>
        <v>3274327.2820700826</v>
      </c>
      <c r="AT35" s="47">
        <f>cOutputs!AT34</f>
        <v>3356185.4641218344</v>
      </c>
      <c r="AU35" s="47">
        <f>cOutputs!AU34</f>
        <v>3440090.1007248801</v>
      </c>
      <c r="AV35" s="47">
        <f>cOutputs!AV34</f>
        <v>3526092.3532430013</v>
      </c>
      <c r="AW35" s="47">
        <f>cOutputs!AW34</f>
        <v>3614244.6620740765</v>
      </c>
      <c r="AX35" s="47">
        <f>cOutputs!AX34</f>
        <v>3704600.7786259279</v>
      </c>
      <c r="AY35" s="47">
        <f>cOutputs!AY34</f>
        <v>3797215.798091576</v>
      </c>
      <c r="AZ35" s="47">
        <f>cOutputs!AZ34</f>
        <v>3892146.1930438648</v>
      </c>
      <c r="BA35" s="47">
        <f>cOutputs!BA34</f>
        <v>3989449.8478699611</v>
      </c>
      <c r="BB35" s="47">
        <f>cOutputs!BB34</f>
        <v>4089186.0940667097</v>
      </c>
      <c r="BC35" s="47">
        <f>cOutputs!BC34</f>
        <v>4191415.7464183774</v>
      </c>
      <c r="BD35" s="47">
        <f>cOutputs!BD34</f>
        <v>4296201.1400788361</v>
      </c>
      <c r="BE35" s="47">
        <f>cOutputs!BE34</f>
        <v>4403606.1685808068</v>
      </c>
      <c r="BG35" s="47">
        <f>cOutputs!BG34</f>
        <v>0</v>
      </c>
      <c r="BH35" s="47">
        <f>cOutputs!BH34</f>
        <v>11310944.605068052</v>
      </c>
      <c r="BI35" s="47">
        <f>cOutputs!BI34</f>
        <v>12797295.621724894</v>
      </c>
      <c r="BJ35" s="47">
        <f>cOutputs!BJ34</f>
        <v>14478965.369208774</v>
      </c>
      <c r="BK35" s="47">
        <f>cOutputs!BK34</f>
        <v>16381620.332881741</v>
      </c>
      <c r="BL35" s="47">
        <f>cOutputs!BL34</f>
        <v>18534299.785078447</v>
      </c>
      <c r="BM35" s="47">
        <f>cOutputs!BM34</f>
        <v>20969858.99701469</v>
      </c>
    </row>
    <row r="36" spans="1:65" outlineLevel="1">
      <c r="F36" s="18" t="s">
        <v>227</v>
      </c>
      <c r="G36" s="17" t="str">
        <f t="shared" si="3"/>
        <v>£ Nominal</v>
      </c>
      <c r="I36" s="47">
        <f>cOutputs!I35</f>
        <v>9930143.9513402898</v>
      </c>
      <c r="AA36" s="47">
        <f>cOutputs!AA35</f>
        <v>0</v>
      </c>
      <c r="AB36" s="47">
        <f>cOutputs!AB35</f>
        <v>727931.16736401664</v>
      </c>
      <c r="AC36" s="47">
        <f>cOutputs!AC35</f>
        <v>165410.73397489538</v>
      </c>
      <c r="AD36" s="47">
        <f>cOutputs!AD35</f>
        <v>170373.05599414228</v>
      </c>
      <c r="AE36" s="47">
        <f>cOutputs!AE35</f>
        <v>223776.34587207329</v>
      </c>
      <c r="AF36" s="47">
        <f>cOutputs!AF35</f>
        <v>180748.77510418557</v>
      </c>
      <c r="AG36" s="47">
        <f>cOutputs!AG35</f>
        <v>344383.16764740366</v>
      </c>
      <c r="AH36" s="47">
        <f>cOutputs!AH35</f>
        <v>244526.45509575302</v>
      </c>
      <c r="AI36" s="47">
        <f>cOutputs!AI35</f>
        <v>197509.06677327139</v>
      </c>
      <c r="AJ36" s="47">
        <f>cOutputs!AJ35</f>
        <v>203434.33877646955</v>
      </c>
      <c r="AK36" s="47">
        <f>cOutputs!AK35</f>
        <v>267200.65969741694</v>
      </c>
      <c r="AL36" s="47">
        <f>cOutputs!AL35</f>
        <v>399234.47787894559</v>
      </c>
      <c r="AM36" s="47">
        <f>cOutputs!AM35</f>
        <v>222298.19470819522</v>
      </c>
      <c r="AN36" s="47">
        <f>cOutputs!AN35</f>
        <v>291977.37526917929</v>
      </c>
      <c r="AO36" s="47">
        <f>cOutputs!AO35</f>
        <v>235836.15476592435</v>
      </c>
      <c r="AP36" s="47">
        <f>cOutputs!AP35</f>
        <v>242911.2394089021</v>
      </c>
      <c r="AQ36" s="47">
        <f>cOutputs!AQ35</f>
        <v>531675.16452635406</v>
      </c>
      <c r="AR36" s="47">
        <f>cOutputs!AR35</f>
        <v>257704.53388890426</v>
      </c>
      <c r="AS36" s="47">
        <f>cOutputs!AS35</f>
        <v>265435.66990557138</v>
      </c>
      <c r="AT36" s="47">
        <f>cOutputs!AT35</f>
        <v>348636.25547467323</v>
      </c>
      <c r="AU36" s="47">
        <f>cOutputs!AU35</f>
        <v>281600.70220282074</v>
      </c>
      <c r="AV36" s="47">
        <f>cOutputs!AV35</f>
        <v>536537.75402041385</v>
      </c>
      <c r="AW36" s="47">
        <f>cOutputs!AW35</f>
        <v>380964.24953607342</v>
      </c>
      <c r="AX36" s="47">
        <f>cOutputs!AX35</f>
        <v>307712.6905159817</v>
      </c>
      <c r="AY36" s="47">
        <f>cOutputs!AY35</f>
        <v>316944.07123146125</v>
      </c>
      <c r="AZ36" s="47">
        <f>cOutputs!AZ35</f>
        <v>416289.92150280491</v>
      </c>
      <c r="BA36" s="47">
        <f>cOutputs!BA35</f>
        <v>621994.30811901635</v>
      </c>
      <c r="BB36" s="47">
        <f>cOutputs!BB35</f>
        <v>346333.34412454092</v>
      </c>
      <c r="BC36" s="47">
        <f>cOutputs!BC35</f>
        <v>454891.23705399554</v>
      </c>
      <c r="BD36" s="47">
        <f>cOutputs!BD35</f>
        <v>367425.0447817255</v>
      </c>
      <c r="BE36" s="47">
        <f>cOutputs!BE35</f>
        <v>378447.79612517724</v>
      </c>
      <c r="BG36" s="47">
        <f>cOutputs!BG35</f>
        <v>0</v>
      </c>
      <c r="BH36" s="47">
        <f>cOutputs!BH35</f>
        <v>1468240.0783093132</v>
      </c>
      <c r="BI36" s="47">
        <f>cOutputs!BI35</f>
        <v>1257053.6879903148</v>
      </c>
      <c r="BJ36" s="47">
        <f>cOutputs!BJ35</f>
        <v>1392257.4420311467</v>
      </c>
      <c r="BK36" s="47">
        <f>cOutputs!BK35</f>
        <v>1685052.3259983235</v>
      </c>
      <c r="BL36" s="47">
        <f>cOutputs!BL35</f>
        <v>1958448.6868067351</v>
      </c>
      <c r="BM36" s="47">
        <f>cOutputs!BM35</f>
        <v>2169091.7302044556</v>
      </c>
    </row>
    <row r="37" spans="1:65" outlineLevel="1">
      <c r="F37" s="18" t="s">
        <v>121</v>
      </c>
      <c r="G37" s="17" t="str">
        <f t="shared" si="3"/>
        <v>£ Nominal</v>
      </c>
      <c r="I37" s="47">
        <f>cOutputs!I36</f>
        <v>2382893.6230667359</v>
      </c>
      <c r="AA37" s="47">
        <f>cOutputs!AA36</f>
        <v>0</v>
      </c>
      <c r="AB37" s="47">
        <f>cOutputs!AB36</f>
        <v>50086.658995815902</v>
      </c>
      <c r="AC37" s="47">
        <f>cOutputs!AC36</f>
        <v>51589.258765690378</v>
      </c>
      <c r="AD37" s="47">
        <f>cOutputs!AD36</f>
        <v>53136.936528661092</v>
      </c>
      <c r="AE37" s="47">
        <f>cOutputs!AE36</f>
        <v>54731.044624520931</v>
      </c>
      <c r="AF37" s="47">
        <f>cOutputs!AF36</f>
        <v>56372.975963256555</v>
      </c>
      <c r="AG37" s="47">
        <f>cOutputs!AG36</f>
        <v>58064.165242154253</v>
      </c>
      <c r="AH37" s="47">
        <f>cOutputs!AH36</f>
        <v>59806.09019941889</v>
      </c>
      <c r="AI37" s="47">
        <f>cOutputs!AI36</f>
        <v>61600.272905401456</v>
      </c>
      <c r="AJ37" s="47">
        <f>cOutputs!AJ36</f>
        <v>63448.281092563499</v>
      </c>
      <c r="AK37" s="47">
        <f>cOutputs!AK36</f>
        <v>65351.729525340408</v>
      </c>
      <c r="AL37" s="47">
        <f>cOutputs!AL36</f>
        <v>67312.281411100616</v>
      </c>
      <c r="AM37" s="47">
        <f>cOutputs!AM36</f>
        <v>69331.649853433642</v>
      </c>
      <c r="AN37" s="47">
        <f>cOutputs!AN36</f>
        <v>71411.599349036653</v>
      </c>
      <c r="AO37" s="47">
        <f>cOutputs!AO36</f>
        <v>73553.947329507762</v>
      </c>
      <c r="AP37" s="47">
        <f>cOutputs!AP36</f>
        <v>75760.56574939299</v>
      </c>
      <c r="AQ37" s="47">
        <f>cOutputs!AQ36</f>
        <v>78033.38272187479</v>
      </c>
      <c r="AR37" s="47">
        <f>cOutputs!AR36</f>
        <v>80374.384203531037</v>
      </c>
      <c r="AS37" s="47">
        <f>cOutputs!AS36</f>
        <v>82785.615729636964</v>
      </c>
      <c r="AT37" s="47">
        <f>cOutputs!AT36</f>
        <v>85269.184201526077</v>
      </c>
      <c r="AU37" s="47">
        <f>cOutputs!AU36</f>
        <v>87827.259727571873</v>
      </c>
      <c r="AV37" s="47">
        <f>cOutputs!AV36</f>
        <v>90462.077519399027</v>
      </c>
      <c r="AW37" s="47">
        <f>cOutputs!AW36</f>
        <v>93175.939844981011</v>
      </c>
      <c r="AX37" s="47">
        <f>cOutputs!AX36</f>
        <v>95971.218040330437</v>
      </c>
      <c r="AY37" s="47">
        <f>cOutputs!AY36</f>
        <v>98850.354581540363</v>
      </c>
      <c r="AZ37" s="47">
        <f>cOutputs!AZ36</f>
        <v>101815.86521898657</v>
      </c>
      <c r="BA37" s="47">
        <f>cOutputs!BA36</f>
        <v>104870.34117555617</v>
      </c>
      <c r="BB37" s="47">
        <f>cOutputs!BB36</f>
        <v>108016.45141082286</v>
      </c>
      <c r="BC37" s="47">
        <f>cOutputs!BC36</f>
        <v>111256.94495314754</v>
      </c>
      <c r="BD37" s="47">
        <f>cOutputs!BD36</f>
        <v>114594.65330174197</v>
      </c>
      <c r="BE37" s="47">
        <f>cOutputs!BE36</f>
        <v>118032.49290079423</v>
      </c>
      <c r="BG37" s="47">
        <f>cOutputs!BG36</f>
        <v>0</v>
      </c>
      <c r="BH37" s="47">
        <f>cOutputs!BH36</f>
        <v>265916.87487794482</v>
      </c>
      <c r="BI37" s="47">
        <f>cOutputs!BI36</f>
        <v>308270.53896487853</v>
      </c>
      <c r="BJ37" s="47">
        <f>cOutputs!BJ36</f>
        <v>357370.04369247158</v>
      </c>
      <c r="BK37" s="47">
        <f>cOutputs!BK36</f>
        <v>414289.82658414077</v>
      </c>
      <c r="BL37" s="47">
        <f>cOutputs!BL36</f>
        <v>480275.45520523743</v>
      </c>
      <c r="BM37" s="47">
        <f>cOutputs!BM36</f>
        <v>556770.88374206284</v>
      </c>
    </row>
    <row r="38" spans="1:65" outlineLevel="1">
      <c r="F38" s="18" t="s">
        <v>245</v>
      </c>
      <c r="G38" s="17" t="str">
        <f t="shared" si="3"/>
        <v>£ Nominal</v>
      </c>
      <c r="I38" s="47">
        <f>cOutputs!I37</f>
        <v>0</v>
      </c>
      <c r="AA38" s="47">
        <f>cOutputs!AA37</f>
        <v>0</v>
      </c>
      <c r="AB38" s="47">
        <f>cOutputs!AB37</f>
        <v>0</v>
      </c>
      <c r="AC38" s="47">
        <f>cOutputs!AC37</f>
        <v>0</v>
      </c>
      <c r="AD38" s="47">
        <f>cOutputs!AD37</f>
        <v>0</v>
      </c>
      <c r="AE38" s="47">
        <f>cOutputs!AE37</f>
        <v>0</v>
      </c>
      <c r="AF38" s="47">
        <f>cOutputs!AF37</f>
        <v>0</v>
      </c>
      <c r="AG38" s="47">
        <f>cOutputs!AG37</f>
        <v>0</v>
      </c>
      <c r="AH38" s="47">
        <f>cOutputs!AH37</f>
        <v>0</v>
      </c>
      <c r="AI38" s="47">
        <f>cOutputs!AI37</f>
        <v>0</v>
      </c>
      <c r="AJ38" s="47">
        <f>cOutputs!AJ37</f>
        <v>0</v>
      </c>
      <c r="AK38" s="47">
        <f>cOutputs!AK37</f>
        <v>0</v>
      </c>
      <c r="AL38" s="47">
        <f>cOutputs!AL37</f>
        <v>0</v>
      </c>
      <c r="AM38" s="47">
        <f>cOutputs!AM37</f>
        <v>0</v>
      </c>
      <c r="AN38" s="47">
        <f>cOutputs!AN37</f>
        <v>0</v>
      </c>
      <c r="AO38" s="47">
        <f>cOutputs!AO37</f>
        <v>0</v>
      </c>
      <c r="AP38" s="47">
        <f>cOutputs!AP37</f>
        <v>0</v>
      </c>
      <c r="AQ38" s="47">
        <f>cOutputs!AQ37</f>
        <v>0</v>
      </c>
      <c r="AR38" s="47">
        <f>cOutputs!AR37</f>
        <v>0</v>
      </c>
      <c r="AS38" s="47">
        <f>cOutputs!AS37</f>
        <v>0</v>
      </c>
      <c r="AT38" s="47">
        <f>cOutputs!AT37</f>
        <v>0</v>
      </c>
      <c r="AU38" s="47">
        <f>cOutputs!AU37</f>
        <v>0</v>
      </c>
      <c r="AV38" s="47">
        <f>cOutputs!AV37</f>
        <v>0</v>
      </c>
      <c r="AW38" s="47">
        <f>cOutputs!AW37</f>
        <v>0</v>
      </c>
      <c r="AX38" s="47">
        <f>cOutputs!AX37</f>
        <v>0</v>
      </c>
      <c r="AY38" s="47">
        <f>cOutputs!AY37</f>
        <v>0</v>
      </c>
      <c r="AZ38" s="47">
        <f>cOutputs!AZ37</f>
        <v>0</v>
      </c>
      <c r="BA38" s="47">
        <f>cOutputs!BA37</f>
        <v>0</v>
      </c>
      <c r="BB38" s="47">
        <f>cOutputs!BB37</f>
        <v>0</v>
      </c>
      <c r="BC38" s="47">
        <f>cOutputs!BC37</f>
        <v>0</v>
      </c>
      <c r="BD38" s="47">
        <f>cOutputs!BD37</f>
        <v>0</v>
      </c>
      <c r="BE38" s="47">
        <f>cOutputs!BE37</f>
        <v>0</v>
      </c>
      <c r="BG38" s="47">
        <f>cOutputs!BG37</f>
        <v>0</v>
      </c>
      <c r="BH38" s="47">
        <f>cOutputs!BH37</f>
        <v>0</v>
      </c>
      <c r="BI38" s="47">
        <f>cOutputs!BI37</f>
        <v>0</v>
      </c>
      <c r="BJ38" s="47">
        <f>cOutputs!BJ37</f>
        <v>0</v>
      </c>
      <c r="BK38" s="47">
        <f>cOutputs!BK37</f>
        <v>0</v>
      </c>
      <c r="BL38" s="47">
        <f>cOutputs!BL37</f>
        <v>0</v>
      </c>
      <c r="BM38" s="47">
        <f>cOutputs!BM37</f>
        <v>0</v>
      </c>
    </row>
    <row r="39" spans="1:65" outlineLevel="1">
      <c r="F39" s="18"/>
      <c r="G39" s="17"/>
      <c r="I39"/>
    </row>
    <row r="40" spans="1:65" outlineLevel="1">
      <c r="A40" s="19">
        <f>SUM(C40:BM40)</f>
        <v>0</v>
      </c>
      <c r="F40" s="27" t="s">
        <v>329</v>
      </c>
      <c r="G40" s="17"/>
      <c r="AA40" s="19">
        <f t="shared" ref="AA40:BE40" si="4">IF(ABS(SUM(AA34:AA38)-AA33)&lt;eTol,0,1)</f>
        <v>0</v>
      </c>
      <c r="AB40" s="19">
        <f t="shared" si="4"/>
        <v>0</v>
      </c>
      <c r="AC40" s="19">
        <f t="shared" si="4"/>
        <v>0</v>
      </c>
      <c r="AD40" s="19">
        <f t="shared" si="4"/>
        <v>0</v>
      </c>
      <c r="AE40" s="19">
        <f t="shared" si="4"/>
        <v>0</v>
      </c>
      <c r="AF40" s="19">
        <f t="shared" si="4"/>
        <v>0</v>
      </c>
      <c r="AG40" s="19">
        <f t="shared" si="4"/>
        <v>0</v>
      </c>
      <c r="AH40" s="19">
        <f t="shared" si="4"/>
        <v>0</v>
      </c>
      <c r="AI40" s="19">
        <f t="shared" si="4"/>
        <v>0</v>
      </c>
      <c r="AJ40" s="19">
        <f t="shared" si="4"/>
        <v>0</v>
      </c>
      <c r="AK40" s="19">
        <f t="shared" si="4"/>
        <v>0</v>
      </c>
      <c r="AL40" s="19">
        <f t="shared" si="4"/>
        <v>0</v>
      </c>
      <c r="AM40" s="19">
        <f t="shared" si="4"/>
        <v>0</v>
      </c>
      <c r="AN40" s="19">
        <f t="shared" si="4"/>
        <v>0</v>
      </c>
      <c r="AO40" s="19">
        <f t="shared" si="4"/>
        <v>0</v>
      </c>
      <c r="AP40" s="19">
        <f t="shared" si="4"/>
        <v>0</v>
      </c>
      <c r="AQ40" s="19">
        <f t="shared" si="4"/>
        <v>0</v>
      </c>
      <c r="AR40" s="19">
        <f t="shared" si="4"/>
        <v>0</v>
      </c>
      <c r="AS40" s="19">
        <f t="shared" si="4"/>
        <v>0</v>
      </c>
      <c r="AT40" s="19">
        <f t="shared" si="4"/>
        <v>0</v>
      </c>
      <c r="AU40" s="19">
        <f t="shared" si="4"/>
        <v>0</v>
      </c>
      <c r="AV40" s="19">
        <f t="shared" si="4"/>
        <v>0</v>
      </c>
      <c r="AW40" s="19">
        <f t="shared" si="4"/>
        <v>0</v>
      </c>
      <c r="AX40" s="19">
        <f t="shared" si="4"/>
        <v>0</v>
      </c>
      <c r="AY40" s="19">
        <f t="shared" si="4"/>
        <v>0</v>
      </c>
      <c r="AZ40" s="19">
        <f t="shared" si="4"/>
        <v>0</v>
      </c>
      <c r="BA40" s="19">
        <f t="shared" si="4"/>
        <v>0</v>
      </c>
      <c r="BB40" s="19">
        <f t="shared" si="4"/>
        <v>0</v>
      </c>
      <c r="BC40" s="19">
        <f t="shared" si="4"/>
        <v>0</v>
      </c>
      <c r="BD40" s="19">
        <f t="shared" si="4"/>
        <v>0</v>
      </c>
      <c r="BE40" s="19">
        <f t="shared" si="4"/>
        <v>0</v>
      </c>
      <c r="BG40" s="19">
        <f t="shared" ref="BG40:BM40" si="5">IF(ABS(SUM(BG34:BG38)-BG33)&lt;eTol,0,1)</f>
        <v>0</v>
      </c>
      <c r="BH40" s="19">
        <f t="shared" si="5"/>
        <v>0</v>
      </c>
      <c r="BI40" s="19">
        <f t="shared" si="5"/>
        <v>0</v>
      </c>
      <c r="BJ40" s="19">
        <f t="shared" si="5"/>
        <v>0</v>
      </c>
      <c r="BK40" s="19">
        <f t="shared" si="5"/>
        <v>0</v>
      </c>
      <c r="BL40" s="19">
        <f t="shared" si="5"/>
        <v>0</v>
      </c>
      <c r="BM40" s="19">
        <f t="shared" si="5"/>
        <v>0</v>
      </c>
    </row>
    <row r="41" spans="1:65">
      <c r="F41" s="18"/>
      <c r="G41" s="17"/>
    </row>
    <row r="42" spans="1:65">
      <c r="F42" s="37" t="s">
        <v>255</v>
      </c>
      <c r="G42" s="17" t="str">
        <f t="shared" ref="G42:G47" si="6">cstNominalUnit</f>
        <v>£ Nominal</v>
      </c>
      <c r="I42" s="82">
        <f>cOutputs!I39</f>
        <v>132307231.07928161</v>
      </c>
      <c r="AA42" s="82">
        <f>cOutputs!AA39</f>
        <v>0</v>
      </c>
      <c r="AB42" s="82">
        <f>cOutputs!AB39</f>
        <v>2781000</v>
      </c>
      <c r="AC42" s="82">
        <f>cOutputs!AC39</f>
        <v>2864430</v>
      </c>
      <c r="AD42" s="82">
        <f>cOutputs!AD39</f>
        <v>2950362.9</v>
      </c>
      <c r="AE42" s="82">
        <f>cOutputs!AE39</f>
        <v>3038873.7870000005</v>
      </c>
      <c r="AF42" s="82">
        <f>cOutputs!AF39</f>
        <v>3130040.00061</v>
      </c>
      <c r="AG42" s="82">
        <f>cOutputs!AG39</f>
        <v>3223941.2006283002</v>
      </c>
      <c r="AH42" s="82">
        <f>cOutputs!AH39</f>
        <v>3320659.4366471497</v>
      </c>
      <c r="AI42" s="82">
        <f>cOutputs!AI39</f>
        <v>3420279.219746564</v>
      </c>
      <c r="AJ42" s="82">
        <f>cOutputs!AJ39</f>
        <v>3522887.5963389613</v>
      </c>
      <c r="AK42" s="82">
        <f>cOutputs!AK39</f>
        <v>3628574.22422913</v>
      </c>
      <c r="AL42" s="82">
        <f>cOutputs!AL39</f>
        <v>3737431.4509560042</v>
      </c>
      <c r="AM42" s="82">
        <f>cOutputs!AM39</f>
        <v>3849554.3944846843</v>
      </c>
      <c r="AN42" s="82">
        <f>cOutputs!AN39</f>
        <v>3965041.0263192249</v>
      </c>
      <c r="AO42" s="82">
        <f>cOutputs!AO39</f>
        <v>4083992.257108802</v>
      </c>
      <c r="AP42" s="82">
        <f>cOutputs!AP39</f>
        <v>4206512.0248220665</v>
      </c>
      <c r="AQ42" s="82">
        <f>cOutputs!AQ39</f>
        <v>4332707.3855667291</v>
      </c>
      <c r="AR42" s="82">
        <f>cOutputs!AR39</f>
        <v>4462688.6071337303</v>
      </c>
      <c r="AS42" s="82">
        <f>cOutputs!AS39</f>
        <v>4596569.2653477425</v>
      </c>
      <c r="AT42" s="82">
        <f>cOutputs!AT39</f>
        <v>4734466.343308175</v>
      </c>
      <c r="AU42" s="82">
        <f>cOutputs!AU39</f>
        <v>4876500.3336074203</v>
      </c>
      <c r="AV42" s="82">
        <f>cOutputs!AV39</f>
        <v>5022795.3436156437</v>
      </c>
      <c r="AW42" s="82">
        <f>cOutputs!AW39</f>
        <v>5173479.203924113</v>
      </c>
      <c r="AX42" s="82">
        <f>cOutputs!AX39</f>
        <v>5328683.5800418369</v>
      </c>
      <c r="AY42" s="82">
        <f>cOutputs!AY39</f>
        <v>5488544.0874430919</v>
      </c>
      <c r="AZ42" s="82">
        <f>cOutputs!AZ39</f>
        <v>5653200.4100663848</v>
      </c>
      <c r="BA42" s="82">
        <f>cOutputs!BA39</f>
        <v>5822796.4223683765</v>
      </c>
      <c r="BB42" s="82">
        <f>cOutputs!BB39</f>
        <v>5997480.315039428</v>
      </c>
      <c r="BC42" s="82">
        <f>cOutputs!BC39</f>
        <v>6177404.7244906109</v>
      </c>
      <c r="BD42" s="82">
        <f>cOutputs!BD39</f>
        <v>6362726.8662253292</v>
      </c>
      <c r="BE42" s="82">
        <f>cOutputs!BE39</f>
        <v>6553608.6722120894</v>
      </c>
      <c r="BG42" s="82">
        <f>cOutputs!BG39</f>
        <v>0</v>
      </c>
      <c r="BH42" s="82">
        <f>cOutputs!BH39</f>
        <v>14764706.68761</v>
      </c>
      <c r="BI42" s="82">
        <f>cOutputs!BI39</f>
        <v>17116341.677590106</v>
      </c>
      <c r="BJ42" s="82">
        <f>cOutputs!BJ39</f>
        <v>19842531.153690781</v>
      </c>
      <c r="BK42" s="82">
        <f>cOutputs!BK39</f>
        <v>23002931.9349638</v>
      </c>
      <c r="BL42" s="82">
        <f>cOutputs!BL39</f>
        <v>26666702.625091068</v>
      </c>
      <c r="BM42" s="82">
        <f>cOutputs!BM39</f>
        <v>30914017.000335835</v>
      </c>
    </row>
    <row r="43" spans="1:65" outlineLevel="1">
      <c r="F43" s="18" t="s">
        <v>214</v>
      </c>
      <c r="G43" s="17" t="str">
        <f t="shared" si="6"/>
        <v>£ Nominal</v>
      </c>
      <c r="I43" s="47">
        <f>cOutputs!I40</f>
        <v>132307231.07928161</v>
      </c>
      <c r="AA43" s="47">
        <f>cOutputs!AA40</f>
        <v>0</v>
      </c>
      <c r="AB43" s="47">
        <f>cOutputs!AB40</f>
        <v>2781000</v>
      </c>
      <c r="AC43" s="47">
        <f>cOutputs!AC40</f>
        <v>2864430</v>
      </c>
      <c r="AD43" s="47">
        <f>cOutputs!AD40</f>
        <v>2950362.9</v>
      </c>
      <c r="AE43" s="47">
        <f>cOutputs!AE40</f>
        <v>3038873.7870000005</v>
      </c>
      <c r="AF43" s="47">
        <f>cOutputs!AF40</f>
        <v>3130040.00061</v>
      </c>
      <c r="AG43" s="47">
        <f>cOutputs!AG40</f>
        <v>3223941.2006283002</v>
      </c>
      <c r="AH43" s="47">
        <f>cOutputs!AH40</f>
        <v>3320659.4366471497</v>
      </c>
      <c r="AI43" s="47">
        <f>cOutputs!AI40</f>
        <v>3420279.219746564</v>
      </c>
      <c r="AJ43" s="47">
        <f>cOutputs!AJ40</f>
        <v>3522887.5963389613</v>
      </c>
      <c r="AK43" s="47">
        <f>cOutputs!AK40</f>
        <v>3628574.22422913</v>
      </c>
      <c r="AL43" s="47">
        <f>cOutputs!AL40</f>
        <v>3737431.4509560042</v>
      </c>
      <c r="AM43" s="47">
        <f>cOutputs!AM40</f>
        <v>3849554.3944846843</v>
      </c>
      <c r="AN43" s="47">
        <f>cOutputs!AN40</f>
        <v>3965041.0263192249</v>
      </c>
      <c r="AO43" s="47">
        <f>cOutputs!AO40</f>
        <v>4083992.257108802</v>
      </c>
      <c r="AP43" s="47">
        <f>cOutputs!AP40</f>
        <v>4206512.0248220665</v>
      </c>
      <c r="AQ43" s="47">
        <f>cOutputs!AQ40</f>
        <v>4332707.3855667291</v>
      </c>
      <c r="AR43" s="47">
        <f>cOutputs!AR40</f>
        <v>4462688.6071337303</v>
      </c>
      <c r="AS43" s="47">
        <f>cOutputs!AS40</f>
        <v>4596569.2653477425</v>
      </c>
      <c r="AT43" s="47">
        <f>cOutputs!AT40</f>
        <v>4734466.343308175</v>
      </c>
      <c r="AU43" s="47">
        <f>cOutputs!AU40</f>
        <v>4876500.3336074203</v>
      </c>
      <c r="AV43" s="47">
        <f>cOutputs!AV40</f>
        <v>5022795.3436156437</v>
      </c>
      <c r="AW43" s="47">
        <f>cOutputs!AW40</f>
        <v>5173479.203924113</v>
      </c>
      <c r="AX43" s="47">
        <f>cOutputs!AX40</f>
        <v>5328683.5800418369</v>
      </c>
      <c r="AY43" s="47">
        <f>cOutputs!AY40</f>
        <v>5488544.0874430919</v>
      </c>
      <c r="AZ43" s="47">
        <f>cOutputs!AZ40</f>
        <v>5653200.4100663848</v>
      </c>
      <c r="BA43" s="47">
        <f>cOutputs!BA40</f>
        <v>5822796.4223683765</v>
      </c>
      <c r="BB43" s="47">
        <f>cOutputs!BB40</f>
        <v>5997480.315039428</v>
      </c>
      <c r="BC43" s="47">
        <f>cOutputs!BC40</f>
        <v>6177404.7244906109</v>
      </c>
      <c r="BD43" s="47">
        <f>cOutputs!BD40</f>
        <v>6362726.8662253292</v>
      </c>
      <c r="BE43" s="47">
        <f>cOutputs!BE40</f>
        <v>6553608.6722120894</v>
      </c>
      <c r="BG43" s="47">
        <f>cOutputs!BG40</f>
        <v>0</v>
      </c>
      <c r="BH43" s="47">
        <f>cOutputs!BH40</f>
        <v>14764706.68761</v>
      </c>
      <c r="BI43" s="47">
        <f>cOutputs!BI40</f>
        <v>17116341.677590106</v>
      </c>
      <c r="BJ43" s="47">
        <f>cOutputs!BJ40</f>
        <v>19842531.153690781</v>
      </c>
      <c r="BK43" s="47">
        <f>cOutputs!BK40</f>
        <v>23002931.9349638</v>
      </c>
      <c r="BL43" s="47">
        <f>cOutputs!BL40</f>
        <v>26666702.625091068</v>
      </c>
      <c r="BM43" s="47">
        <f>cOutputs!BM40</f>
        <v>30914017.000335835</v>
      </c>
    </row>
    <row r="44" spans="1:65" outlineLevel="1">
      <c r="F44" s="18" t="s">
        <v>42</v>
      </c>
      <c r="G44" s="17" t="str">
        <f t="shared" si="6"/>
        <v>£ Nominal</v>
      </c>
      <c r="I44" s="47">
        <f>cOutputs!I41</f>
        <v>0</v>
      </c>
      <c r="AA44" s="47">
        <f>cOutputs!AA41</f>
        <v>0</v>
      </c>
      <c r="AB44" s="47">
        <f>cOutputs!AB41</f>
        <v>0</v>
      </c>
      <c r="AC44" s="47">
        <f>cOutputs!AC41</f>
        <v>0</v>
      </c>
      <c r="AD44" s="47">
        <f>cOutputs!AD41</f>
        <v>0</v>
      </c>
      <c r="AE44" s="47">
        <f>cOutputs!AE41</f>
        <v>0</v>
      </c>
      <c r="AF44" s="47">
        <f>cOutputs!AF41</f>
        <v>0</v>
      </c>
      <c r="AG44" s="47">
        <f>cOutputs!AG41</f>
        <v>0</v>
      </c>
      <c r="AH44" s="47">
        <f>cOutputs!AH41</f>
        <v>0</v>
      </c>
      <c r="AI44" s="47">
        <f>cOutputs!AI41</f>
        <v>0</v>
      </c>
      <c r="AJ44" s="47">
        <f>cOutputs!AJ41</f>
        <v>0</v>
      </c>
      <c r="AK44" s="47">
        <f>cOutputs!AK41</f>
        <v>0</v>
      </c>
      <c r="AL44" s="47">
        <f>cOutputs!AL41</f>
        <v>0</v>
      </c>
      <c r="AM44" s="47">
        <f>cOutputs!AM41</f>
        <v>0</v>
      </c>
      <c r="AN44" s="47">
        <f>cOutputs!AN41</f>
        <v>0</v>
      </c>
      <c r="AO44" s="47">
        <f>cOutputs!AO41</f>
        <v>0</v>
      </c>
      <c r="AP44" s="47">
        <f>cOutputs!AP41</f>
        <v>0</v>
      </c>
      <c r="AQ44" s="47">
        <f>cOutputs!AQ41</f>
        <v>0</v>
      </c>
      <c r="AR44" s="47">
        <f>cOutputs!AR41</f>
        <v>0</v>
      </c>
      <c r="AS44" s="47">
        <f>cOutputs!AS41</f>
        <v>0</v>
      </c>
      <c r="AT44" s="47">
        <f>cOutputs!AT41</f>
        <v>0</v>
      </c>
      <c r="AU44" s="47">
        <f>cOutputs!AU41</f>
        <v>0</v>
      </c>
      <c r="AV44" s="47">
        <f>cOutputs!AV41</f>
        <v>0</v>
      </c>
      <c r="AW44" s="47">
        <f>cOutputs!AW41</f>
        <v>0</v>
      </c>
      <c r="AX44" s="47">
        <f>cOutputs!AX41</f>
        <v>0</v>
      </c>
      <c r="AY44" s="47">
        <f>cOutputs!AY41</f>
        <v>0</v>
      </c>
      <c r="AZ44" s="47">
        <f>cOutputs!AZ41</f>
        <v>0</v>
      </c>
      <c r="BA44" s="47">
        <f>cOutputs!BA41</f>
        <v>0</v>
      </c>
      <c r="BB44" s="47">
        <f>cOutputs!BB41</f>
        <v>0</v>
      </c>
      <c r="BC44" s="47">
        <f>cOutputs!BC41</f>
        <v>0</v>
      </c>
      <c r="BD44" s="47">
        <f>cOutputs!BD41</f>
        <v>0</v>
      </c>
      <c r="BE44" s="47">
        <f>cOutputs!BE41</f>
        <v>0</v>
      </c>
      <c r="BG44" s="47">
        <f>cOutputs!BG41</f>
        <v>0</v>
      </c>
      <c r="BH44" s="47">
        <f>cOutputs!BH41</f>
        <v>0</v>
      </c>
      <c r="BI44" s="47">
        <f>cOutputs!BI41</f>
        <v>0</v>
      </c>
      <c r="BJ44" s="47">
        <f>cOutputs!BJ41</f>
        <v>0</v>
      </c>
      <c r="BK44" s="47">
        <f>cOutputs!BK41</f>
        <v>0</v>
      </c>
      <c r="BL44" s="47">
        <f>cOutputs!BL41</f>
        <v>0</v>
      </c>
      <c r="BM44" s="47">
        <f>cOutputs!BM41</f>
        <v>0</v>
      </c>
    </row>
    <row r="45" spans="1:65" outlineLevel="1">
      <c r="F45" s="18" t="s">
        <v>227</v>
      </c>
      <c r="G45" s="17" t="str">
        <f t="shared" si="6"/>
        <v>£ Nominal</v>
      </c>
      <c r="I45" s="47">
        <f>cOutputs!I42</f>
        <v>0</v>
      </c>
      <c r="AA45" s="47">
        <f>cOutputs!AA42</f>
        <v>0</v>
      </c>
      <c r="AB45" s="47">
        <f>cOutputs!AB42</f>
        <v>0</v>
      </c>
      <c r="AC45" s="47">
        <f>cOutputs!AC42</f>
        <v>0</v>
      </c>
      <c r="AD45" s="47">
        <f>cOutputs!AD42</f>
        <v>0</v>
      </c>
      <c r="AE45" s="47">
        <f>cOutputs!AE42</f>
        <v>0</v>
      </c>
      <c r="AF45" s="47">
        <f>cOutputs!AF42</f>
        <v>0</v>
      </c>
      <c r="AG45" s="47">
        <f>cOutputs!AG42</f>
        <v>0</v>
      </c>
      <c r="AH45" s="47">
        <f>cOutputs!AH42</f>
        <v>0</v>
      </c>
      <c r="AI45" s="47">
        <f>cOutputs!AI42</f>
        <v>0</v>
      </c>
      <c r="AJ45" s="47">
        <f>cOutputs!AJ42</f>
        <v>0</v>
      </c>
      <c r="AK45" s="47">
        <f>cOutputs!AK42</f>
        <v>0</v>
      </c>
      <c r="AL45" s="47">
        <f>cOutputs!AL42</f>
        <v>0</v>
      </c>
      <c r="AM45" s="47">
        <f>cOutputs!AM42</f>
        <v>0</v>
      </c>
      <c r="AN45" s="47">
        <f>cOutputs!AN42</f>
        <v>0</v>
      </c>
      <c r="AO45" s="47">
        <f>cOutputs!AO42</f>
        <v>0</v>
      </c>
      <c r="AP45" s="47">
        <f>cOutputs!AP42</f>
        <v>0</v>
      </c>
      <c r="AQ45" s="47">
        <f>cOutputs!AQ42</f>
        <v>0</v>
      </c>
      <c r="AR45" s="47">
        <f>cOutputs!AR42</f>
        <v>0</v>
      </c>
      <c r="AS45" s="47">
        <f>cOutputs!AS42</f>
        <v>0</v>
      </c>
      <c r="AT45" s="47">
        <f>cOutputs!AT42</f>
        <v>0</v>
      </c>
      <c r="AU45" s="47">
        <f>cOutputs!AU42</f>
        <v>0</v>
      </c>
      <c r="AV45" s="47">
        <f>cOutputs!AV42</f>
        <v>0</v>
      </c>
      <c r="AW45" s="47">
        <f>cOutputs!AW42</f>
        <v>0</v>
      </c>
      <c r="AX45" s="47">
        <f>cOutputs!AX42</f>
        <v>0</v>
      </c>
      <c r="AY45" s="47">
        <f>cOutputs!AY42</f>
        <v>0</v>
      </c>
      <c r="AZ45" s="47">
        <f>cOutputs!AZ42</f>
        <v>0</v>
      </c>
      <c r="BA45" s="47">
        <f>cOutputs!BA42</f>
        <v>0</v>
      </c>
      <c r="BB45" s="47">
        <f>cOutputs!BB42</f>
        <v>0</v>
      </c>
      <c r="BC45" s="47">
        <f>cOutputs!BC42</f>
        <v>0</v>
      </c>
      <c r="BD45" s="47">
        <f>cOutputs!BD42</f>
        <v>0</v>
      </c>
      <c r="BE45" s="47">
        <f>cOutputs!BE42</f>
        <v>0</v>
      </c>
      <c r="BG45" s="47">
        <f>cOutputs!BG42</f>
        <v>0</v>
      </c>
      <c r="BH45" s="47">
        <f>cOutputs!BH42</f>
        <v>0</v>
      </c>
      <c r="BI45" s="47">
        <f>cOutputs!BI42</f>
        <v>0</v>
      </c>
      <c r="BJ45" s="47">
        <f>cOutputs!BJ42</f>
        <v>0</v>
      </c>
      <c r="BK45" s="47">
        <f>cOutputs!BK42</f>
        <v>0</v>
      </c>
      <c r="BL45" s="47">
        <f>cOutputs!BL42</f>
        <v>0</v>
      </c>
      <c r="BM45" s="47">
        <f>cOutputs!BM42</f>
        <v>0</v>
      </c>
    </row>
    <row r="46" spans="1:65" outlineLevel="1">
      <c r="F46" s="18" t="s">
        <v>121</v>
      </c>
      <c r="G46" s="17" t="str">
        <f t="shared" si="6"/>
        <v>£ Nominal</v>
      </c>
      <c r="I46" s="47">
        <f>cOutputs!I43</f>
        <v>0</v>
      </c>
      <c r="AA46" s="47">
        <f>cOutputs!AA43</f>
        <v>0</v>
      </c>
      <c r="AB46" s="47">
        <f>cOutputs!AB43</f>
        <v>0</v>
      </c>
      <c r="AC46" s="47">
        <f>cOutputs!AC43</f>
        <v>0</v>
      </c>
      <c r="AD46" s="47">
        <f>cOutputs!AD43</f>
        <v>0</v>
      </c>
      <c r="AE46" s="47">
        <f>cOutputs!AE43</f>
        <v>0</v>
      </c>
      <c r="AF46" s="47">
        <f>cOutputs!AF43</f>
        <v>0</v>
      </c>
      <c r="AG46" s="47">
        <f>cOutputs!AG43</f>
        <v>0</v>
      </c>
      <c r="AH46" s="47">
        <f>cOutputs!AH43</f>
        <v>0</v>
      </c>
      <c r="AI46" s="47">
        <f>cOutputs!AI43</f>
        <v>0</v>
      </c>
      <c r="AJ46" s="47">
        <f>cOutputs!AJ43</f>
        <v>0</v>
      </c>
      <c r="AK46" s="47">
        <f>cOutputs!AK43</f>
        <v>0</v>
      </c>
      <c r="AL46" s="47">
        <f>cOutputs!AL43</f>
        <v>0</v>
      </c>
      <c r="AM46" s="47">
        <f>cOutputs!AM43</f>
        <v>0</v>
      </c>
      <c r="AN46" s="47">
        <f>cOutputs!AN43</f>
        <v>0</v>
      </c>
      <c r="AO46" s="47">
        <f>cOutputs!AO43</f>
        <v>0</v>
      </c>
      <c r="AP46" s="47">
        <f>cOutputs!AP43</f>
        <v>0</v>
      </c>
      <c r="AQ46" s="47">
        <f>cOutputs!AQ43</f>
        <v>0</v>
      </c>
      <c r="AR46" s="47">
        <f>cOutputs!AR43</f>
        <v>0</v>
      </c>
      <c r="AS46" s="47">
        <f>cOutputs!AS43</f>
        <v>0</v>
      </c>
      <c r="AT46" s="47">
        <f>cOutputs!AT43</f>
        <v>0</v>
      </c>
      <c r="AU46" s="47">
        <f>cOutputs!AU43</f>
        <v>0</v>
      </c>
      <c r="AV46" s="47">
        <f>cOutputs!AV43</f>
        <v>0</v>
      </c>
      <c r="AW46" s="47">
        <f>cOutputs!AW43</f>
        <v>0</v>
      </c>
      <c r="AX46" s="47">
        <f>cOutputs!AX43</f>
        <v>0</v>
      </c>
      <c r="AY46" s="47">
        <f>cOutputs!AY43</f>
        <v>0</v>
      </c>
      <c r="AZ46" s="47">
        <f>cOutputs!AZ43</f>
        <v>0</v>
      </c>
      <c r="BA46" s="47">
        <f>cOutputs!BA43</f>
        <v>0</v>
      </c>
      <c r="BB46" s="47">
        <f>cOutputs!BB43</f>
        <v>0</v>
      </c>
      <c r="BC46" s="47">
        <f>cOutputs!BC43</f>
        <v>0</v>
      </c>
      <c r="BD46" s="47">
        <f>cOutputs!BD43</f>
        <v>0</v>
      </c>
      <c r="BE46" s="47">
        <f>cOutputs!BE43</f>
        <v>0</v>
      </c>
      <c r="BG46" s="47">
        <f>cOutputs!BG43</f>
        <v>0</v>
      </c>
      <c r="BH46" s="47">
        <f>cOutputs!BH43</f>
        <v>0</v>
      </c>
      <c r="BI46" s="47">
        <f>cOutputs!BI43</f>
        <v>0</v>
      </c>
      <c r="BJ46" s="47">
        <f>cOutputs!BJ43</f>
        <v>0</v>
      </c>
      <c r="BK46" s="47">
        <f>cOutputs!BK43</f>
        <v>0</v>
      </c>
      <c r="BL46" s="47">
        <f>cOutputs!BL43</f>
        <v>0</v>
      </c>
      <c r="BM46" s="47">
        <f>cOutputs!BM43</f>
        <v>0</v>
      </c>
    </row>
    <row r="47" spans="1:65" outlineLevel="1">
      <c r="F47" s="18" t="s">
        <v>245</v>
      </c>
      <c r="G47" s="17" t="str">
        <f t="shared" si="6"/>
        <v>£ Nominal</v>
      </c>
      <c r="I47" s="47">
        <f>cOutputs!I44</f>
        <v>0</v>
      </c>
      <c r="AA47" s="47">
        <f>cOutputs!AA44</f>
        <v>0</v>
      </c>
      <c r="AB47" s="47">
        <f>cOutputs!AB44</f>
        <v>0</v>
      </c>
      <c r="AC47" s="47">
        <f>cOutputs!AC44</f>
        <v>0</v>
      </c>
      <c r="AD47" s="47">
        <f>cOutputs!AD44</f>
        <v>0</v>
      </c>
      <c r="AE47" s="47">
        <f>cOutputs!AE44</f>
        <v>0</v>
      </c>
      <c r="AF47" s="47">
        <f>cOutputs!AF44</f>
        <v>0</v>
      </c>
      <c r="AG47" s="47">
        <f>cOutputs!AG44</f>
        <v>0</v>
      </c>
      <c r="AH47" s="47">
        <f>cOutputs!AH44</f>
        <v>0</v>
      </c>
      <c r="AI47" s="47">
        <f>cOutputs!AI44</f>
        <v>0</v>
      </c>
      <c r="AJ47" s="47">
        <f>cOutputs!AJ44</f>
        <v>0</v>
      </c>
      <c r="AK47" s="47">
        <f>cOutputs!AK44</f>
        <v>0</v>
      </c>
      <c r="AL47" s="47">
        <f>cOutputs!AL44</f>
        <v>0</v>
      </c>
      <c r="AM47" s="47">
        <f>cOutputs!AM44</f>
        <v>0</v>
      </c>
      <c r="AN47" s="47">
        <f>cOutputs!AN44</f>
        <v>0</v>
      </c>
      <c r="AO47" s="47">
        <f>cOutputs!AO44</f>
        <v>0</v>
      </c>
      <c r="AP47" s="47">
        <f>cOutputs!AP44</f>
        <v>0</v>
      </c>
      <c r="AQ47" s="47">
        <f>cOutputs!AQ44</f>
        <v>0</v>
      </c>
      <c r="AR47" s="47">
        <f>cOutputs!AR44</f>
        <v>0</v>
      </c>
      <c r="AS47" s="47">
        <f>cOutputs!AS44</f>
        <v>0</v>
      </c>
      <c r="AT47" s="47">
        <f>cOutputs!AT44</f>
        <v>0</v>
      </c>
      <c r="AU47" s="47">
        <f>cOutputs!AU44</f>
        <v>0</v>
      </c>
      <c r="AV47" s="47">
        <f>cOutputs!AV44</f>
        <v>0</v>
      </c>
      <c r="AW47" s="47">
        <f>cOutputs!AW44</f>
        <v>0</v>
      </c>
      <c r="AX47" s="47">
        <f>cOutputs!AX44</f>
        <v>0</v>
      </c>
      <c r="AY47" s="47">
        <f>cOutputs!AY44</f>
        <v>0</v>
      </c>
      <c r="AZ47" s="47">
        <f>cOutputs!AZ44</f>
        <v>0</v>
      </c>
      <c r="BA47" s="47">
        <f>cOutputs!BA44</f>
        <v>0</v>
      </c>
      <c r="BB47" s="47">
        <f>cOutputs!BB44</f>
        <v>0</v>
      </c>
      <c r="BC47" s="47">
        <f>cOutputs!BC44</f>
        <v>0</v>
      </c>
      <c r="BD47" s="47">
        <f>cOutputs!BD44</f>
        <v>0</v>
      </c>
      <c r="BE47" s="47">
        <f>cOutputs!BE44</f>
        <v>0</v>
      </c>
      <c r="BG47" s="47">
        <f>cOutputs!BG44</f>
        <v>0</v>
      </c>
      <c r="BH47" s="47">
        <f>cOutputs!BH44</f>
        <v>0</v>
      </c>
      <c r="BI47" s="47">
        <f>cOutputs!BI44</f>
        <v>0</v>
      </c>
      <c r="BJ47" s="47">
        <f>cOutputs!BJ44</f>
        <v>0</v>
      </c>
      <c r="BK47" s="47">
        <f>cOutputs!BK44</f>
        <v>0</v>
      </c>
      <c r="BL47" s="47">
        <f>cOutputs!BL44</f>
        <v>0</v>
      </c>
      <c r="BM47" s="47">
        <f>cOutputs!BM44</f>
        <v>0</v>
      </c>
    </row>
    <row r="48" spans="1:65" outlineLevel="1">
      <c r="F48" s="18"/>
      <c r="G48" s="17"/>
    </row>
    <row r="49" spans="1:66" outlineLevel="1">
      <c r="A49" s="19">
        <f>SUM(C49:BM49)</f>
        <v>0</v>
      </c>
      <c r="F49" s="27" t="s">
        <v>329</v>
      </c>
      <c r="G49" s="17"/>
      <c r="AA49" s="19">
        <f t="shared" ref="AA49:BE49" si="7">IF(ABS(SUM(AA43:AA47)-AA42)&lt;eTol,0,1)</f>
        <v>0</v>
      </c>
      <c r="AB49" s="19">
        <f t="shared" si="7"/>
        <v>0</v>
      </c>
      <c r="AC49" s="19">
        <f t="shared" si="7"/>
        <v>0</v>
      </c>
      <c r="AD49" s="19">
        <f t="shared" si="7"/>
        <v>0</v>
      </c>
      <c r="AE49" s="19">
        <f t="shared" si="7"/>
        <v>0</v>
      </c>
      <c r="AF49" s="19">
        <f t="shared" si="7"/>
        <v>0</v>
      </c>
      <c r="AG49" s="19">
        <f t="shared" si="7"/>
        <v>0</v>
      </c>
      <c r="AH49" s="19">
        <f t="shared" si="7"/>
        <v>0</v>
      </c>
      <c r="AI49" s="19">
        <f t="shared" si="7"/>
        <v>0</v>
      </c>
      <c r="AJ49" s="19">
        <f t="shared" si="7"/>
        <v>0</v>
      </c>
      <c r="AK49" s="19">
        <f t="shared" si="7"/>
        <v>0</v>
      </c>
      <c r="AL49" s="19">
        <f t="shared" si="7"/>
        <v>0</v>
      </c>
      <c r="AM49" s="19">
        <f t="shared" si="7"/>
        <v>0</v>
      </c>
      <c r="AN49" s="19">
        <f t="shared" si="7"/>
        <v>0</v>
      </c>
      <c r="AO49" s="19">
        <f t="shared" si="7"/>
        <v>0</v>
      </c>
      <c r="AP49" s="19">
        <f t="shared" si="7"/>
        <v>0</v>
      </c>
      <c r="AQ49" s="19">
        <f t="shared" si="7"/>
        <v>0</v>
      </c>
      <c r="AR49" s="19">
        <f t="shared" si="7"/>
        <v>0</v>
      </c>
      <c r="AS49" s="19">
        <f t="shared" si="7"/>
        <v>0</v>
      </c>
      <c r="AT49" s="19">
        <f t="shared" si="7"/>
        <v>0</v>
      </c>
      <c r="AU49" s="19">
        <f t="shared" si="7"/>
        <v>0</v>
      </c>
      <c r="AV49" s="19">
        <f t="shared" si="7"/>
        <v>0</v>
      </c>
      <c r="AW49" s="19">
        <f t="shared" si="7"/>
        <v>0</v>
      </c>
      <c r="AX49" s="19">
        <f t="shared" si="7"/>
        <v>0</v>
      </c>
      <c r="AY49" s="19">
        <f t="shared" si="7"/>
        <v>0</v>
      </c>
      <c r="AZ49" s="19">
        <f t="shared" si="7"/>
        <v>0</v>
      </c>
      <c r="BA49" s="19">
        <f t="shared" si="7"/>
        <v>0</v>
      </c>
      <c r="BB49" s="19">
        <f t="shared" si="7"/>
        <v>0</v>
      </c>
      <c r="BC49" s="19">
        <f t="shared" si="7"/>
        <v>0</v>
      </c>
      <c r="BD49" s="19">
        <f t="shared" si="7"/>
        <v>0</v>
      </c>
      <c r="BE49" s="19">
        <f t="shared" si="7"/>
        <v>0</v>
      </c>
      <c r="BG49" s="19">
        <f t="shared" ref="BG49:BM49" si="8">IF(ABS(SUM(BG43:BG47)-BG42)&lt;eTol,0,1)</f>
        <v>0</v>
      </c>
      <c r="BH49" s="19">
        <f t="shared" si="8"/>
        <v>0</v>
      </c>
      <c r="BI49" s="19">
        <f t="shared" si="8"/>
        <v>0</v>
      </c>
      <c r="BJ49" s="19">
        <f t="shared" si="8"/>
        <v>0</v>
      </c>
      <c r="BK49" s="19">
        <f t="shared" si="8"/>
        <v>0</v>
      </c>
      <c r="BL49" s="19">
        <f t="shared" si="8"/>
        <v>0</v>
      </c>
      <c r="BM49" s="19">
        <f t="shared" si="8"/>
        <v>0</v>
      </c>
    </row>
    <row r="50" spans="1:66">
      <c r="F50" s="18"/>
      <c r="G50" s="17"/>
    </row>
    <row r="51" spans="1:66" ht="14" thickBot="1">
      <c r="A51" s="25"/>
      <c r="B51" s="25"/>
      <c r="C51" s="25"/>
      <c r="D51" s="25"/>
      <c r="E51" s="25" t="s">
        <v>389</v>
      </c>
      <c r="F51" s="25" t="s">
        <v>254</v>
      </c>
      <c r="G51" s="25"/>
      <c r="H51" s="25"/>
      <c r="I51" s="25"/>
      <c r="J51" s="25"/>
      <c r="K51" s="25"/>
      <c r="L51" s="25"/>
      <c r="M51" s="25"/>
      <c r="N51" s="25"/>
      <c r="O51" s="25"/>
      <c r="P51" s="25"/>
      <c r="Q51" s="25"/>
      <c r="R51" s="25"/>
      <c r="S51" s="25"/>
      <c r="T51" s="25"/>
      <c r="U51" s="25"/>
      <c r="V51" s="25"/>
      <c r="W51" s="25"/>
      <c r="X51" s="25"/>
      <c r="Y51" s="25"/>
      <c r="Z51" s="25"/>
      <c r="AA51" s="25"/>
      <c r="AB51" s="25"/>
      <c r="AC51" s="25"/>
      <c r="AD51" s="25"/>
      <c r="AE51" s="25"/>
      <c r="AF51" s="25"/>
      <c r="AG51" s="25"/>
      <c r="AH51" s="25"/>
      <c r="AI51" s="25"/>
      <c r="AJ51" s="25"/>
      <c r="AK51" s="25"/>
      <c r="AL51" s="25"/>
      <c r="AM51" s="25"/>
      <c r="AN51" s="25"/>
      <c r="AO51" s="25"/>
      <c r="AP51" s="25"/>
      <c r="AQ51" s="25"/>
      <c r="AR51" s="25"/>
      <c r="AS51" s="25"/>
      <c r="AT51" s="25"/>
      <c r="AU51" s="25"/>
      <c r="AV51" s="25"/>
      <c r="AW51" s="25"/>
      <c r="AX51" s="25"/>
      <c r="AY51" s="25"/>
      <c r="AZ51" s="25"/>
      <c r="BA51" s="25"/>
      <c r="BB51" s="25"/>
      <c r="BC51" s="25"/>
      <c r="BD51" s="25"/>
      <c r="BE51" s="25"/>
      <c r="BF51" s="25"/>
      <c r="BG51" s="25"/>
      <c r="BH51" s="25"/>
      <c r="BI51" s="25"/>
      <c r="BJ51" s="25"/>
      <c r="BK51" s="25"/>
      <c r="BL51" s="25"/>
      <c r="BM51" s="25"/>
      <c r="BN51" s="25"/>
    </row>
    <row r="52" spans="1:66">
      <c r="F52" s="18"/>
      <c r="G52" s="17"/>
    </row>
    <row r="53" spans="1:66" ht="13">
      <c r="F53" s="26" t="s">
        <v>251</v>
      </c>
      <c r="G53" s="17"/>
    </row>
    <row r="54" spans="1:66">
      <c r="F54" s="18"/>
      <c r="G54" s="17"/>
    </row>
    <row r="55" spans="1:66">
      <c r="F55" s="37" t="s">
        <v>252</v>
      </c>
      <c r="G55" s="17" t="str">
        <f t="shared" ref="G55:G60" si="9">cstNominalUnit</f>
        <v>£ Nominal</v>
      </c>
      <c r="I55"/>
      <c r="AA55" s="82">
        <f>cOutputs!AA50</f>
        <v>3045073.0031171548</v>
      </c>
      <c r="AB55" s="82">
        <f>cOutputs!AB50</f>
        <v>5955811.7531171553</v>
      </c>
      <c r="AC55" s="82">
        <f>cOutputs!AC50</f>
        <v>8358754.9386820085</v>
      </c>
      <c r="AD55" s="82">
        <f>cOutputs!AD50</f>
        <v>10822758.077325575</v>
      </c>
      <c r="AE55" s="82">
        <f>cOutputs!AE50</f>
        <v>13397669.357276117</v>
      </c>
      <c r="AF55" s="82">
        <f>cOutputs!AF50</f>
        <v>15988500.462154428</v>
      </c>
      <c r="AG55" s="82">
        <f>cOutputs!AG50</f>
        <v>18803392.110834312</v>
      </c>
      <c r="AH55" s="82">
        <f>cOutputs!AH50</f>
        <v>21580369.07479278</v>
      </c>
      <c r="AI55" s="82">
        <f>cOutputs!AI50</f>
        <v>24373824.608428895</v>
      </c>
      <c r="AJ55" s="82">
        <f>cOutputs!AJ50</f>
        <v>27238294.311876688</v>
      </c>
      <c r="AK55" s="82">
        <f>cOutputs!AK50</f>
        <v>30233252.163583234</v>
      </c>
      <c r="AL55" s="82">
        <f>cOutputs!AL50</f>
        <v>33428639.58478919</v>
      </c>
      <c r="AM55" s="82">
        <f>cOutputs!AM50</f>
        <v>36517202.42257075</v>
      </c>
      <c r="AN55" s="82">
        <f>cOutputs!AN50</f>
        <v>39747315.169438206</v>
      </c>
      <c r="AO55" s="82">
        <f>cOutputs!AO50</f>
        <v>42994960.615913883</v>
      </c>
      <c r="AP55" s="82">
        <f>cOutputs!AP50</f>
        <v>46325203.531221442</v>
      </c>
      <c r="AQ55" s="82">
        <f>cOutputs!AQ50</f>
        <v>50021627.62999697</v>
      </c>
      <c r="AR55" s="82">
        <f>cOutputs!AR50</f>
        <v>53523440.806937926</v>
      </c>
      <c r="AS55" s="82">
        <f>cOutputs!AS50</f>
        <v>57114336.050981887</v>
      </c>
      <c r="AT55" s="82">
        <f>cOutputs!AT50</f>
        <v>60871824.03140875</v>
      </c>
      <c r="AU55" s="82">
        <f>cOutputs!AU50</f>
        <v>64647761.082991727</v>
      </c>
      <c r="AV55" s="82">
        <f>cOutputs!AV50</f>
        <v>68766264.82637006</v>
      </c>
      <c r="AW55" s="82">
        <f>cOutputs!AW50</f>
        <v>72819023.58317858</v>
      </c>
      <c r="AX55" s="82">
        <f>cOutputs!AX50</f>
        <v>76890613.392874807</v>
      </c>
      <c r="AY55" s="82">
        <f>cOutputs!AY50</f>
        <v>81065827.892968789</v>
      </c>
      <c r="AZ55" s="82">
        <f>cOutputs!AZ50</f>
        <v>85437150.27720955</v>
      </c>
      <c r="BA55" s="82">
        <f>cOutputs!BA50</f>
        <v>90113367.290983424</v>
      </c>
      <c r="BB55" s="82">
        <f>cOutputs!BB50</f>
        <v>94615602.772693127</v>
      </c>
      <c r="BC55" s="82">
        <f>cOutputs!BC50</f>
        <v>99330627.280989483</v>
      </c>
      <c r="BD55" s="82">
        <f>cOutputs!BD50</f>
        <v>104065032.51641878</v>
      </c>
      <c r="BE55" s="82">
        <f>cOutputs!BE50</f>
        <v>108919988.90321054</v>
      </c>
      <c r="BG55" s="82">
        <f>cOutputs!BG50</f>
        <v>3045073.0031171548</v>
      </c>
      <c r="BH55" s="82">
        <f>cOutputs!BH50</f>
        <v>15988500.462154428</v>
      </c>
      <c r="BI55" s="82">
        <f>cOutputs!BI50</f>
        <v>30233252.163583234</v>
      </c>
      <c r="BJ55" s="82">
        <f>cOutputs!BJ50</f>
        <v>46325203.531221442</v>
      </c>
      <c r="BK55" s="82">
        <f>cOutputs!BK50</f>
        <v>64647761.082991727</v>
      </c>
      <c r="BL55" s="82">
        <f>cOutputs!BL50</f>
        <v>85437150.27720955</v>
      </c>
      <c r="BM55" s="82">
        <f>cOutputs!BM50</f>
        <v>108919988.90321054</v>
      </c>
    </row>
    <row r="56" spans="1:66" outlineLevel="1">
      <c r="F56" s="18" t="s">
        <v>214</v>
      </c>
      <c r="G56" s="17" t="str">
        <f t="shared" si="9"/>
        <v>£ Nominal</v>
      </c>
      <c r="I56"/>
      <c r="AA56" s="47">
        <f>cOutputs!AA51</f>
        <v>0</v>
      </c>
      <c r="AB56" s="47">
        <f>cOutputs!AB51</f>
        <v>0</v>
      </c>
      <c r="AC56" s="47">
        <f>cOutputs!AC51</f>
        <v>0</v>
      </c>
      <c r="AD56" s="47">
        <f>cOutputs!AD51</f>
        <v>0</v>
      </c>
      <c r="AE56" s="47">
        <f>cOutputs!AE51</f>
        <v>0</v>
      </c>
      <c r="AF56" s="47">
        <f>cOutputs!AF51</f>
        <v>0</v>
      </c>
      <c r="AG56" s="47">
        <f>cOutputs!AG51</f>
        <v>0</v>
      </c>
      <c r="AH56" s="47">
        <f>cOutputs!AH51</f>
        <v>0</v>
      </c>
      <c r="AI56" s="47">
        <f>cOutputs!AI51</f>
        <v>0</v>
      </c>
      <c r="AJ56" s="47">
        <f>cOutputs!AJ51</f>
        <v>0</v>
      </c>
      <c r="AK56" s="47">
        <f>cOutputs!AK51</f>
        <v>0</v>
      </c>
      <c r="AL56" s="47">
        <f>cOutputs!AL51</f>
        <v>0</v>
      </c>
      <c r="AM56" s="47">
        <f>cOutputs!AM51</f>
        <v>0</v>
      </c>
      <c r="AN56" s="47">
        <f>cOutputs!AN51</f>
        <v>0</v>
      </c>
      <c r="AO56" s="47">
        <f>cOutputs!AO51</f>
        <v>0</v>
      </c>
      <c r="AP56" s="47">
        <f>cOutputs!AP51</f>
        <v>0</v>
      </c>
      <c r="AQ56" s="47">
        <f>cOutputs!AQ51</f>
        <v>0</v>
      </c>
      <c r="AR56" s="47">
        <f>cOutputs!AR51</f>
        <v>0</v>
      </c>
      <c r="AS56" s="47">
        <f>cOutputs!AS51</f>
        <v>0</v>
      </c>
      <c r="AT56" s="47">
        <f>cOutputs!AT51</f>
        <v>0</v>
      </c>
      <c r="AU56" s="47">
        <f>cOutputs!AU51</f>
        <v>0</v>
      </c>
      <c r="AV56" s="47">
        <f>cOutputs!AV51</f>
        <v>0</v>
      </c>
      <c r="AW56" s="47">
        <f>cOutputs!AW51</f>
        <v>0</v>
      </c>
      <c r="AX56" s="47">
        <f>cOutputs!AX51</f>
        <v>0</v>
      </c>
      <c r="AY56" s="47">
        <f>cOutputs!AY51</f>
        <v>0</v>
      </c>
      <c r="AZ56" s="47">
        <f>cOutputs!AZ51</f>
        <v>0</v>
      </c>
      <c r="BA56" s="47">
        <f>cOutputs!BA51</f>
        <v>0</v>
      </c>
      <c r="BB56" s="47">
        <f>cOutputs!BB51</f>
        <v>0</v>
      </c>
      <c r="BC56" s="47">
        <f>cOutputs!BC51</f>
        <v>0</v>
      </c>
      <c r="BD56" s="47">
        <f>cOutputs!BD51</f>
        <v>0</v>
      </c>
      <c r="BE56" s="47">
        <f>cOutputs!BE51</f>
        <v>0</v>
      </c>
      <c r="BG56" s="47">
        <f>cOutputs!BG51</f>
        <v>0</v>
      </c>
      <c r="BH56" s="47">
        <f>cOutputs!BH51</f>
        <v>0</v>
      </c>
      <c r="BI56" s="47">
        <f>cOutputs!BI51</f>
        <v>0</v>
      </c>
      <c r="BJ56" s="47">
        <f>cOutputs!BJ51</f>
        <v>0</v>
      </c>
      <c r="BK56" s="47">
        <f>cOutputs!BK51</f>
        <v>0</v>
      </c>
      <c r="BL56" s="47">
        <f>cOutputs!BL51</f>
        <v>0</v>
      </c>
      <c r="BM56" s="47">
        <f>cOutputs!BM51</f>
        <v>0</v>
      </c>
    </row>
    <row r="57" spans="1:66" outlineLevel="1">
      <c r="F57" s="18" t="s">
        <v>42</v>
      </c>
      <c r="G57" s="17" t="str">
        <f t="shared" si="9"/>
        <v>£ Nominal</v>
      </c>
      <c r="I57"/>
      <c r="AA57" s="47">
        <f>cOutputs!AA52</f>
        <v>0</v>
      </c>
      <c r="AB57" s="47">
        <f>cOutputs!AB52</f>
        <v>2151871.7050209204</v>
      </c>
      <c r="AC57" s="47">
        <f>cOutputs!AC52</f>
        <v>4357540.2026673639</v>
      </c>
      <c r="AD57" s="47">
        <f>cOutputs!AD52</f>
        <v>6618350.4127549678</v>
      </c>
      <c r="AE57" s="47">
        <f>cOutputs!AE52</f>
        <v>8935680.8780947626</v>
      </c>
      <c r="AF57" s="47">
        <f>cOutputs!AF52</f>
        <v>11310944.605068052</v>
      </c>
      <c r="AG57" s="47">
        <f>cOutputs!AG52</f>
        <v>13745589.925215673</v>
      </c>
      <c r="AH57" s="47">
        <f>cOutputs!AH52</f>
        <v>16241101.378366984</v>
      </c>
      <c r="AI57" s="47">
        <f>cOutputs!AI52</f>
        <v>18799000.617847078</v>
      </c>
      <c r="AJ57" s="47">
        <f>cOutputs!AJ52</f>
        <v>21420847.338314172</v>
      </c>
      <c r="AK57" s="47">
        <f>cOutputs!AK52</f>
        <v>24108240.226792943</v>
      </c>
      <c r="AL57" s="47">
        <f>cOutputs!AL52</f>
        <v>26862817.937483683</v>
      </c>
      <c r="AM57" s="47">
        <f>cOutputs!AM52</f>
        <v>29686260.090941694</v>
      </c>
      <c r="AN57" s="47">
        <f>cOutputs!AN52</f>
        <v>32580288.298236154</v>
      </c>
      <c r="AO57" s="47">
        <f>cOutputs!AO52</f>
        <v>35546667.210712977</v>
      </c>
      <c r="AP57" s="47">
        <f>cOutputs!AP52</f>
        <v>38587205.596001714</v>
      </c>
      <c r="AQ57" s="47">
        <f>cOutputs!AQ52</f>
        <v>41703757.440922678</v>
      </c>
      <c r="AR57" s="47">
        <f>cOutputs!AR52</f>
        <v>44898223.081966661</v>
      </c>
      <c r="AS57" s="47">
        <f>cOutputs!AS52</f>
        <v>48172550.364036746</v>
      </c>
      <c r="AT57" s="47">
        <f>cOutputs!AT52</f>
        <v>51528735.82815858</v>
      </c>
      <c r="AU57" s="47">
        <f>cOutputs!AU52</f>
        <v>54968825.928883463</v>
      </c>
      <c r="AV57" s="47">
        <f>cOutputs!AV52</f>
        <v>58494918.282126464</v>
      </c>
      <c r="AW57" s="47">
        <f>cOutputs!AW52</f>
        <v>62109162.944200538</v>
      </c>
      <c r="AX57" s="47">
        <f>cOutputs!AX52</f>
        <v>65813763.722826466</v>
      </c>
      <c r="AY57" s="47">
        <f>cOutputs!AY52</f>
        <v>69610979.520918041</v>
      </c>
      <c r="AZ57" s="47">
        <f>cOutputs!AZ52</f>
        <v>73503125.713961899</v>
      </c>
      <c r="BA57" s="47">
        <f>cOutputs!BA52</f>
        <v>77492575.561831862</v>
      </c>
      <c r="BB57" s="47">
        <f>cOutputs!BB52</f>
        <v>81581761.655898571</v>
      </c>
      <c r="BC57" s="47">
        <f>cOutputs!BC52</f>
        <v>85773177.402316943</v>
      </c>
      <c r="BD57" s="47">
        <f>cOutputs!BD52</f>
        <v>90069378.542395785</v>
      </c>
      <c r="BE57" s="47">
        <f>cOutputs!BE52</f>
        <v>94472984.710976586</v>
      </c>
      <c r="BG57" s="47">
        <f>cOutputs!BG52</f>
        <v>0</v>
      </c>
      <c r="BH57" s="47">
        <f>cOutputs!BH52</f>
        <v>11310944.605068052</v>
      </c>
      <c r="BI57" s="47">
        <f>cOutputs!BI52</f>
        <v>24108240.226792943</v>
      </c>
      <c r="BJ57" s="47">
        <f>cOutputs!BJ52</f>
        <v>38587205.596001714</v>
      </c>
      <c r="BK57" s="47">
        <f>cOutputs!BK52</f>
        <v>54968825.928883463</v>
      </c>
      <c r="BL57" s="47">
        <f>cOutputs!BL52</f>
        <v>73503125.713961899</v>
      </c>
      <c r="BM57" s="47">
        <f>cOutputs!BM52</f>
        <v>94472984.710976586</v>
      </c>
    </row>
    <row r="58" spans="1:66" outlineLevel="1">
      <c r="F58" s="18" t="s">
        <v>227</v>
      </c>
      <c r="G58" s="17" t="str">
        <f t="shared" si="9"/>
        <v>£ Nominal</v>
      </c>
      <c r="I58"/>
      <c r="AA58" s="47">
        <f>cOutputs!AA53</f>
        <v>0</v>
      </c>
      <c r="AB58" s="47">
        <f>cOutputs!AB53</f>
        <v>727931.16736401664</v>
      </c>
      <c r="AC58" s="47">
        <f>cOutputs!AC53</f>
        <v>893341.90133891208</v>
      </c>
      <c r="AD58" s="47">
        <f>cOutputs!AD53</f>
        <v>1063714.9573330544</v>
      </c>
      <c r="AE58" s="47">
        <f>cOutputs!AE53</f>
        <v>1287491.3032051276</v>
      </c>
      <c r="AF58" s="47">
        <f>cOutputs!AF53</f>
        <v>1468240.0783093132</v>
      </c>
      <c r="AG58" s="47">
        <f>cOutputs!AG53</f>
        <v>1812623.2459567168</v>
      </c>
      <c r="AH58" s="47">
        <f>cOutputs!AH53</f>
        <v>2057149.7010524699</v>
      </c>
      <c r="AI58" s="47">
        <f>cOutputs!AI53</f>
        <v>2254658.7678257413</v>
      </c>
      <c r="AJ58" s="47">
        <f>cOutputs!AJ53</f>
        <v>2458093.106602211</v>
      </c>
      <c r="AK58" s="47">
        <f>cOutputs!AK53</f>
        <v>2725293.7662996277</v>
      </c>
      <c r="AL58" s="47">
        <f>cOutputs!AL53</f>
        <v>3124528.2441785731</v>
      </c>
      <c r="AM58" s="47">
        <f>cOutputs!AM53</f>
        <v>3346826.4388867682</v>
      </c>
      <c r="AN58" s="47">
        <f>cOutputs!AN53</f>
        <v>3638803.8141559474</v>
      </c>
      <c r="AO58" s="47">
        <f>cOutputs!AO53</f>
        <v>3874639.9689218719</v>
      </c>
      <c r="AP58" s="47">
        <f>cOutputs!AP53</f>
        <v>4117551.2083307737</v>
      </c>
      <c r="AQ58" s="47">
        <f>cOutputs!AQ53</f>
        <v>4649226.3728571273</v>
      </c>
      <c r="AR58" s="47">
        <f>cOutputs!AR53</f>
        <v>4906930.9067460317</v>
      </c>
      <c r="AS58" s="47">
        <f>cOutputs!AS53</f>
        <v>5172366.576651603</v>
      </c>
      <c r="AT58" s="47">
        <f>cOutputs!AT53</f>
        <v>5521002.8321262766</v>
      </c>
      <c r="AU58" s="47">
        <f>cOutputs!AU53</f>
        <v>5802603.5343290977</v>
      </c>
      <c r="AV58" s="47">
        <f>cOutputs!AV53</f>
        <v>6339141.2883495111</v>
      </c>
      <c r="AW58" s="47">
        <f>cOutputs!AW53</f>
        <v>6720105.5378855849</v>
      </c>
      <c r="AX58" s="47">
        <f>cOutputs!AX53</f>
        <v>7027818.2284015669</v>
      </c>
      <c r="AY58" s="47">
        <f>cOutputs!AY53</f>
        <v>7344762.299633028</v>
      </c>
      <c r="AZ58" s="47">
        <f>cOutputs!AZ53</f>
        <v>7761052.2211358333</v>
      </c>
      <c r="BA58" s="47">
        <f>cOutputs!BA53</f>
        <v>8383046.52925485</v>
      </c>
      <c r="BB58" s="47">
        <f>cOutputs!BB53</f>
        <v>8729379.8733793907</v>
      </c>
      <c r="BC58" s="47">
        <f>cOutputs!BC53</f>
        <v>9184271.1104333866</v>
      </c>
      <c r="BD58" s="47">
        <f>cOutputs!BD53</f>
        <v>9551696.1552151125</v>
      </c>
      <c r="BE58" s="47">
        <f>cOutputs!BE53</f>
        <v>9930143.9513402898</v>
      </c>
      <c r="BG58" s="47">
        <f>cOutputs!BG53</f>
        <v>0</v>
      </c>
      <c r="BH58" s="47">
        <f>cOutputs!BH53</f>
        <v>1468240.0783093132</v>
      </c>
      <c r="BI58" s="47">
        <f>cOutputs!BI53</f>
        <v>2725293.7662996277</v>
      </c>
      <c r="BJ58" s="47">
        <f>cOutputs!BJ53</f>
        <v>4117551.2083307737</v>
      </c>
      <c r="BK58" s="47">
        <f>cOutputs!BK53</f>
        <v>5802603.5343290977</v>
      </c>
      <c r="BL58" s="47">
        <f>cOutputs!BL53</f>
        <v>7761052.2211358333</v>
      </c>
      <c r="BM58" s="47">
        <f>cOutputs!BM53</f>
        <v>9930143.9513402898</v>
      </c>
    </row>
    <row r="59" spans="1:66" outlineLevel="1">
      <c r="F59" s="18" t="s">
        <v>121</v>
      </c>
      <c r="G59" s="17" t="str">
        <f t="shared" si="9"/>
        <v>£ Nominal</v>
      </c>
      <c r="I59"/>
      <c r="AA59" s="47">
        <f>cOutputs!AA54</f>
        <v>0</v>
      </c>
      <c r="AB59" s="47">
        <f>cOutputs!AB54</f>
        <v>0</v>
      </c>
      <c r="AC59" s="47">
        <f>cOutputs!AC54</f>
        <v>0</v>
      </c>
      <c r="AD59" s="47">
        <f>cOutputs!AD54</f>
        <v>0</v>
      </c>
      <c r="AE59" s="47">
        <f>cOutputs!AE54</f>
        <v>0</v>
      </c>
      <c r="AF59" s="47">
        <f>cOutputs!AF54</f>
        <v>0</v>
      </c>
      <c r="AG59" s="47">
        <f>cOutputs!AG54</f>
        <v>0</v>
      </c>
      <c r="AH59" s="47">
        <f>cOutputs!AH54</f>
        <v>0</v>
      </c>
      <c r="AI59" s="47">
        <f>cOutputs!AI54</f>
        <v>0</v>
      </c>
      <c r="AJ59" s="47">
        <f>cOutputs!AJ54</f>
        <v>0</v>
      </c>
      <c r="AK59" s="47">
        <f>cOutputs!AK54</f>
        <v>0</v>
      </c>
      <c r="AL59" s="47">
        <f>cOutputs!AL54</f>
        <v>0</v>
      </c>
      <c r="AM59" s="47">
        <f>cOutputs!AM54</f>
        <v>0</v>
      </c>
      <c r="AN59" s="47">
        <f>cOutputs!AN54</f>
        <v>0</v>
      </c>
      <c r="AO59" s="47">
        <f>cOutputs!AO54</f>
        <v>0</v>
      </c>
      <c r="AP59" s="47">
        <f>cOutputs!AP54</f>
        <v>0</v>
      </c>
      <c r="AQ59" s="47">
        <f>cOutputs!AQ54</f>
        <v>0</v>
      </c>
      <c r="AR59" s="47">
        <f>cOutputs!AR54</f>
        <v>0</v>
      </c>
      <c r="AS59" s="47">
        <f>cOutputs!AS54</f>
        <v>0</v>
      </c>
      <c r="AT59" s="47">
        <f>cOutputs!AT54</f>
        <v>0</v>
      </c>
      <c r="AU59" s="47">
        <f>cOutputs!AU54</f>
        <v>0</v>
      </c>
      <c r="AV59" s="47">
        <f>cOutputs!AV54</f>
        <v>0</v>
      </c>
      <c r="AW59" s="47">
        <f>cOutputs!AW54</f>
        <v>0</v>
      </c>
      <c r="AX59" s="47">
        <f>cOutputs!AX54</f>
        <v>0</v>
      </c>
      <c r="AY59" s="47">
        <f>cOutputs!AY54</f>
        <v>0</v>
      </c>
      <c r="AZ59" s="47">
        <f>cOutputs!AZ54</f>
        <v>0</v>
      </c>
      <c r="BA59" s="47">
        <f>cOutputs!BA54</f>
        <v>0</v>
      </c>
      <c r="BB59" s="47">
        <f>cOutputs!BB54</f>
        <v>0</v>
      </c>
      <c r="BC59" s="47">
        <f>cOutputs!BC54</f>
        <v>0</v>
      </c>
      <c r="BD59" s="47">
        <f>cOutputs!BD54</f>
        <v>0</v>
      </c>
      <c r="BE59" s="47">
        <f>cOutputs!BE54</f>
        <v>0</v>
      </c>
      <c r="BG59" s="47">
        <f>cOutputs!BG54</f>
        <v>0</v>
      </c>
      <c r="BH59" s="47">
        <f>cOutputs!BH54</f>
        <v>0</v>
      </c>
      <c r="BI59" s="47">
        <f>cOutputs!BI54</f>
        <v>0</v>
      </c>
      <c r="BJ59" s="47">
        <f>cOutputs!BJ54</f>
        <v>0</v>
      </c>
      <c r="BK59" s="47">
        <f>cOutputs!BK54</f>
        <v>0</v>
      </c>
      <c r="BL59" s="47">
        <f>cOutputs!BL54</f>
        <v>0</v>
      </c>
      <c r="BM59" s="47">
        <f>cOutputs!BM54</f>
        <v>0</v>
      </c>
    </row>
    <row r="60" spans="1:66" outlineLevel="1">
      <c r="F60" s="18" t="s">
        <v>245</v>
      </c>
      <c r="G60" s="17" t="str">
        <f t="shared" si="9"/>
        <v>£ Nominal</v>
      </c>
      <c r="I60"/>
      <c r="AA60" s="47">
        <f>cOutputs!AA55</f>
        <v>3045073.0031171548</v>
      </c>
      <c r="AB60" s="47">
        <f>cOutputs!AB55</f>
        <v>3076008.8807322178</v>
      </c>
      <c r="AC60" s="47">
        <f>cOutputs!AC55</f>
        <v>3107872.8346757325</v>
      </c>
      <c r="AD60" s="47">
        <f>cOutputs!AD55</f>
        <v>3140692.7072375529</v>
      </c>
      <c r="AE60" s="47">
        <f>cOutputs!AE55</f>
        <v>3174497.1759762275</v>
      </c>
      <c r="AF60" s="47">
        <f>cOutputs!AF55</f>
        <v>3209315.7787770624</v>
      </c>
      <c r="AG60" s="47">
        <f>cOutputs!AG55</f>
        <v>3245178.9396619224</v>
      </c>
      <c r="AH60" s="47">
        <f>cOutputs!AH55</f>
        <v>3282117.9953733282</v>
      </c>
      <c r="AI60" s="47">
        <f>cOutputs!AI55</f>
        <v>3320165.2227560761</v>
      </c>
      <c r="AJ60" s="47">
        <f>cOutputs!AJ55</f>
        <v>3359353.8669603067</v>
      </c>
      <c r="AK60" s="47">
        <f>cOutputs!AK55</f>
        <v>3399718.170490664</v>
      </c>
      <c r="AL60" s="47">
        <f>cOutputs!AL55</f>
        <v>3441293.4031269322</v>
      </c>
      <c r="AM60" s="47">
        <f>cOutputs!AM55</f>
        <v>3484115.8927422883</v>
      </c>
      <c r="AN60" s="47">
        <f>cOutputs!AN55</f>
        <v>3528223.0570461052</v>
      </c>
      <c r="AO60" s="47">
        <f>cOutputs!AO55</f>
        <v>3573653.4362790366</v>
      </c>
      <c r="AP60" s="47">
        <f>cOutputs!AP55</f>
        <v>3620446.7268889556</v>
      </c>
      <c r="AQ60" s="47">
        <f>cOutputs!AQ55</f>
        <v>3668643.8162171724</v>
      </c>
      <c r="AR60" s="47">
        <f>cOutputs!AR55</f>
        <v>3718286.8182252357</v>
      </c>
      <c r="AS60" s="47">
        <f>cOutputs!AS55</f>
        <v>3769419.1102935406</v>
      </c>
      <c r="AT60" s="47">
        <f>cOutputs!AT55</f>
        <v>3822085.371123895</v>
      </c>
      <c r="AU60" s="47">
        <f>cOutputs!AU55</f>
        <v>3876331.6197791602</v>
      </c>
      <c r="AV60" s="47">
        <f>cOutputs!AV55</f>
        <v>3932205.2558940831</v>
      </c>
      <c r="AW60" s="47">
        <f>cOutputs!AW55</f>
        <v>3989755.1010924536</v>
      </c>
      <c r="AX60" s="47">
        <f>cOutputs!AX55</f>
        <v>4049031.4416467752</v>
      </c>
      <c r="AY60" s="47">
        <f>cOutputs!AY55</f>
        <v>4110086.0724177267</v>
      </c>
      <c r="AZ60" s="47">
        <f>cOutputs!AZ55</f>
        <v>4172972.3421118069</v>
      </c>
      <c r="BA60" s="47">
        <f>cOutputs!BA55</f>
        <v>4237745.1998967091</v>
      </c>
      <c r="BB60" s="47">
        <f>cOutputs!BB55</f>
        <v>4304461.2434151582</v>
      </c>
      <c r="BC60" s="47">
        <f>cOutputs!BC55</f>
        <v>4373178.768239161</v>
      </c>
      <c r="BD60" s="47">
        <f>cOutputs!BD55</f>
        <v>4443957.8188078841</v>
      </c>
      <c r="BE60" s="47">
        <f>cOutputs!BE55</f>
        <v>4516860.2408936685</v>
      </c>
      <c r="BG60" s="47">
        <f>cOutputs!BG55</f>
        <v>3045073.0031171548</v>
      </c>
      <c r="BH60" s="47">
        <f>cOutputs!BH55</f>
        <v>3209315.7787770624</v>
      </c>
      <c r="BI60" s="47">
        <f>cOutputs!BI55</f>
        <v>3399718.170490664</v>
      </c>
      <c r="BJ60" s="47">
        <f>cOutputs!BJ55</f>
        <v>3620446.7268889556</v>
      </c>
      <c r="BK60" s="47">
        <f>cOutputs!BK55</f>
        <v>3876331.6197791602</v>
      </c>
      <c r="BL60" s="47">
        <f>cOutputs!BL55</f>
        <v>4172972.3421118069</v>
      </c>
      <c r="BM60" s="47">
        <f>cOutputs!BM55</f>
        <v>4516860.2408936685</v>
      </c>
    </row>
    <row r="61" spans="1:66" outlineLevel="1">
      <c r="F61" s="18"/>
      <c r="G61" s="17"/>
    </row>
    <row r="62" spans="1:66" outlineLevel="1">
      <c r="A62" s="19">
        <f>SUM(C62:BM62)</f>
        <v>0</v>
      </c>
      <c r="F62" s="27" t="s">
        <v>329</v>
      </c>
      <c r="G62" s="17"/>
      <c r="AA62" s="19">
        <f t="shared" ref="AA62:BE62" si="10">IF(ABS(SUM(AA56:AA60)-AA55)&lt;eTol,0,1)</f>
        <v>0</v>
      </c>
      <c r="AB62" s="19">
        <f t="shared" si="10"/>
        <v>0</v>
      </c>
      <c r="AC62" s="19">
        <f t="shared" si="10"/>
        <v>0</v>
      </c>
      <c r="AD62" s="19">
        <f t="shared" si="10"/>
        <v>0</v>
      </c>
      <c r="AE62" s="19">
        <f t="shared" si="10"/>
        <v>0</v>
      </c>
      <c r="AF62" s="19">
        <f t="shared" si="10"/>
        <v>0</v>
      </c>
      <c r="AG62" s="19">
        <f t="shared" si="10"/>
        <v>0</v>
      </c>
      <c r="AH62" s="19">
        <f t="shared" si="10"/>
        <v>0</v>
      </c>
      <c r="AI62" s="19">
        <f t="shared" si="10"/>
        <v>0</v>
      </c>
      <c r="AJ62" s="19">
        <f t="shared" si="10"/>
        <v>0</v>
      </c>
      <c r="AK62" s="19">
        <f t="shared" si="10"/>
        <v>0</v>
      </c>
      <c r="AL62" s="19">
        <f t="shared" si="10"/>
        <v>0</v>
      </c>
      <c r="AM62" s="19">
        <f t="shared" si="10"/>
        <v>0</v>
      </c>
      <c r="AN62" s="19">
        <f t="shared" si="10"/>
        <v>0</v>
      </c>
      <c r="AO62" s="19">
        <f t="shared" si="10"/>
        <v>0</v>
      </c>
      <c r="AP62" s="19">
        <f t="shared" si="10"/>
        <v>0</v>
      </c>
      <c r="AQ62" s="19">
        <f t="shared" si="10"/>
        <v>0</v>
      </c>
      <c r="AR62" s="19">
        <f t="shared" si="10"/>
        <v>0</v>
      </c>
      <c r="AS62" s="19">
        <f t="shared" si="10"/>
        <v>0</v>
      </c>
      <c r="AT62" s="19">
        <f t="shared" si="10"/>
        <v>0</v>
      </c>
      <c r="AU62" s="19">
        <f t="shared" si="10"/>
        <v>0</v>
      </c>
      <c r="AV62" s="19">
        <f t="shared" si="10"/>
        <v>0</v>
      </c>
      <c r="AW62" s="19">
        <f t="shared" si="10"/>
        <v>0</v>
      </c>
      <c r="AX62" s="19">
        <f t="shared" si="10"/>
        <v>0</v>
      </c>
      <c r="AY62" s="19">
        <f t="shared" si="10"/>
        <v>0</v>
      </c>
      <c r="AZ62" s="19">
        <f t="shared" si="10"/>
        <v>0</v>
      </c>
      <c r="BA62" s="19">
        <f t="shared" si="10"/>
        <v>0</v>
      </c>
      <c r="BB62" s="19">
        <f t="shared" si="10"/>
        <v>0</v>
      </c>
      <c r="BC62" s="19">
        <f t="shared" si="10"/>
        <v>0</v>
      </c>
      <c r="BD62" s="19">
        <f t="shared" si="10"/>
        <v>0</v>
      </c>
      <c r="BE62" s="19">
        <f t="shared" si="10"/>
        <v>0</v>
      </c>
      <c r="BG62" s="19">
        <f t="shared" ref="BG62:BM62" si="11">IF(ABS(SUM(BG56:BG60)-BG55)&lt;eTol,0,1)</f>
        <v>0</v>
      </c>
      <c r="BH62" s="19">
        <f t="shared" si="11"/>
        <v>0</v>
      </c>
      <c r="BI62" s="19">
        <f t="shared" si="11"/>
        <v>0</v>
      </c>
      <c r="BJ62" s="19">
        <f t="shared" si="11"/>
        <v>0</v>
      </c>
      <c r="BK62" s="19">
        <f t="shared" si="11"/>
        <v>0</v>
      </c>
      <c r="BL62" s="19">
        <f t="shared" si="11"/>
        <v>0</v>
      </c>
      <c r="BM62" s="19">
        <f t="shared" si="11"/>
        <v>0</v>
      </c>
    </row>
    <row r="63" spans="1:66">
      <c r="F63" s="18"/>
      <c r="G63" s="17"/>
      <c r="I63"/>
    </row>
    <row r="64" spans="1:66">
      <c r="F64" s="37" t="s">
        <v>253</v>
      </c>
      <c r="G64" s="17" t="str">
        <f t="shared" ref="G64:G69" si="12">cstNominalUnit</f>
        <v>£ Nominal</v>
      </c>
      <c r="I64"/>
      <c r="AA64" s="82">
        <f>cOutputs!AA57</f>
        <v>0</v>
      </c>
      <c r="AB64" s="82">
        <f>cOutputs!AB57</f>
        <v>2929889.531380753</v>
      </c>
      <c r="AC64" s="82">
        <f>cOutputs!AC57</f>
        <v>5352558.021767782</v>
      </c>
      <c r="AD64" s="82">
        <f>cOutputs!AD57</f>
        <v>7836878.22437819</v>
      </c>
      <c r="AE64" s="82">
        <f>cOutputs!AE57</f>
        <v>10432716.080214579</v>
      </c>
      <c r="AF64" s="82">
        <f>cOutputs!AF57</f>
        <v>13045101.558255309</v>
      </c>
      <c r="AG64" s="82">
        <f>cOutputs!AG57</f>
        <v>15882194.211292489</v>
      </c>
      <c r="AH64" s="82">
        <f>cOutputs!AH57</f>
        <v>18682038.20973897</v>
      </c>
      <c r="AI64" s="82">
        <f>cOutputs!AI57</f>
        <v>21499046.788897738</v>
      </c>
      <c r="AJ64" s="82">
        <f>cOutputs!AJ57</f>
        <v>24387776.129233867</v>
      </c>
      <c r="AK64" s="82">
        <f>cOutputs!AK57</f>
        <v>27407721.406935394</v>
      </c>
      <c r="AL64" s="82">
        <f>cOutputs!AL57</f>
        <v>30628845.876916181</v>
      </c>
      <c r="AM64" s="82">
        <f>cOutputs!AM57</f>
        <v>33743917.874935821</v>
      </c>
      <c r="AN64" s="82">
        <f>cOutputs!AN57</f>
        <v>37001335.056848489</v>
      </c>
      <c r="AO64" s="82">
        <f>cOutputs!AO57</f>
        <v>40277104.071420752</v>
      </c>
      <c r="AP64" s="82">
        <f>cOutputs!AP57</f>
        <v>43636314.261867784</v>
      </c>
      <c r="AQ64" s="82">
        <f>cOutputs!AQ57</f>
        <v>47362574.654036969</v>
      </c>
      <c r="AR64" s="82">
        <f>cOutputs!AR57</f>
        <v>50895119.213173389</v>
      </c>
      <c r="AS64" s="82">
        <f>cOutputs!AS57</f>
        <v>54517667.780878685</v>
      </c>
      <c r="AT64" s="82">
        <f>cOutputs!AT57</f>
        <v>58307758.684676722</v>
      </c>
      <c r="AU64" s="82">
        <f>cOutputs!AU57</f>
        <v>62117276.747331999</v>
      </c>
      <c r="AV64" s="82">
        <f>cOutputs!AV57</f>
        <v>66270368.93211481</v>
      </c>
      <c r="AW64" s="82">
        <f>cOutputs!AW57</f>
        <v>70358753.783569932</v>
      </c>
      <c r="AX64" s="82">
        <f>cOutputs!AX57</f>
        <v>74467038.47075218</v>
      </c>
      <c r="AY64" s="82">
        <f>cOutputs!AY57</f>
        <v>78680048.69465676</v>
      </c>
      <c r="AZ64" s="82">
        <f>cOutputs!AZ57</f>
        <v>83090300.674422413</v>
      </c>
      <c r="BA64" s="82">
        <f>cOutputs!BA57</f>
        <v>87806615.171586946</v>
      </c>
      <c r="BB64" s="82">
        <f>cOutputs!BB57</f>
        <v>92350151.061189011</v>
      </c>
      <c r="BC64" s="82">
        <f>cOutputs!BC57</f>
        <v>97107714.989614531</v>
      </c>
      <c r="BD64" s="82">
        <f>cOutputs!BD57</f>
        <v>101885935.82777683</v>
      </c>
      <c r="BE64" s="82">
        <f>cOutputs!BE57</f>
        <v>106786022.28538361</v>
      </c>
      <c r="BG64" s="82">
        <f>cOutputs!BG57</f>
        <v>0</v>
      </c>
      <c r="BH64" s="82">
        <f>cOutputs!BH57</f>
        <v>13045101.558255309</v>
      </c>
      <c r="BI64" s="82">
        <f>cOutputs!BI57</f>
        <v>27407721.406935394</v>
      </c>
      <c r="BJ64" s="82">
        <f>cOutputs!BJ57</f>
        <v>43636314.261867784</v>
      </c>
      <c r="BK64" s="82">
        <f>cOutputs!BK57</f>
        <v>62117276.747331999</v>
      </c>
      <c r="BL64" s="82">
        <f>cOutputs!BL57</f>
        <v>83090300.674422413</v>
      </c>
      <c r="BM64" s="82">
        <f>cOutputs!BM57</f>
        <v>106786022.28538361</v>
      </c>
    </row>
    <row r="65" spans="1:65" outlineLevel="1">
      <c r="F65" s="18" t="s">
        <v>214</v>
      </c>
      <c r="G65" s="17" t="str">
        <f t="shared" si="12"/>
        <v>£ Nominal</v>
      </c>
      <c r="I65"/>
      <c r="AA65" s="47">
        <f>cOutputs!AA58</f>
        <v>0</v>
      </c>
      <c r="AB65" s="47">
        <f>cOutputs!AB58</f>
        <v>0</v>
      </c>
      <c r="AC65" s="47">
        <f>cOutputs!AC58</f>
        <v>0</v>
      </c>
      <c r="AD65" s="47">
        <f>cOutputs!AD58</f>
        <v>0</v>
      </c>
      <c r="AE65" s="47">
        <f>cOutputs!AE58</f>
        <v>0</v>
      </c>
      <c r="AF65" s="47">
        <f>cOutputs!AF58</f>
        <v>0</v>
      </c>
      <c r="AG65" s="47">
        <f>cOutputs!AG58</f>
        <v>0</v>
      </c>
      <c r="AH65" s="47">
        <f>cOutputs!AH58</f>
        <v>0</v>
      </c>
      <c r="AI65" s="47">
        <f>cOutputs!AI58</f>
        <v>0</v>
      </c>
      <c r="AJ65" s="47">
        <f>cOutputs!AJ58</f>
        <v>0</v>
      </c>
      <c r="AK65" s="47">
        <f>cOutputs!AK58</f>
        <v>0</v>
      </c>
      <c r="AL65" s="47">
        <f>cOutputs!AL58</f>
        <v>0</v>
      </c>
      <c r="AM65" s="47">
        <f>cOutputs!AM58</f>
        <v>0</v>
      </c>
      <c r="AN65" s="47">
        <f>cOutputs!AN58</f>
        <v>0</v>
      </c>
      <c r="AO65" s="47">
        <f>cOutputs!AO58</f>
        <v>0</v>
      </c>
      <c r="AP65" s="47">
        <f>cOutputs!AP58</f>
        <v>0</v>
      </c>
      <c r="AQ65" s="47">
        <f>cOutputs!AQ58</f>
        <v>0</v>
      </c>
      <c r="AR65" s="47">
        <f>cOutputs!AR58</f>
        <v>0</v>
      </c>
      <c r="AS65" s="47">
        <f>cOutputs!AS58</f>
        <v>0</v>
      </c>
      <c r="AT65" s="47">
        <f>cOutputs!AT58</f>
        <v>0</v>
      </c>
      <c r="AU65" s="47">
        <f>cOutputs!AU58</f>
        <v>0</v>
      </c>
      <c r="AV65" s="47">
        <f>cOutputs!AV58</f>
        <v>0</v>
      </c>
      <c r="AW65" s="47">
        <f>cOutputs!AW58</f>
        <v>0</v>
      </c>
      <c r="AX65" s="47">
        <f>cOutputs!AX58</f>
        <v>0</v>
      </c>
      <c r="AY65" s="47">
        <f>cOutputs!AY58</f>
        <v>0</v>
      </c>
      <c r="AZ65" s="47">
        <f>cOutputs!AZ58</f>
        <v>0</v>
      </c>
      <c r="BA65" s="47">
        <f>cOutputs!BA58</f>
        <v>0</v>
      </c>
      <c r="BB65" s="47">
        <f>cOutputs!BB58</f>
        <v>0</v>
      </c>
      <c r="BC65" s="47">
        <f>cOutputs!BC58</f>
        <v>0</v>
      </c>
      <c r="BD65" s="47">
        <f>cOutputs!BD58</f>
        <v>0</v>
      </c>
      <c r="BE65" s="47">
        <f>cOutputs!BE58</f>
        <v>0</v>
      </c>
      <c r="BG65" s="47">
        <f>cOutputs!BG58</f>
        <v>0</v>
      </c>
      <c r="BH65" s="47">
        <f>cOutputs!BH58</f>
        <v>0</v>
      </c>
      <c r="BI65" s="47">
        <f>cOutputs!BI58</f>
        <v>0</v>
      </c>
      <c r="BJ65" s="47">
        <f>cOutputs!BJ58</f>
        <v>0</v>
      </c>
      <c r="BK65" s="47">
        <f>cOutputs!BK58</f>
        <v>0</v>
      </c>
      <c r="BL65" s="47">
        <f>cOutputs!BL58</f>
        <v>0</v>
      </c>
      <c r="BM65" s="47">
        <f>cOutputs!BM58</f>
        <v>0</v>
      </c>
    </row>
    <row r="66" spans="1:65" outlineLevel="1">
      <c r="F66" s="18" t="s">
        <v>42</v>
      </c>
      <c r="G66" s="17" t="str">
        <f t="shared" si="12"/>
        <v>£ Nominal</v>
      </c>
      <c r="I66"/>
      <c r="AA66" s="47">
        <f>cOutputs!AA59</f>
        <v>0</v>
      </c>
      <c r="AB66" s="47">
        <f>cOutputs!AB59</f>
        <v>2151871.7050209204</v>
      </c>
      <c r="AC66" s="47">
        <f>cOutputs!AC59</f>
        <v>4357540.2026673639</v>
      </c>
      <c r="AD66" s="47">
        <f>cOutputs!AD59</f>
        <v>6618350.4127549678</v>
      </c>
      <c r="AE66" s="47">
        <f>cOutputs!AE59</f>
        <v>8935680.8780947626</v>
      </c>
      <c r="AF66" s="47">
        <f>cOutputs!AF59</f>
        <v>11310944.605068052</v>
      </c>
      <c r="AG66" s="47">
        <f>cOutputs!AG59</f>
        <v>13745589.925215673</v>
      </c>
      <c r="AH66" s="47">
        <f>cOutputs!AH59</f>
        <v>16241101.378366984</v>
      </c>
      <c r="AI66" s="47">
        <f>cOutputs!AI59</f>
        <v>18799000.617847078</v>
      </c>
      <c r="AJ66" s="47">
        <f>cOutputs!AJ59</f>
        <v>21420847.338314172</v>
      </c>
      <c r="AK66" s="47">
        <f>cOutputs!AK59</f>
        <v>24108240.226792943</v>
      </c>
      <c r="AL66" s="47">
        <f>cOutputs!AL59</f>
        <v>26862817.937483683</v>
      </c>
      <c r="AM66" s="47">
        <f>cOutputs!AM59</f>
        <v>29686260.090941694</v>
      </c>
      <c r="AN66" s="47">
        <f>cOutputs!AN59</f>
        <v>32580288.298236154</v>
      </c>
      <c r="AO66" s="47">
        <f>cOutputs!AO59</f>
        <v>35546667.210712977</v>
      </c>
      <c r="AP66" s="47">
        <f>cOutputs!AP59</f>
        <v>38587205.596001714</v>
      </c>
      <c r="AQ66" s="47">
        <f>cOutputs!AQ59</f>
        <v>41703757.440922678</v>
      </c>
      <c r="AR66" s="47">
        <f>cOutputs!AR59</f>
        <v>44898223.081966661</v>
      </c>
      <c r="AS66" s="47">
        <f>cOutputs!AS59</f>
        <v>48172550.364036746</v>
      </c>
      <c r="AT66" s="47">
        <f>cOutputs!AT59</f>
        <v>51528735.82815858</v>
      </c>
      <c r="AU66" s="47">
        <f>cOutputs!AU59</f>
        <v>54968825.928883463</v>
      </c>
      <c r="AV66" s="47">
        <f>cOutputs!AV59</f>
        <v>58494918.282126464</v>
      </c>
      <c r="AW66" s="47">
        <f>cOutputs!AW59</f>
        <v>62109162.944200538</v>
      </c>
      <c r="AX66" s="47">
        <f>cOutputs!AX59</f>
        <v>65813763.722826466</v>
      </c>
      <c r="AY66" s="47">
        <f>cOutputs!AY59</f>
        <v>69610979.520918041</v>
      </c>
      <c r="AZ66" s="47">
        <f>cOutputs!AZ59</f>
        <v>73503125.713961899</v>
      </c>
      <c r="BA66" s="47">
        <f>cOutputs!BA59</f>
        <v>77492575.561831862</v>
      </c>
      <c r="BB66" s="47">
        <f>cOutputs!BB59</f>
        <v>81581761.655898571</v>
      </c>
      <c r="BC66" s="47">
        <f>cOutputs!BC59</f>
        <v>85773177.402316943</v>
      </c>
      <c r="BD66" s="47">
        <f>cOutputs!BD59</f>
        <v>90069378.542395785</v>
      </c>
      <c r="BE66" s="47">
        <f>cOutputs!BE59</f>
        <v>94472984.710976586</v>
      </c>
      <c r="BG66" s="47">
        <f>cOutputs!BG59</f>
        <v>0</v>
      </c>
      <c r="BH66" s="47">
        <f>cOutputs!BH59</f>
        <v>11310944.605068052</v>
      </c>
      <c r="BI66" s="47">
        <f>cOutputs!BI59</f>
        <v>24108240.226792943</v>
      </c>
      <c r="BJ66" s="47">
        <f>cOutputs!BJ59</f>
        <v>38587205.596001714</v>
      </c>
      <c r="BK66" s="47">
        <f>cOutputs!BK59</f>
        <v>54968825.928883463</v>
      </c>
      <c r="BL66" s="47">
        <f>cOutputs!BL59</f>
        <v>73503125.713961899</v>
      </c>
      <c r="BM66" s="47">
        <f>cOutputs!BM59</f>
        <v>94472984.710976586</v>
      </c>
    </row>
    <row r="67" spans="1:65" outlineLevel="1">
      <c r="F67" s="18" t="s">
        <v>227</v>
      </c>
      <c r="G67" s="17" t="str">
        <f t="shared" si="12"/>
        <v>£ Nominal</v>
      </c>
      <c r="I67"/>
      <c r="AA67" s="47">
        <f>cOutputs!AA60</f>
        <v>0</v>
      </c>
      <c r="AB67" s="47">
        <f>cOutputs!AB60</f>
        <v>727931.16736401664</v>
      </c>
      <c r="AC67" s="47">
        <f>cOutputs!AC60</f>
        <v>893341.90133891208</v>
      </c>
      <c r="AD67" s="47">
        <f>cOutputs!AD60</f>
        <v>1063714.9573330544</v>
      </c>
      <c r="AE67" s="47">
        <f>cOutputs!AE60</f>
        <v>1287491.3032051276</v>
      </c>
      <c r="AF67" s="47">
        <f>cOutputs!AF60</f>
        <v>1468240.0783093132</v>
      </c>
      <c r="AG67" s="47">
        <f>cOutputs!AG60</f>
        <v>1812623.2459567168</v>
      </c>
      <c r="AH67" s="47">
        <f>cOutputs!AH60</f>
        <v>2057149.7010524699</v>
      </c>
      <c r="AI67" s="47">
        <f>cOutputs!AI60</f>
        <v>2254658.7678257413</v>
      </c>
      <c r="AJ67" s="47">
        <f>cOutputs!AJ60</f>
        <v>2458093.106602211</v>
      </c>
      <c r="AK67" s="47">
        <f>cOutputs!AK60</f>
        <v>2725293.7662996277</v>
      </c>
      <c r="AL67" s="47">
        <f>cOutputs!AL60</f>
        <v>3124528.2441785731</v>
      </c>
      <c r="AM67" s="47">
        <f>cOutputs!AM60</f>
        <v>3346826.4388867682</v>
      </c>
      <c r="AN67" s="47">
        <f>cOutputs!AN60</f>
        <v>3638803.8141559474</v>
      </c>
      <c r="AO67" s="47">
        <f>cOutputs!AO60</f>
        <v>3874639.9689218719</v>
      </c>
      <c r="AP67" s="47">
        <f>cOutputs!AP60</f>
        <v>4117551.2083307737</v>
      </c>
      <c r="AQ67" s="47">
        <f>cOutputs!AQ60</f>
        <v>4649226.3728571273</v>
      </c>
      <c r="AR67" s="47">
        <f>cOutputs!AR60</f>
        <v>4906930.9067460317</v>
      </c>
      <c r="AS67" s="47">
        <f>cOutputs!AS60</f>
        <v>5172366.576651603</v>
      </c>
      <c r="AT67" s="47">
        <f>cOutputs!AT60</f>
        <v>5521002.8321262766</v>
      </c>
      <c r="AU67" s="47">
        <f>cOutputs!AU60</f>
        <v>5802603.5343290977</v>
      </c>
      <c r="AV67" s="47">
        <f>cOutputs!AV60</f>
        <v>6339141.2883495111</v>
      </c>
      <c r="AW67" s="47">
        <f>cOutputs!AW60</f>
        <v>6720105.5378855849</v>
      </c>
      <c r="AX67" s="47">
        <f>cOutputs!AX60</f>
        <v>7027818.2284015669</v>
      </c>
      <c r="AY67" s="47">
        <f>cOutputs!AY60</f>
        <v>7344762.299633028</v>
      </c>
      <c r="AZ67" s="47">
        <f>cOutputs!AZ60</f>
        <v>7761052.2211358333</v>
      </c>
      <c r="BA67" s="47">
        <f>cOutputs!BA60</f>
        <v>8383046.52925485</v>
      </c>
      <c r="BB67" s="47">
        <f>cOutputs!BB60</f>
        <v>8729379.8733793907</v>
      </c>
      <c r="BC67" s="47">
        <f>cOutputs!BC60</f>
        <v>9184271.1104333866</v>
      </c>
      <c r="BD67" s="47">
        <f>cOutputs!BD60</f>
        <v>9551696.1552151125</v>
      </c>
      <c r="BE67" s="47">
        <f>cOutputs!BE60</f>
        <v>9930143.9513402898</v>
      </c>
      <c r="BG67" s="47">
        <f>cOutputs!BG60</f>
        <v>0</v>
      </c>
      <c r="BH67" s="47">
        <f>cOutputs!BH60</f>
        <v>1468240.0783093132</v>
      </c>
      <c r="BI67" s="47">
        <f>cOutputs!BI60</f>
        <v>2725293.7662996277</v>
      </c>
      <c r="BJ67" s="47">
        <f>cOutputs!BJ60</f>
        <v>4117551.2083307737</v>
      </c>
      <c r="BK67" s="47">
        <f>cOutputs!BK60</f>
        <v>5802603.5343290977</v>
      </c>
      <c r="BL67" s="47">
        <f>cOutputs!BL60</f>
        <v>7761052.2211358333</v>
      </c>
      <c r="BM67" s="47">
        <f>cOutputs!BM60</f>
        <v>9930143.9513402898</v>
      </c>
    </row>
    <row r="68" spans="1:65" outlineLevel="1">
      <c r="F68" s="18" t="s">
        <v>121</v>
      </c>
      <c r="G68" s="17" t="str">
        <f t="shared" si="12"/>
        <v>£ Nominal</v>
      </c>
      <c r="I68"/>
      <c r="AA68" s="47">
        <f>cOutputs!AA61</f>
        <v>0</v>
      </c>
      <c r="AB68" s="47">
        <f>cOutputs!AB61</f>
        <v>50086.658995815902</v>
      </c>
      <c r="AC68" s="47">
        <f>cOutputs!AC61</f>
        <v>101675.91776150628</v>
      </c>
      <c r="AD68" s="47">
        <f>cOutputs!AD61</f>
        <v>154812.85429016736</v>
      </c>
      <c r="AE68" s="47">
        <f>cOutputs!AE61</f>
        <v>209543.8989146883</v>
      </c>
      <c r="AF68" s="47">
        <f>cOutputs!AF61</f>
        <v>265916.87487794482</v>
      </c>
      <c r="AG68" s="47">
        <f>cOutputs!AG61</f>
        <v>323981.04012009909</v>
      </c>
      <c r="AH68" s="47">
        <f>cOutputs!AH61</f>
        <v>383787.13031951798</v>
      </c>
      <c r="AI68" s="47">
        <f>cOutputs!AI61</f>
        <v>445387.40322491946</v>
      </c>
      <c r="AJ68" s="47">
        <f>cOutputs!AJ61</f>
        <v>508835.68431748298</v>
      </c>
      <c r="AK68" s="47">
        <f>cOutputs!AK61</f>
        <v>574187.41384282336</v>
      </c>
      <c r="AL68" s="47">
        <f>cOutputs!AL61</f>
        <v>641499.695253924</v>
      </c>
      <c r="AM68" s="47">
        <f>cOutputs!AM61</f>
        <v>710831.3451073576</v>
      </c>
      <c r="AN68" s="47">
        <f>cOutputs!AN61</f>
        <v>782242.9444563943</v>
      </c>
      <c r="AO68" s="47">
        <f>cOutputs!AO61</f>
        <v>855796.89178590209</v>
      </c>
      <c r="AP68" s="47">
        <f>cOutputs!AP61</f>
        <v>931557.45753529505</v>
      </c>
      <c r="AQ68" s="47">
        <f>cOutputs!AQ61</f>
        <v>1009590.8402571698</v>
      </c>
      <c r="AR68" s="47">
        <f>cOutputs!AR61</f>
        <v>1089965.2244607008</v>
      </c>
      <c r="AS68" s="47">
        <f>cOutputs!AS61</f>
        <v>1172750.8401903377</v>
      </c>
      <c r="AT68" s="47">
        <f>cOutputs!AT61</f>
        <v>1258020.0243918637</v>
      </c>
      <c r="AU68" s="47">
        <f>cOutputs!AU61</f>
        <v>1345847.2841194356</v>
      </c>
      <c r="AV68" s="47">
        <f>cOutputs!AV61</f>
        <v>1436309.3616388347</v>
      </c>
      <c r="AW68" s="47">
        <f>cOutputs!AW61</f>
        <v>1529485.3014838158</v>
      </c>
      <c r="AX68" s="47">
        <f>cOutputs!AX61</f>
        <v>1625456.5195241461</v>
      </c>
      <c r="AY68" s="47">
        <f>cOutputs!AY61</f>
        <v>1724306.8741056866</v>
      </c>
      <c r="AZ68" s="47">
        <f>cOutputs!AZ61</f>
        <v>1826122.7393246731</v>
      </c>
      <c r="BA68" s="47">
        <f>cOutputs!BA61</f>
        <v>1930993.0805002293</v>
      </c>
      <c r="BB68" s="47">
        <f>cOutputs!BB61</f>
        <v>2039009.5319110521</v>
      </c>
      <c r="BC68" s="47">
        <f>cOutputs!BC61</f>
        <v>2150266.4768641996</v>
      </c>
      <c r="BD68" s="47">
        <f>cOutputs!BD61</f>
        <v>2264861.1301659415</v>
      </c>
      <c r="BE68" s="47">
        <f>cOutputs!BE61</f>
        <v>2382893.6230667359</v>
      </c>
      <c r="BG68" s="47">
        <f>cOutputs!BG61</f>
        <v>0</v>
      </c>
      <c r="BH68" s="47">
        <f>cOutputs!BH61</f>
        <v>265916.87487794482</v>
      </c>
      <c r="BI68" s="47">
        <f>cOutputs!BI61</f>
        <v>574187.41384282336</v>
      </c>
      <c r="BJ68" s="47">
        <f>cOutputs!BJ61</f>
        <v>931557.45753529505</v>
      </c>
      <c r="BK68" s="47">
        <f>cOutputs!BK61</f>
        <v>1345847.2841194356</v>
      </c>
      <c r="BL68" s="47">
        <f>cOutputs!BL61</f>
        <v>1826122.7393246731</v>
      </c>
      <c r="BM68" s="47">
        <f>cOutputs!BM61</f>
        <v>2382893.6230667359</v>
      </c>
    </row>
    <row r="69" spans="1:65" outlineLevel="1">
      <c r="F69" s="18" t="s">
        <v>245</v>
      </c>
      <c r="G69" s="17" t="str">
        <f t="shared" si="12"/>
        <v>£ Nominal</v>
      </c>
      <c r="I69"/>
      <c r="AA69" s="47">
        <f>cOutputs!AA62</f>
        <v>0</v>
      </c>
      <c r="AB69" s="47">
        <f>cOutputs!AB62</f>
        <v>0</v>
      </c>
      <c r="AC69" s="47">
        <f>cOutputs!AC62</f>
        <v>0</v>
      </c>
      <c r="AD69" s="47">
        <f>cOutputs!AD62</f>
        <v>0</v>
      </c>
      <c r="AE69" s="47">
        <f>cOutputs!AE62</f>
        <v>0</v>
      </c>
      <c r="AF69" s="47">
        <f>cOutputs!AF62</f>
        <v>0</v>
      </c>
      <c r="AG69" s="47">
        <f>cOutputs!AG62</f>
        <v>0</v>
      </c>
      <c r="AH69" s="47">
        <f>cOutputs!AH62</f>
        <v>0</v>
      </c>
      <c r="AI69" s="47">
        <f>cOutputs!AI62</f>
        <v>0</v>
      </c>
      <c r="AJ69" s="47">
        <f>cOutputs!AJ62</f>
        <v>0</v>
      </c>
      <c r="AK69" s="47">
        <f>cOutputs!AK62</f>
        <v>0</v>
      </c>
      <c r="AL69" s="47">
        <f>cOutputs!AL62</f>
        <v>0</v>
      </c>
      <c r="AM69" s="47">
        <f>cOutputs!AM62</f>
        <v>0</v>
      </c>
      <c r="AN69" s="47">
        <f>cOutputs!AN62</f>
        <v>0</v>
      </c>
      <c r="AO69" s="47">
        <f>cOutputs!AO62</f>
        <v>0</v>
      </c>
      <c r="AP69" s="47">
        <f>cOutputs!AP62</f>
        <v>0</v>
      </c>
      <c r="AQ69" s="47">
        <f>cOutputs!AQ62</f>
        <v>0</v>
      </c>
      <c r="AR69" s="47">
        <f>cOutputs!AR62</f>
        <v>0</v>
      </c>
      <c r="AS69" s="47">
        <f>cOutputs!AS62</f>
        <v>0</v>
      </c>
      <c r="AT69" s="47">
        <f>cOutputs!AT62</f>
        <v>0</v>
      </c>
      <c r="AU69" s="47">
        <f>cOutputs!AU62</f>
        <v>0</v>
      </c>
      <c r="AV69" s="47">
        <f>cOutputs!AV62</f>
        <v>0</v>
      </c>
      <c r="AW69" s="47">
        <f>cOutputs!AW62</f>
        <v>0</v>
      </c>
      <c r="AX69" s="47">
        <f>cOutputs!AX62</f>
        <v>0</v>
      </c>
      <c r="AY69" s="47">
        <f>cOutputs!AY62</f>
        <v>0</v>
      </c>
      <c r="AZ69" s="47">
        <f>cOutputs!AZ62</f>
        <v>0</v>
      </c>
      <c r="BA69" s="47">
        <f>cOutputs!BA62</f>
        <v>0</v>
      </c>
      <c r="BB69" s="47">
        <f>cOutputs!BB62</f>
        <v>0</v>
      </c>
      <c r="BC69" s="47">
        <f>cOutputs!BC62</f>
        <v>0</v>
      </c>
      <c r="BD69" s="47">
        <f>cOutputs!BD62</f>
        <v>0</v>
      </c>
      <c r="BE69" s="47">
        <f>cOutputs!BE62</f>
        <v>0</v>
      </c>
      <c r="BG69" s="47">
        <f>cOutputs!BG62</f>
        <v>0</v>
      </c>
      <c r="BH69" s="47">
        <f>cOutputs!BH62</f>
        <v>0</v>
      </c>
      <c r="BI69" s="47">
        <f>cOutputs!BI62</f>
        <v>0</v>
      </c>
      <c r="BJ69" s="47">
        <f>cOutputs!BJ62</f>
        <v>0</v>
      </c>
      <c r="BK69" s="47">
        <f>cOutputs!BK62</f>
        <v>0</v>
      </c>
      <c r="BL69" s="47">
        <f>cOutputs!BL62</f>
        <v>0</v>
      </c>
      <c r="BM69" s="47">
        <f>cOutputs!BM62</f>
        <v>0</v>
      </c>
    </row>
    <row r="70" spans="1:65" outlineLevel="1">
      <c r="F70" s="18"/>
      <c r="G70" s="17"/>
    </row>
    <row r="71" spans="1:65" outlineLevel="1">
      <c r="A71" s="19">
        <f>SUM(C71:BM71)</f>
        <v>0</v>
      </c>
      <c r="F71" s="27" t="s">
        <v>329</v>
      </c>
      <c r="G71" s="17"/>
      <c r="AA71" s="19">
        <f t="shared" ref="AA71:BE71" si="13">IF(ABS(SUM(AA65:AA69)-AA64)&lt;eTol,0,1)</f>
        <v>0</v>
      </c>
      <c r="AB71" s="19">
        <f t="shared" si="13"/>
        <v>0</v>
      </c>
      <c r="AC71" s="19">
        <f t="shared" si="13"/>
        <v>0</v>
      </c>
      <c r="AD71" s="19">
        <f t="shared" si="13"/>
        <v>0</v>
      </c>
      <c r="AE71" s="19">
        <f t="shared" si="13"/>
        <v>0</v>
      </c>
      <c r="AF71" s="19">
        <f t="shared" si="13"/>
        <v>0</v>
      </c>
      <c r="AG71" s="19">
        <f t="shared" si="13"/>
        <v>0</v>
      </c>
      <c r="AH71" s="19">
        <f t="shared" si="13"/>
        <v>0</v>
      </c>
      <c r="AI71" s="19">
        <f t="shared" si="13"/>
        <v>0</v>
      </c>
      <c r="AJ71" s="19">
        <f t="shared" si="13"/>
        <v>0</v>
      </c>
      <c r="AK71" s="19">
        <f t="shared" si="13"/>
        <v>0</v>
      </c>
      <c r="AL71" s="19">
        <f t="shared" si="13"/>
        <v>0</v>
      </c>
      <c r="AM71" s="19">
        <f t="shared" si="13"/>
        <v>0</v>
      </c>
      <c r="AN71" s="19">
        <f t="shared" si="13"/>
        <v>0</v>
      </c>
      <c r="AO71" s="19">
        <f t="shared" si="13"/>
        <v>0</v>
      </c>
      <c r="AP71" s="19">
        <f t="shared" si="13"/>
        <v>0</v>
      </c>
      <c r="AQ71" s="19">
        <f t="shared" si="13"/>
        <v>0</v>
      </c>
      <c r="AR71" s="19">
        <f t="shared" si="13"/>
        <v>0</v>
      </c>
      <c r="AS71" s="19">
        <f t="shared" si="13"/>
        <v>0</v>
      </c>
      <c r="AT71" s="19">
        <f t="shared" si="13"/>
        <v>0</v>
      </c>
      <c r="AU71" s="19">
        <f t="shared" si="13"/>
        <v>0</v>
      </c>
      <c r="AV71" s="19">
        <f t="shared" si="13"/>
        <v>0</v>
      </c>
      <c r="AW71" s="19">
        <f t="shared" si="13"/>
        <v>0</v>
      </c>
      <c r="AX71" s="19">
        <f t="shared" si="13"/>
        <v>0</v>
      </c>
      <c r="AY71" s="19">
        <f t="shared" si="13"/>
        <v>0</v>
      </c>
      <c r="AZ71" s="19">
        <f t="shared" si="13"/>
        <v>0</v>
      </c>
      <c r="BA71" s="19">
        <f t="shared" si="13"/>
        <v>0</v>
      </c>
      <c r="BB71" s="19">
        <f t="shared" si="13"/>
        <v>0</v>
      </c>
      <c r="BC71" s="19">
        <f t="shared" si="13"/>
        <v>0</v>
      </c>
      <c r="BD71" s="19">
        <f t="shared" si="13"/>
        <v>0</v>
      </c>
      <c r="BE71" s="19">
        <f t="shared" si="13"/>
        <v>0</v>
      </c>
      <c r="BG71" s="19">
        <f t="shared" ref="BG71:BM71" si="14">IF(ABS(SUM(BG65:BG69)-BG64)&lt;eTol,0,1)</f>
        <v>0</v>
      </c>
      <c r="BH71" s="19">
        <f t="shared" si="14"/>
        <v>0</v>
      </c>
      <c r="BI71" s="19">
        <f t="shared" si="14"/>
        <v>0</v>
      </c>
      <c r="BJ71" s="19">
        <f t="shared" si="14"/>
        <v>0</v>
      </c>
      <c r="BK71" s="19">
        <f t="shared" si="14"/>
        <v>0</v>
      </c>
      <c r="BL71" s="19">
        <f t="shared" si="14"/>
        <v>0</v>
      </c>
      <c r="BM71" s="19">
        <f t="shared" si="14"/>
        <v>0</v>
      </c>
    </row>
    <row r="72" spans="1:65">
      <c r="F72" s="18"/>
      <c r="G72" s="17"/>
      <c r="I72"/>
    </row>
    <row r="73" spans="1:65">
      <c r="F73" s="37" t="s">
        <v>255</v>
      </c>
      <c r="G73" s="17" t="str">
        <f t="shared" ref="G73:G78" si="15">cstNominalUnit</f>
        <v>£ Nominal</v>
      </c>
      <c r="I73"/>
      <c r="AA73" s="82">
        <f>cOutputs!AA64</f>
        <v>0</v>
      </c>
      <c r="AB73" s="82">
        <f>cOutputs!AB64</f>
        <v>2781000</v>
      </c>
      <c r="AC73" s="82">
        <f>cOutputs!AC64</f>
        <v>5645430</v>
      </c>
      <c r="AD73" s="82">
        <f>cOutputs!AD64</f>
        <v>8595792.9000000004</v>
      </c>
      <c r="AE73" s="82">
        <f>cOutputs!AE64</f>
        <v>11634666.687000001</v>
      </c>
      <c r="AF73" s="82">
        <f>cOutputs!AF64</f>
        <v>14764706.68761</v>
      </c>
      <c r="AG73" s="82">
        <f>cOutputs!AG64</f>
        <v>17988647.8882383</v>
      </c>
      <c r="AH73" s="82">
        <f>cOutputs!AH64</f>
        <v>21309307.32488545</v>
      </c>
      <c r="AI73" s="82">
        <f>cOutputs!AI64</f>
        <v>24729586.544632014</v>
      </c>
      <c r="AJ73" s="82">
        <f>cOutputs!AJ64</f>
        <v>28252474.140970975</v>
      </c>
      <c r="AK73" s="82">
        <f>cOutputs!AK64</f>
        <v>31881048.365200106</v>
      </c>
      <c r="AL73" s="82">
        <f>cOutputs!AL64</f>
        <v>35618479.816156112</v>
      </c>
      <c r="AM73" s="82">
        <f>cOutputs!AM64</f>
        <v>39468034.210640796</v>
      </c>
      <c r="AN73" s="82">
        <f>cOutputs!AN64</f>
        <v>43433075.236960024</v>
      </c>
      <c r="AO73" s="82">
        <f>cOutputs!AO64</f>
        <v>47517067.494068824</v>
      </c>
      <c r="AP73" s="82">
        <f>cOutputs!AP64</f>
        <v>51723579.518890887</v>
      </c>
      <c r="AQ73" s="82">
        <f>cOutputs!AQ64</f>
        <v>56056286.904457614</v>
      </c>
      <c r="AR73" s="82">
        <f>cOutputs!AR64</f>
        <v>60518975.511591345</v>
      </c>
      <c r="AS73" s="82">
        <f>cOutputs!AS64</f>
        <v>65115544.776939087</v>
      </c>
      <c r="AT73" s="82">
        <f>cOutputs!AT64</f>
        <v>69850011.12024726</v>
      </c>
      <c r="AU73" s="82">
        <f>cOutputs!AU64</f>
        <v>74726511.45385468</v>
      </c>
      <c r="AV73" s="82">
        <f>cOutputs!AV64</f>
        <v>79749306.797470331</v>
      </c>
      <c r="AW73" s="82">
        <f>cOutputs!AW64</f>
        <v>84922786.001394451</v>
      </c>
      <c r="AX73" s="82">
        <f>cOutputs!AX64</f>
        <v>90251469.581436291</v>
      </c>
      <c r="AY73" s="82">
        <f>cOutputs!AY64</f>
        <v>95740013.66887939</v>
      </c>
      <c r="AZ73" s="82">
        <f>cOutputs!AZ64</f>
        <v>101393214.07894577</v>
      </c>
      <c r="BA73" s="82">
        <f>cOutputs!BA64</f>
        <v>107216010.50131415</v>
      </c>
      <c r="BB73" s="82">
        <f>cOutputs!BB64</f>
        <v>113213490.81635357</v>
      </c>
      <c r="BC73" s="82">
        <f>cOutputs!BC64</f>
        <v>119390895.54084419</v>
      </c>
      <c r="BD73" s="82">
        <f>cOutputs!BD64</f>
        <v>125753622.40706952</v>
      </c>
      <c r="BE73" s="82">
        <f>cOutputs!BE64</f>
        <v>132307231.07928161</v>
      </c>
      <c r="BG73" s="82">
        <f>cOutputs!BG64</f>
        <v>0</v>
      </c>
      <c r="BH73" s="82">
        <f>cOutputs!BH64</f>
        <v>14764706.68761</v>
      </c>
      <c r="BI73" s="82">
        <f>cOutputs!BI64</f>
        <v>31881048.365200106</v>
      </c>
      <c r="BJ73" s="82">
        <f>cOutputs!BJ64</f>
        <v>51723579.518890887</v>
      </c>
      <c r="BK73" s="82">
        <f>cOutputs!BK64</f>
        <v>74726511.45385468</v>
      </c>
      <c r="BL73" s="82">
        <f>cOutputs!BL64</f>
        <v>101393214.07894577</v>
      </c>
      <c r="BM73" s="82">
        <f>cOutputs!BM64</f>
        <v>132307231.07928161</v>
      </c>
    </row>
    <row r="74" spans="1:65" outlineLevel="1">
      <c r="F74" s="18" t="s">
        <v>214</v>
      </c>
      <c r="G74" s="17" t="str">
        <f t="shared" si="15"/>
        <v>£ Nominal</v>
      </c>
      <c r="I74"/>
      <c r="AA74" s="47">
        <f>cOutputs!AA65</f>
        <v>0</v>
      </c>
      <c r="AB74" s="47">
        <f>cOutputs!AB65</f>
        <v>2781000</v>
      </c>
      <c r="AC74" s="47">
        <f>cOutputs!AC65</f>
        <v>5645430</v>
      </c>
      <c r="AD74" s="47">
        <f>cOutputs!AD65</f>
        <v>8595792.9000000004</v>
      </c>
      <c r="AE74" s="47">
        <f>cOutputs!AE65</f>
        <v>11634666.687000001</v>
      </c>
      <c r="AF74" s="47">
        <f>cOutputs!AF65</f>
        <v>14764706.68761</v>
      </c>
      <c r="AG74" s="47">
        <f>cOutputs!AG65</f>
        <v>17988647.8882383</v>
      </c>
      <c r="AH74" s="47">
        <f>cOutputs!AH65</f>
        <v>21309307.32488545</v>
      </c>
      <c r="AI74" s="47">
        <f>cOutputs!AI65</f>
        <v>24729586.544632014</v>
      </c>
      <c r="AJ74" s="47">
        <f>cOutputs!AJ65</f>
        <v>28252474.140970975</v>
      </c>
      <c r="AK74" s="47">
        <f>cOutputs!AK65</f>
        <v>31881048.365200106</v>
      </c>
      <c r="AL74" s="47">
        <f>cOutputs!AL65</f>
        <v>35618479.816156112</v>
      </c>
      <c r="AM74" s="47">
        <f>cOutputs!AM65</f>
        <v>39468034.210640796</v>
      </c>
      <c r="AN74" s="47">
        <f>cOutputs!AN65</f>
        <v>43433075.236960024</v>
      </c>
      <c r="AO74" s="47">
        <f>cOutputs!AO65</f>
        <v>47517067.494068824</v>
      </c>
      <c r="AP74" s="47">
        <f>cOutputs!AP65</f>
        <v>51723579.518890887</v>
      </c>
      <c r="AQ74" s="47">
        <f>cOutputs!AQ65</f>
        <v>56056286.904457614</v>
      </c>
      <c r="AR74" s="47">
        <f>cOutputs!AR65</f>
        <v>60518975.511591345</v>
      </c>
      <c r="AS74" s="47">
        <f>cOutputs!AS65</f>
        <v>65115544.776939087</v>
      </c>
      <c r="AT74" s="47">
        <f>cOutputs!AT65</f>
        <v>69850011.12024726</v>
      </c>
      <c r="AU74" s="47">
        <f>cOutputs!AU65</f>
        <v>74726511.45385468</v>
      </c>
      <c r="AV74" s="47">
        <f>cOutputs!AV65</f>
        <v>79749306.797470331</v>
      </c>
      <c r="AW74" s="47">
        <f>cOutputs!AW65</f>
        <v>84922786.001394451</v>
      </c>
      <c r="AX74" s="47">
        <f>cOutputs!AX65</f>
        <v>90251469.581436291</v>
      </c>
      <c r="AY74" s="47">
        <f>cOutputs!AY65</f>
        <v>95740013.66887939</v>
      </c>
      <c r="AZ74" s="47">
        <f>cOutputs!AZ65</f>
        <v>101393214.07894577</v>
      </c>
      <c r="BA74" s="47">
        <f>cOutputs!BA65</f>
        <v>107216010.50131415</v>
      </c>
      <c r="BB74" s="47">
        <f>cOutputs!BB65</f>
        <v>113213490.81635357</v>
      </c>
      <c r="BC74" s="47">
        <f>cOutputs!BC65</f>
        <v>119390895.54084419</v>
      </c>
      <c r="BD74" s="47">
        <f>cOutputs!BD65</f>
        <v>125753622.40706952</v>
      </c>
      <c r="BE74" s="47">
        <f>cOutputs!BE65</f>
        <v>132307231.07928161</v>
      </c>
      <c r="BG74" s="47">
        <f>cOutputs!BG65</f>
        <v>0</v>
      </c>
      <c r="BH74" s="47">
        <f>cOutputs!BH65</f>
        <v>14764706.68761</v>
      </c>
      <c r="BI74" s="47">
        <f>cOutputs!BI65</f>
        <v>31881048.365200106</v>
      </c>
      <c r="BJ74" s="47">
        <f>cOutputs!BJ65</f>
        <v>51723579.518890887</v>
      </c>
      <c r="BK74" s="47">
        <f>cOutputs!BK65</f>
        <v>74726511.45385468</v>
      </c>
      <c r="BL74" s="47">
        <f>cOutputs!BL65</f>
        <v>101393214.07894577</v>
      </c>
      <c r="BM74" s="47">
        <f>cOutputs!BM65</f>
        <v>132307231.07928161</v>
      </c>
    </row>
    <row r="75" spans="1:65" outlineLevel="1">
      <c r="F75" s="18" t="s">
        <v>42</v>
      </c>
      <c r="G75" s="17" t="str">
        <f t="shared" si="15"/>
        <v>£ Nominal</v>
      </c>
      <c r="I75"/>
      <c r="AA75" s="47">
        <f>cOutputs!AA66</f>
        <v>0</v>
      </c>
      <c r="AB75" s="47">
        <f>cOutputs!AB66</f>
        <v>0</v>
      </c>
      <c r="AC75" s="47">
        <f>cOutputs!AC66</f>
        <v>0</v>
      </c>
      <c r="AD75" s="47">
        <f>cOutputs!AD66</f>
        <v>0</v>
      </c>
      <c r="AE75" s="47">
        <f>cOutputs!AE66</f>
        <v>0</v>
      </c>
      <c r="AF75" s="47">
        <f>cOutputs!AF66</f>
        <v>0</v>
      </c>
      <c r="AG75" s="47">
        <f>cOutputs!AG66</f>
        <v>0</v>
      </c>
      <c r="AH75" s="47">
        <f>cOutputs!AH66</f>
        <v>0</v>
      </c>
      <c r="AI75" s="47">
        <f>cOutputs!AI66</f>
        <v>0</v>
      </c>
      <c r="AJ75" s="47">
        <f>cOutputs!AJ66</f>
        <v>0</v>
      </c>
      <c r="AK75" s="47">
        <f>cOutputs!AK66</f>
        <v>0</v>
      </c>
      <c r="AL75" s="47">
        <f>cOutputs!AL66</f>
        <v>0</v>
      </c>
      <c r="AM75" s="47">
        <f>cOutputs!AM66</f>
        <v>0</v>
      </c>
      <c r="AN75" s="47">
        <f>cOutputs!AN66</f>
        <v>0</v>
      </c>
      <c r="AO75" s="47">
        <f>cOutputs!AO66</f>
        <v>0</v>
      </c>
      <c r="AP75" s="47">
        <f>cOutputs!AP66</f>
        <v>0</v>
      </c>
      <c r="AQ75" s="47">
        <f>cOutputs!AQ66</f>
        <v>0</v>
      </c>
      <c r="AR75" s="47">
        <f>cOutputs!AR66</f>
        <v>0</v>
      </c>
      <c r="AS75" s="47">
        <f>cOutputs!AS66</f>
        <v>0</v>
      </c>
      <c r="AT75" s="47">
        <f>cOutputs!AT66</f>
        <v>0</v>
      </c>
      <c r="AU75" s="47">
        <f>cOutputs!AU66</f>
        <v>0</v>
      </c>
      <c r="AV75" s="47">
        <f>cOutputs!AV66</f>
        <v>0</v>
      </c>
      <c r="AW75" s="47">
        <f>cOutputs!AW66</f>
        <v>0</v>
      </c>
      <c r="AX75" s="47">
        <f>cOutputs!AX66</f>
        <v>0</v>
      </c>
      <c r="AY75" s="47">
        <f>cOutputs!AY66</f>
        <v>0</v>
      </c>
      <c r="AZ75" s="47">
        <f>cOutputs!AZ66</f>
        <v>0</v>
      </c>
      <c r="BA75" s="47">
        <f>cOutputs!BA66</f>
        <v>0</v>
      </c>
      <c r="BB75" s="47">
        <f>cOutputs!BB66</f>
        <v>0</v>
      </c>
      <c r="BC75" s="47">
        <f>cOutputs!BC66</f>
        <v>0</v>
      </c>
      <c r="BD75" s="47">
        <f>cOutputs!BD66</f>
        <v>0</v>
      </c>
      <c r="BE75" s="47">
        <f>cOutputs!BE66</f>
        <v>0</v>
      </c>
      <c r="BG75" s="47">
        <f>cOutputs!BG66</f>
        <v>0</v>
      </c>
      <c r="BH75" s="47">
        <f>cOutputs!BH66</f>
        <v>0</v>
      </c>
      <c r="BI75" s="47">
        <f>cOutputs!BI66</f>
        <v>0</v>
      </c>
      <c r="BJ75" s="47">
        <f>cOutputs!BJ66</f>
        <v>0</v>
      </c>
      <c r="BK75" s="47">
        <f>cOutputs!BK66</f>
        <v>0</v>
      </c>
      <c r="BL75" s="47">
        <f>cOutputs!BL66</f>
        <v>0</v>
      </c>
      <c r="BM75" s="47">
        <f>cOutputs!BM66</f>
        <v>0</v>
      </c>
    </row>
    <row r="76" spans="1:65" outlineLevel="1">
      <c r="F76" s="18" t="s">
        <v>227</v>
      </c>
      <c r="G76" s="17" t="str">
        <f t="shared" si="15"/>
        <v>£ Nominal</v>
      </c>
      <c r="I76"/>
      <c r="AA76" s="47">
        <f>cOutputs!AA67</f>
        <v>0</v>
      </c>
      <c r="AB76" s="47">
        <f>cOutputs!AB67</f>
        <v>0</v>
      </c>
      <c r="AC76" s="47">
        <f>cOutputs!AC67</f>
        <v>0</v>
      </c>
      <c r="AD76" s="47">
        <f>cOutputs!AD67</f>
        <v>0</v>
      </c>
      <c r="AE76" s="47">
        <f>cOutputs!AE67</f>
        <v>0</v>
      </c>
      <c r="AF76" s="47">
        <f>cOutputs!AF67</f>
        <v>0</v>
      </c>
      <c r="AG76" s="47">
        <f>cOutputs!AG67</f>
        <v>0</v>
      </c>
      <c r="AH76" s="47">
        <f>cOutputs!AH67</f>
        <v>0</v>
      </c>
      <c r="AI76" s="47">
        <f>cOutputs!AI67</f>
        <v>0</v>
      </c>
      <c r="AJ76" s="47">
        <f>cOutputs!AJ67</f>
        <v>0</v>
      </c>
      <c r="AK76" s="47">
        <f>cOutputs!AK67</f>
        <v>0</v>
      </c>
      <c r="AL76" s="47">
        <f>cOutputs!AL67</f>
        <v>0</v>
      </c>
      <c r="AM76" s="47">
        <f>cOutputs!AM67</f>
        <v>0</v>
      </c>
      <c r="AN76" s="47">
        <f>cOutputs!AN67</f>
        <v>0</v>
      </c>
      <c r="AO76" s="47">
        <f>cOutputs!AO67</f>
        <v>0</v>
      </c>
      <c r="AP76" s="47">
        <f>cOutputs!AP67</f>
        <v>0</v>
      </c>
      <c r="AQ76" s="47">
        <f>cOutputs!AQ67</f>
        <v>0</v>
      </c>
      <c r="AR76" s="47">
        <f>cOutputs!AR67</f>
        <v>0</v>
      </c>
      <c r="AS76" s="47">
        <f>cOutputs!AS67</f>
        <v>0</v>
      </c>
      <c r="AT76" s="47">
        <f>cOutputs!AT67</f>
        <v>0</v>
      </c>
      <c r="AU76" s="47">
        <f>cOutputs!AU67</f>
        <v>0</v>
      </c>
      <c r="AV76" s="47">
        <f>cOutputs!AV67</f>
        <v>0</v>
      </c>
      <c r="AW76" s="47">
        <f>cOutputs!AW67</f>
        <v>0</v>
      </c>
      <c r="AX76" s="47">
        <f>cOutputs!AX67</f>
        <v>0</v>
      </c>
      <c r="AY76" s="47">
        <f>cOutputs!AY67</f>
        <v>0</v>
      </c>
      <c r="AZ76" s="47">
        <f>cOutputs!AZ67</f>
        <v>0</v>
      </c>
      <c r="BA76" s="47">
        <f>cOutputs!BA67</f>
        <v>0</v>
      </c>
      <c r="BB76" s="47">
        <f>cOutputs!BB67</f>
        <v>0</v>
      </c>
      <c r="BC76" s="47">
        <f>cOutputs!BC67</f>
        <v>0</v>
      </c>
      <c r="BD76" s="47">
        <f>cOutputs!BD67</f>
        <v>0</v>
      </c>
      <c r="BE76" s="47">
        <f>cOutputs!BE67</f>
        <v>0</v>
      </c>
      <c r="BG76" s="47">
        <f>cOutputs!BG67</f>
        <v>0</v>
      </c>
      <c r="BH76" s="47">
        <f>cOutputs!BH67</f>
        <v>0</v>
      </c>
      <c r="BI76" s="47">
        <f>cOutputs!BI67</f>
        <v>0</v>
      </c>
      <c r="BJ76" s="47">
        <f>cOutputs!BJ67</f>
        <v>0</v>
      </c>
      <c r="BK76" s="47">
        <f>cOutputs!BK67</f>
        <v>0</v>
      </c>
      <c r="BL76" s="47">
        <f>cOutputs!BL67</f>
        <v>0</v>
      </c>
      <c r="BM76" s="47">
        <f>cOutputs!BM67</f>
        <v>0</v>
      </c>
    </row>
    <row r="77" spans="1:65" outlineLevel="1">
      <c r="F77" s="18" t="s">
        <v>121</v>
      </c>
      <c r="G77" s="17" t="str">
        <f t="shared" si="15"/>
        <v>£ Nominal</v>
      </c>
      <c r="I77"/>
      <c r="AA77" s="47">
        <f>cOutputs!AA68</f>
        <v>0</v>
      </c>
      <c r="AB77" s="47">
        <f>cOutputs!AB68</f>
        <v>0</v>
      </c>
      <c r="AC77" s="47">
        <f>cOutputs!AC68</f>
        <v>0</v>
      </c>
      <c r="AD77" s="47">
        <f>cOutputs!AD68</f>
        <v>0</v>
      </c>
      <c r="AE77" s="47">
        <f>cOutputs!AE68</f>
        <v>0</v>
      </c>
      <c r="AF77" s="47">
        <f>cOutputs!AF68</f>
        <v>0</v>
      </c>
      <c r="AG77" s="47">
        <f>cOutputs!AG68</f>
        <v>0</v>
      </c>
      <c r="AH77" s="47">
        <f>cOutputs!AH68</f>
        <v>0</v>
      </c>
      <c r="AI77" s="47">
        <f>cOutputs!AI68</f>
        <v>0</v>
      </c>
      <c r="AJ77" s="47">
        <f>cOutputs!AJ68</f>
        <v>0</v>
      </c>
      <c r="AK77" s="47">
        <f>cOutputs!AK68</f>
        <v>0</v>
      </c>
      <c r="AL77" s="47">
        <f>cOutputs!AL68</f>
        <v>0</v>
      </c>
      <c r="AM77" s="47">
        <f>cOutputs!AM68</f>
        <v>0</v>
      </c>
      <c r="AN77" s="47">
        <f>cOutputs!AN68</f>
        <v>0</v>
      </c>
      <c r="AO77" s="47">
        <f>cOutputs!AO68</f>
        <v>0</v>
      </c>
      <c r="AP77" s="47">
        <f>cOutputs!AP68</f>
        <v>0</v>
      </c>
      <c r="AQ77" s="47">
        <f>cOutputs!AQ68</f>
        <v>0</v>
      </c>
      <c r="AR77" s="47">
        <f>cOutputs!AR68</f>
        <v>0</v>
      </c>
      <c r="AS77" s="47">
        <f>cOutputs!AS68</f>
        <v>0</v>
      </c>
      <c r="AT77" s="47">
        <f>cOutputs!AT68</f>
        <v>0</v>
      </c>
      <c r="AU77" s="47">
        <f>cOutputs!AU68</f>
        <v>0</v>
      </c>
      <c r="AV77" s="47">
        <f>cOutputs!AV68</f>
        <v>0</v>
      </c>
      <c r="AW77" s="47">
        <f>cOutputs!AW68</f>
        <v>0</v>
      </c>
      <c r="AX77" s="47">
        <f>cOutputs!AX68</f>
        <v>0</v>
      </c>
      <c r="AY77" s="47">
        <f>cOutputs!AY68</f>
        <v>0</v>
      </c>
      <c r="AZ77" s="47">
        <f>cOutputs!AZ68</f>
        <v>0</v>
      </c>
      <c r="BA77" s="47">
        <f>cOutputs!BA68</f>
        <v>0</v>
      </c>
      <c r="BB77" s="47">
        <f>cOutputs!BB68</f>
        <v>0</v>
      </c>
      <c r="BC77" s="47">
        <f>cOutputs!BC68</f>
        <v>0</v>
      </c>
      <c r="BD77" s="47">
        <f>cOutputs!BD68</f>
        <v>0</v>
      </c>
      <c r="BE77" s="47">
        <f>cOutputs!BE68</f>
        <v>0</v>
      </c>
      <c r="BG77" s="47">
        <f>cOutputs!BG68</f>
        <v>0</v>
      </c>
      <c r="BH77" s="47">
        <f>cOutputs!BH68</f>
        <v>0</v>
      </c>
      <c r="BI77" s="47">
        <f>cOutputs!BI68</f>
        <v>0</v>
      </c>
      <c r="BJ77" s="47">
        <f>cOutputs!BJ68</f>
        <v>0</v>
      </c>
      <c r="BK77" s="47">
        <f>cOutputs!BK68</f>
        <v>0</v>
      </c>
      <c r="BL77" s="47">
        <f>cOutputs!BL68</f>
        <v>0</v>
      </c>
      <c r="BM77" s="47">
        <f>cOutputs!BM68</f>
        <v>0</v>
      </c>
    </row>
    <row r="78" spans="1:65" outlineLevel="1">
      <c r="F78" s="18" t="s">
        <v>245</v>
      </c>
      <c r="G78" s="17" t="str">
        <f t="shared" si="15"/>
        <v>£ Nominal</v>
      </c>
      <c r="I78"/>
      <c r="AA78" s="47">
        <f>cOutputs!AA69</f>
        <v>0</v>
      </c>
      <c r="AB78" s="47">
        <f>cOutputs!AB69</f>
        <v>0</v>
      </c>
      <c r="AC78" s="47">
        <f>cOutputs!AC69</f>
        <v>0</v>
      </c>
      <c r="AD78" s="47">
        <f>cOutputs!AD69</f>
        <v>0</v>
      </c>
      <c r="AE78" s="47">
        <f>cOutputs!AE69</f>
        <v>0</v>
      </c>
      <c r="AF78" s="47">
        <f>cOutputs!AF69</f>
        <v>0</v>
      </c>
      <c r="AG78" s="47">
        <f>cOutputs!AG69</f>
        <v>0</v>
      </c>
      <c r="AH78" s="47">
        <f>cOutputs!AH69</f>
        <v>0</v>
      </c>
      <c r="AI78" s="47">
        <f>cOutputs!AI69</f>
        <v>0</v>
      </c>
      <c r="AJ78" s="47">
        <f>cOutputs!AJ69</f>
        <v>0</v>
      </c>
      <c r="AK78" s="47">
        <f>cOutputs!AK69</f>
        <v>0</v>
      </c>
      <c r="AL78" s="47">
        <f>cOutputs!AL69</f>
        <v>0</v>
      </c>
      <c r="AM78" s="47">
        <f>cOutputs!AM69</f>
        <v>0</v>
      </c>
      <c r="AN78" s="47">
        <f>cOutputs!AN69</f>
        <v>0</v>
      </c>
      <c r="AO78" s="47">
        <f>cOutputs!AO69</f>
        <v>0</v>
      </c>
      <c r="AP78" s="47">
        <f>cOutputs!AP69</f>
        <v>0</v>
      </c>
      <c r="AQ78" s="47">
        <f>cOutputs!AQ69</f>
        <v>0</v>
      </c>
      <c r="AR78" s="47">
        <f>cOutputs!AR69</f>
        <v>0</v>
      </c>
      <c r="AS78" s="47">
        <f>cOutputs!AS69</f>
        <v>0</v>
      </c>
      <c r="AT78" s="47">
        <f>cOutputs!AT69</f>
        <v>0</v>
      </c>
      <c r="AU78" s="47">
        <f>cOutputs!AU69</f>
        <v>0</v>
      </c>
      <c r="AV78" s="47">
        <f>cOutputs!AV69</f>
        <v>0</v>
      </c>
      <c r="AW78" s="47">
        <f>cOutputs!AW69</f>
        <v>0</v>
      </c>
      <c r="AX78" s="47">
        <f>cOutputs!AX69</f>
        <v>0</v>
      </c>
      <c r="AY78" s="47">
        <f>cOutputs!AY69</f>
        <v>0</v>
      </c>
      <c r="AZ78" s="47">
        <f>cOutputs!AZ69</f>
        <v>0</v>
      </c>
      <c r="BA78" s="47">
        <f>cOutputs!BA69</f>
        <v>0</v>
      </c>
      <c r="BB78" s="47">
        <f>cOutputs!BB69</f>
        <v>0</v>
      </c>
      <c r="BC78" s="47">
        <f>cOutputs!BC69</f>
        <v>0</v>
      </c>
      <c r="BD78" s="47">
        <f>cOutputs!BD69</f>
        <v>0</v>
      </c>
      <c r="BE78" s="47">
        <f>cOutputs!BE69</f>
        <v>0</v>
      </c>
      <c r="BG78" s="47">
        <f>cOutputs!BG69</f>
        <v>0</v>
      </c>
      <c r="BH78" s="47">
        <f>cOutputs!BH69</f>
        <v>0</v>
      </c>
      <c r="BI78" s="47">
        <f>cOutputs!BI69</f>
        <v>0</v>
      </c>
      <c r="BJ78" s="47">
        <f>cOutputs!BJ69</f>
        <v>0</v>
      </c>
      <c r="BK78" s="47">
        <f>cOutputs!BK69</f>
        <v>0</v>
      </c>
      <c r="BL78" s="47">
        <f>cOutputs!BL69</f>
        <v>0</v>
      </c>
      <c r="BM78" s="47">
        <f>cOutputs!BM69</f>
        <v>0</v>
      </c>
    </row>
    <row r="79" spans="1:65" outlineLevel="1">
      <c r="F79" s="18"/>
      <c r="G79" s="17"/>
    </row>
    <row r="80" spans="1:65" outlineLevel="1">
      <c r="A80" s="19">
        <f>SUM(C80:BM80)</f>
        <v>0</v>
      </c>
      <c r="F80" s="27" t="s">
        <v>329</v>
      </c>
      <c r="G80" s="17"/>
      <c r="AA80" s="19">
        <f t="shared" ref="AA80:BE80" si="16">IF(ABS(SUM(AA74:AA78)-AA73)&lt;eTol,0,1)</f>
        <v>0</v>
      </c>
      <c r="AB80" s="19">
        <f t="shared" si="16"/>
        <v>0</v>
      </c>
      <c r="AC80" s="19">
        <f t="shared" si="16"/>
        <v>0</v>
      </c>
      <c r="AD80" s="19">
        <f t="shared" si="16"/>
        <v>0</v>
      </c>
      <c r="AE80" s="19">
        <f t="shared" si="16"/>
        <v>0</v>
      </c>
      <c r="AF80" s="19">
        <f t="shared" si="16"/>
        <v>0</v>
      </c>
      <c r="AG80" s="19">
        <f t="shared" si="16"/>
        <v>0</v>
      </c>
      <c r="AH80" s="19">
        <f t="shared" si="16"/>
        <v>0</v>
      </c>
      <c r="AI80" s="19">
        <f t="shared" si="16"/>
        <v>0</v>
      </c>
      <c r="AJ80" s="19">
        <f t="shared" si="16"/>
        <v>0</v>
      </c>
      <c r="AK80" s="19">
        <f t="shared" si="16"/>
        <v>0</v>
      </c>
      <c r="AL80" s="19">
        <f t="shared" si="16"/>
        <v>0</v>
      </c>
      <c r="AM80" s="19">
        <f t="shared" si="16"/>
        <v>0</v>
      </c>
      <c r="AN80" s="19">
        <f t="shared" si="16"/>
        <v>0</v>
      </c>
      <c r="AO80" s="19">
        <f t="shared" si="16"/>
        <v>0</v>
      </c>
      <c r="AP80" s="19">
        <f t="shared" si="16"/>
        <v>0</v>
      </c>
      <c r="AQ80" s="19">
        <f t="shared" si="16"/>
        <v>0</v>
      </c>
      <c r="AR80" s="19">
        <f t="shared" si="16"/>
        <v>0</v>
      </c>
      <c r="AS80" s="19">
        <f t="shared" si="16"/>
        <v>0</v>
      </c>
      <c r="AT80" s="19">
        <f t="shared" si="16"/>
        <v>0</v>
      </c>
      <c r="AU80" s="19">
        <f t="shared" si="16"/>
        <v>0</v>
      </c>
      <c r="AV80" s="19">
        <f t="shared" si="16"/>
        <v>0</v>
      </c>
      <c r="AW80" s="19">
        <f t="shared" si="16"/>
        <v>0</v>
      </c>
      <c r="AX80" s="19">
        <f t="shared" si="16"/>
        <v>0</v>
      </c>
      <c r="AY80" s="19">
        <f t="shared" si="16"/>
        <v>0</v>
      </c>
      <c r="AZ80" s="19">
        <f t="shared" si="16"/>
        <v>0</v>
      </c>
      <c r="BA80" s="19">
        <f t="shared" si="16"/>
        <v>0</v>
      </c>
      <c r="BB80" s="19">
        <f t="shared" si="16"/>
        <v>0</v>
      </c>
      <c r="BC80" s="19">
        <f t="shared" si="16"/>
        <v>0</v>
      </c>
      <c r="BD80" s="19">
        <f t="shared" si="16"/>
        <v>0</v>
      </c>
      <c r="BE80" s="19">
        <f t="shared" si="16"/>
        <v>0</v>
      </c>
      <c r="BG80" s="19">
        <f t="shared" ref="BG80:BM80" si="17">IF(ABS(SUM(BG74:BG78)-BG73)&lt;eTol,0,1)</f>
        <v>0</v>
      </c>
      <c r="BH80" s="19">
        <f t="shared" si="17"/>
        <v>0</v>
      </c>
      <c r="BI80" s="19">
        <f t="shared" si="17"/>
        <v>0</v>
      </c>
      <c r="BJ80" s="19">
        <f t="shared" si="17"/>
        <v>0</v>
      </c>
      <c r="BK80" s="19">
        <f t="shared" si="17"/>
        <v>0</v>
      </c>
      <c r="BL80" s="19">
        <f t="shared" si="17"/>
        <v>0</v>
      </c>
      <c r="BM80" s="19">
        <f t="shared" si="17"/>
        <v>0</v>
      </c>
    </row>
    <row r="81" spans="1:66">
      <c r="F81" s="18"/>
      <c r="G81" s="17"/>
    </row>
    <row r="82" spans="1:66" ht="14" thickBot="1">
      <c r="A82" s="25"/>
      <c r="B82" s="25"/>
      <c r="C82" s="25"/>
      <c r="D82" s="25"/>
      <c r="E82" s="25" t="s">
        <v>411</v>
      </c>
      <c r="F82" s="25" t="s">
        <v>257</v>
      </c>
      <c r="G82" s="25"/>
      <c r="H82" s="25"/>
      <c r="I82" s="25"/>
      <c r="J82" s="25"/>
      <c r="K82" s="25"/>
      <c r="L82" s="25"/>
      <c r="M82" s="25"/>
      <c r="N82" s="25"/>
      <c r="O82" s="25"/>
      <c r="P82" s="25"/>
      <c r="Q82" s="25"/>
      <c r="R82" s="25"/>
      <c r="S82" s="25"/>
      <c r="T82" s="25"/>
      <c r="U82" s="25"/>
      <c r="V82" s="25"/>
      <c r="W82" s="25"/>
      <c r="X82" s="25"/>
      <c r="Y82" s="25"/>
      <c r="Z82" s="25"/>
      <c r="AA82" s="25"/>
      <c r="AB82" s="25"/>
      <c r="AC82" s="25"/>
      <c r="AD82" s="25"/>
      <c r="AE82" s="25"/>
      <c r="AF82" s="25"/>
      <c r="AG82" s="25"/>
      <c r="AH82" s="25"/>
      <c r="AI82" s="25"/>
      <c r="AJ82" s="25"/>
      <c r="AK82" s="25"/>
      <c r="AL82" s="25"/>
      <c r="AM82" s="25"/>
      <c r="AN82" s="25"/>
      <c r="AO82" s="25"/>
      <c r="AP82" s="25"/>
      <c r="AQ82" s="25"/>
      <c r="AR82" s="25"/>
      <c r="AS82" s="25"/>
      <c r="AT82" s="25"/>
      <c r="AU82" s="25"/>
      <c r="AV82" s="25"/>
      <c r="AW82" s="25"/>
      <c r="AX82" s="25"/>
      <c r="AY82" s="25"/>
      <c r="AZ82" s="25"/>
      <c r="BA82" s="25"/>
      <c r="BB82" s="25"/>
      <c r="BC82" s="25"/>
      <c r="BD82" s="25"/>
      <c r="BE82" s="25"/>
      <c r="BF82" s="25"/>
      <c r="BG82" s="25"/>
      <c r="BH82" s="25"/>
      <c r="BI82" s="25"/>
      <c r="BJ82" s="25"/>
      <c r="BK82" s="25"/>
      <c r="BL82" s="25"/>
      <c r="BM82" s="25"/>
      <c r="BN82" s="25"/>
    </row>
    <row r="83" spans="1:66">
      <c r="F83" s="18"/>
      <c r="G83" s="17"/>
    </row>
    <row r="84" spans="1:66" ht="13">
      <c r="F84" s="26" t="s">
        <v>251</v>
      </c>
      <c r="G84" s="17"/>
    </row>
    <row r="85" spans="1:66">
      <c r="F85" s="18"/>
      <c r="G85" s="17"/>
    </row>
    <row r="86" spans="1:66">
      <c r="F86" s="81" t="s">
        <v>252</v>
      </c>
      <c r="G86" s="17" t="str">
        <f>cstNominalUnit</f>
        <v>£ Nominal</v>
      </c>
      <c r="I86" s="48">
        <f>cOutputs!I79</f>
        <v>40.340736630818711</v>
      </c>
    </row>
    <row r="87" spans="1:66" customFormat="1"/>
    <row r="88" spans="1:66">
      <c r="F88" s="81" t="s">
        <v>253</v>
      </c>
      <c r="G88" s="17" t="str">
        <f>cstNominalUnit</f>
        <v>£ Nominal</v>
      </c>
      <c r="I88" s="48">
        <f>cOutputs!I81</f>
        <v>39.550378624216158</v>
      </c>
    </row>
    <row r="89" spans="1:66" customFormat="1"/>
    <row r="90" spans="1:66">
      <c r="F90" s="81" t="s">
        <v>255</v>
      </c>
      <c r="G90" s="17" t="str">
        <f>cstNominalUnit</f>
        <v>£ Nominal</v>
      </c>
      <c r="I90" s="48">
        <f>cOutputs!I83</f>
        <v>49.002678177511712</v>
      </c>
    </row>
    <row r="91" spans="1:66">
      <c r="F91" s="18"/>
      <c r="G91" s="17"/>
    </row>
    <row r="92" spans="1:66" ht="16">
      <c r="A92" s="24"/>
      <c r="B92" s="24"/>
      <c r="C92" s="24"/>
      <c r="D92" s="24">
        <v>3</v>
      </c>
      <c r="E92" s="24" t="s">
        <v>280</v>
      </c>
      <c r="F92" s="24"/>
      <c r="G92" s="24"/>
      <c r="H92" s="24"/>
      <c r="I92" s="24"/>
      <c r="J92" s="24"/>
      <c r="K92" s="24"/>
      <c r="L92" s="24"/>
      <c r="M92" s="24"/>
      <c r="N92" s="24"/>
      <c r="O92" s="24"/>
      <c r="P92" s="24"/>
      <c r="Q92" s="24"/>
      <c r="R92" s="24"/>
      <c r="S92" s="24"/>
      <c r="T92" s="24"/>
      <c r="U92" s="24"/>
      <c r="V92" s="24"/>
      <c r="W92" s="24"/>
      <c r="X92" s="24"/>
      <c r="Y92" s="24"/>
      <c r="Z92" s="24"/>
      <c r="AA92" s="24"/>
      <c r="AB92" s="24"/>
      <c r="AC92" s="24"/>
      <c r="AD92" s="24"/>
      <c r="AE92" s="24"/>
      <c r="AF92" s="24"/>
      <c r="AG92" s="24"/>
      <c r="AH92" s="24"/>
      <c r="AI92" s="24"/>
      <c r="AJ92" s="24"/>
      <c r="AK92" s="24"/>
      <c r="AL92" s="24"/>
      <c r="AM92" s="24"/>
      <c r="AN92" s="24"/>
      <c r="AO92" s="24"/>
      <c r="AP92" s="24"/>
      <c r="AQ92" s="24"/>
      <c r="AR92" s="24"/>
      <c r="AS92" s="24"/>
      <c r="AT92" s="24"/>
      <c r="AU92" s="24"/>
      <c r="AV92" s="24"/>
      <c r="AW92" s="24"/>
      <c r="AX92" s="24"/>
      <c r="AY92" s="24"/>
      <c r="AZ92" s="24"/>
      <c r="BA92" s="24"/>
      <c r="BB92" s="24"/>
      <c r="BC92" s="24"/>
      <c r="BD92" s="24"/>
      <c r="BE92" s="24"/>
      <c r="BF92" s="24"/>
      <c r="BG92" s="24"/>
      <c r="BH92" s="24"/>
      <c r="BI92" s="24"/>
      <c r="BJ92" s="24"/>
      <c r="BK92" s="24"/>
      <c r="BL92" s="24"/>
      <c r="BM92" s="24"/>
      <c r="BN92" s="24"/>
    </row>
    <row r="93" spans="1:66">
      <c r="F93" s="18"/>
      <c r="G93" s="17"/>
    </row>
    <row r="94" spans="1:66" ht="14" thickBot="1">
      <c r="A94" s="25"/>
      <c r="B94" s="25"/>
      <c r="C94" s="25"/>
      <c r="D94" s="25"/>
      <c r="E94" s="25" t="s">
        <v>390</v>
      </c>
      <c r="F94" s="25" t="s">
        <v>250</v>
      </c>
      <c r="G94" s="25"/>
      <c r="H94" s="25"/>
      <c r="I94" s="25"/>
      <c r="J94" s="25"/>
      <c r="K94" s="25"/>
      <c r="L94" s="25"/>
      <c r="M94" s="25"/>
      <c r="N94" s="25"/>
      <c r="O94" s="25"/>
      <c r="P94" s="25"/>
      <c r="Q94" s="25"/>
      <c r="R94" s="25"/>
      <c r="S94" s="25"/>
      <c r="T94" s="25"/>
      <c r="U94" s="25"/>
      <c r="V94" s="25"/>
      <c r="W94" s="25"/>
      <c r="X94" s="25"/>
      <c r="Y94" s="25"/>
      <c r="Z94" s="25"/>
      <c r="AA94" s="25"/>
      <c r="AB94" s="25"/>
      <c r="AC94" s="25"/>
      <c r="AD94" s="25"/>
      <c r="AE94" s="25"/>
      <c r="AF94" s="25"/>
      <c r="AG94" s="25"/>
      <c r="AH94" s="25"/>
      <c r="AI94" s="25"/>
      <c r="AJ94" s="25"/>
      <c r="AK94" s="25"/>
      <c r="AL94" s="25"/>
      <c r="AM94" s="25"/>
      <c r="AN94" s="25"/>
      <c r="AO94" s="25"/>
      <c r="AP94" s="25"/>
      <c r="AQ94" s="25"/>
      <c r="AR94" s="25"/>
      <c r="AS94" s="25"/>
      <c r="AT94" s="25"/>
      <c r="AU94" s="25"/>
      <c r="AV94" s="25"/>
      <c r="AW94" s="25"/>
      <c r="AX94" s="25"/>
      <c r="AY94" s="25"/>
      <c r="AZ94" s="25"/>
      <c r="BA94" s="25"/>
      <c r="BB94" s="25"/>
      <c r="BC94" s="25"/>
      <c r="BD94" s="25"/>
      <c r="BE94" s="25"/>
      <c r="BF94" s="25"/>
      <c r="BG94" s="25"/>
      <c r="BH94" s="25"/>
      <c r="BI94" s="25"/>
      <c r="BJ94" s="25"/>
      <c r="BK94" s="25"/>
      <c r="BL94" s="25"/>
      <c r="BM94" s="25"/>
      <c r="BN94" s="25"/>
    </row>
    <row r="95" spans="1:66">
      <c r="F95" s="18"/>
      <c r="G95" s="17"/>
    </row>
    <row r="96" spans="1:66" ht="13">
      <c r="F96" s="26" t="s">
        <v>251</v>
      </c>
      <c r="G96" s="17"/>
      <c r="I96" s="46" t="s">
        <v>256</v>
      </c>
    </row>
    <row r="97" spans="1:65">
      <c r="F97" s="18"/>
      <c r="G97" s="17"/>
    </row>
    <row r="98" spans="1:65">
      <c r="F98" s="37" t="s">
        <v>252</v>
      </c>
      <c r="G98" s="17" t="str">
        <f t="shared" ref="G98:G103" si="18">cstRealUnit</f>
        <v>£ Real</v>
      </c>
      <c r="I98" s="82">
        <f>cOutputs!I91</f>
        <v>80228510.67664139</v>
      </c>
      <c r="AA98" s="82">
        <f>cOutputs!AA91</f>
        <v>3045073.0031171548</v>
      </c>
      <c r="AB98" s="82">
        <f>cOutputs!AB91</f>
        <v>2873384.7482724581</v>
      </c>
      <c r="AC98" s="82">
        <f>cOutputs!AC91</f>
        <v>2332454.0904959752</v>
      </c>
      <c r="AD98" s="82">
        <f>cOutputs!AD91</f>
        <v>2347127.4597089933</v>
      </c>
      <c r="AE98" s="82">
        <f>cOutputs!AE91</f>
        <v>2407041.0866826931</v>
      </c>
      <c r="AF98" s="82">
        <f>cOutputs!AF91</f>
        <v>2374434.3389408845</v>
      </c>
      <c r="AG98" s="82">
        <f>cOutputs!AG91</f>
        <v>2529196.5034900969</v>
      </c>
      <c r="AH98" s="82">
        <f>cOutputs!AH91</f>
        <v>2446205.8224981902</v>
      </c>
      <c r="AI98" s="82">
        <f>cOutputs!AI91</f>
        <v>2412472.1545169232</v>
      </c>
      <c r="AJ98" s="82">
        <f>cOutputs!AJ91</f>
        <v>2425295.2048928184</v>
      </c>
      <c r="AK98" s="82">
        <f>cOutputs!AK91</f>
        <v>2486056.0621762006</v>
      </c>
      <c r="AL98" s="82">
        <f>cOutputs!AL91</f>
        <v>2600420.3295804695</v>
      </c>
      <c r="AM98" s="82">
        <f>cOutputs!AM91</f>
        <v>2464201.9745224519</v>
      </c>
      <c r="AN98" s="82">
        <f>cOutputs!AN91</f>
        <v>2526605.105967422</v>
      </c>
      <c r="AO98" s="82">
        <f>cOutputs!AO91</f>
        <v>2490509.0616160757</v>
      </c>
      <c r="AP98" s="82">
        <f>cOutputs!AP91</f>
        <v>2503774.7617132165</v>
      </c>
      <c r="AQ98" s="82">
        <f>cOutputs!AQ91</f>
        <v>2724588.7905235183</v>
      </c>
      <c r="AR98" s="82">
        <f>cOutputs!AR91</f>
        <v>2530532.8146526632</v>
      </c>
      <c r="AS98" s="82">
        <f>cOutputs!AS91</f>
        <v>2544026.11320954</v>
      </c>
      <c r="AT98" s="82">
        <f>cOutputs!AT91</f>
        <v>2609854.2674800865</v>
      </c>
      <c r="AU98" s="82">
        <f>cOutputs!AU91</f>
        <v>2571243.6437363261</v>
      </c>
      <c r="AV98" s="82">
        <f>cOutputs!AV91</f>
        <v>2749525.6708312989</v>
      </c>
      <c r="AW98" s="82">
        <f>cOutputs!AW91</f>
        <v>2652582.4677553033</v>
      </c>
      <c r="AX98" s="82">
        <f>cOutputs!AX91</f>
        <v>2612654.5420031934</v>
      </c>
      <c r="AY98" s="82">
        <f>cOutputs!AY91</f>
        <v>2626616.0310933543</v>
      </c>
      <c r="AZ98" s="82">
        <f>cOutputs!AZ91</f>
        <v>2696065.6520045809</v>
      </c>
      <c r="BA98" s="82">
        <f>cOutputs!BA91</f>
        <v>2827561.8446779689</v>
      </c>
      <c r="BB98" s="82">
        <f>cOutputs!BB91</f>
        <v>2668981.0450686235</v>
      </c>
      <c r="BC98" s="82">
        <f>cOutputs!BC91</f>
        <v>2740318.6468015434</v>
      </c>
      <c r="BD98" s="82">
        <f>cOutputs!BD91</f>
        <v>2697629.906964045</v>
      </c>
      <c r="BE98" s="82">
        <f>cOutputs!BE91</f>
        <v>2712077.5316473092</v>
      </c>
      <c r="BG98" s="82">
        <f>cOutputs!BG91</f>
        <v>3045073.0031171548</v>
      </c>
      <c r="BH98" s="82">
        <f>cOutputs!BH91</f>
        <v>12334441.724101005</v>
      </c>
      <c r="BI98" s="82">
        <f>cOutputs!BI91</f>
        <v>12299225.747574229</v>
      </c>
      <c r="BJ98" s="82">
        <f>cOutputs!BJ91</f>
        <v>12585511.233399635</v>
      </c>
      <c r="BK98" s="82">
        <f>cOutputs!BK91</f>
        <v>12980245.629602134</v>
      </c>
      <c r="BL98" s="82">
        <f>cOutputs!BL91</f>
        <v>13337444.363687731</v>
      </c>
      <c r="BM98" s="82">
        <f>cOutputs!BM91</f>
        <v>13646568.97515949</v>
      </c>
    </row>
    <row r="99" spans="1:65" outlineLevel="1">
      <c r="F99" s="18" t="s">
        <v>214</v>
      </c>
      <c r="G99" s="17" t="str">
        <f t="shared" si="18"/>
        <v>£ Real</v>
      </c>
      <c r="I99" s="47">
        <f>cOutputs!I92</f>
        <v>0</v>
      </c>
      <c r="AA99" s="47">
        <f>cOutputs!AA92</f>
        <v>0</v>
      </c>
      <c r="AB99" s="47">
        <f>cOutputs!AB92</f>
        <v>0</v>
      </c>
      <c r="AC99" s="47">
        <f>cOutputs!AC92</f>
        <v>0</v>
      </c>
      <c r="AD99" s="47">
        <f>cOutputs!AD92</f>
        <v>0</v>
      </c>
      <c r="AE99" s="47">
        <f>cOutputs!AE92</f>
        <v>0</v>
      </c>
      <c r="AF99" s="47">
        <f>cOutputs!AF92</f>
        <v>0</v>
      </c>
      <c r="AG99" s="47">
        <f>cOutputs!AG92</f>
        <v>0</v>
      </c>
      <c r="AH99" s="47">
        <f>cOutputs!AH92</f>
        <v>0</v>
      </c>
      <c r="AI99" s="47">
        <f>cOutputs!AI92</f>
        <v>0</v>
      </c>
      <c r="AJ99" s="47">
        <f>cOutputs!AJ92</f>
        <v>0</v>
      </c>
      <c r="AK99" s="47">
        <f>cOutputs!AK92</f>
        <v>0</v>
      </c>
      <c r="AL99" s="47">
        <f>cOutputs!AL92</f>
        <v>0</v>
      </c>
      <c r="AM99" s="47">
        <f>cOutputs!AM92</f>
        <v>0</v>
      </c>
      <c r="AN99" s="47">
        <f>cOutputs!AN92</f>
        <v>0</v>
      </c>
      <c r="AO99" s="47">
        <f>cOutputs!AO92</f>
        <v>0</v>
      </c>
      <c r="AP99" s="47">
        <f>cOutputs!AP92</f>
        <v>0</v>
      </c>
      <c r="AQ99" s="47">
        <f>cOutputs!AQ92</f>
        <v>0</v>
      </c>
      <c r="AR99" s="47">
        <f>cOutputs!AR92</f>
        <v>0</v>
      </c>
      <c r="AS99" s="47">
        <f>cOutputs!AS92</f>
        <v>0</v>
      </c>
      <c r="AT99" s="47">
        <f>cOutputs!AT92</f>
        <v>0</v>
      </c>
      <c r="AU99" s="47">
        <f>cOutputs!AU92</f>
        <v>0</v>
      </c>
      <c r="AV99" s="47">
        <f>cOutputs!AV92</f>
        <v>0</v>
      </c>
      <c r="AW99" s="47">
        <f>cOutputs!AW92</f>
        <v>0</v>
      </c>
      <c r="AX99" s="47">
        <f>cOutputs!AX92</f>
        <v>0</v>
      </c>
      <c r="AY99" s="47">
        <f>cOutputs!AY92</f>
        <v>0</v>
      </c>
      <c r="AZ99" s="47">
        <f>cOutputs!AZ92</f>
        <v>0</v>
      </c>
      <c r="BA99" s="47">
        <f>cOutputs!BA92</f>
        <v>0</v>
      </c>
      <c r="BB99" s="47">
        <f>cOutputs!BB92</f>
        <v>0</v>
      </c>
      <c r="BC99" s="47">
        <f>cOutputs!BC92</f>
        <v>0</v>
      </c>
      <c r="BD99" s="47">
        <f>cOutputs!BD92</f>
        <v>0</v>
      </c>
      <c r="BE99" s="47">
        <f>cOutputs!BE92</f>
        <v>0</v>
      </c>
      <c r="BG99" s="47">
        <f>cOutputs!BG92</f>
        <v>0</v>
      </c>
      <c r="BH99" s="47">
        <f>cOutputs!BH92</f>
        <v>0</v>
      </c>
      <c r="BI99" s="47">
        <f>cOutputs!BI92</f>
        <v>0</v>
      </c>
      <c r="BJ99" s="47">
        <f>cOutputs!BJ92</f>
        <v>0</v>
      </c>
      <c r="BK99" s="47">
        <f>cOutputs!BK92</f>
        <v>0</v>
      </c>
      <c r="BL99" s="47">
        <f>cOutputs!BL92</f>
        <v>0</v>
      </c>
      <c r="BM99" s="47">
        <f>cOutputs!BM92</f>
        <v>0</v>
      </c>
    </row>
    <row r="100" spans="1:65" outlineLevel="1">
      <c r="F100" s="18" t="s">
        <v>42</v>
      </c>
      <c r="G100" s="17" t="str">
        <f t="shared" si="18"/>
        <v>£ Real</v>
      </c>
      <c r="I100" s="47">
        <f>cOutputs!I93</f>
        <v>68791696.815549955</v>
      </c>
      <c r="AA100" s="47">
        <f>cOutputs!AA93</f>
        <v>0</v>
      </c>
      <c r="AB100" s="47">
        <f>cOutputs!AB93</f>
        <v>2124256.3721825476</v>
      </c>
      <c r="AC100" s="47">
        <f>cOutputs!AC93</f>
        <v>2140966.3534779861</v>
      </c>
      <c r="AD100" s="47">
        <f>cOutputs!AD93</f>
        <v>2153572.6323012123</v>
      </c>
      <c r="AE100" s="47">
        <f>cOutputs!AE93</f>
        <v>2166253.1384776672</v>
      </c>
      <c r="AF100" s="47">
        <f>cOutputs!AF93</f>
        <v>2176872.0264113811</v>
      </c>
      <c r="AG100" s="47">
        <f>cOutputs!AG93</f>
        <v>2187542.9677173188</v>
      </c>
      <c r="AH100" s="47">
        <f>cOutputs!AH93</f>
        <v>2198266.2175590703</v>
      </c>
      <c r="AI100" s="47">
        <f>cOutputs!AI93</f>
        <v>2209042.0323510268</v>
      </c>
      <c r="AJ100" s="47">
        <f>cOutputs!AJ93</f>
        <v>2219870.6697645113</v>
      </c>
      <c r="AK100" s="47">
        <f>cOutputs!AK93</f>
        <v>2230752.3887339449</v>
      </c>
      <c r="AL100" s="47">
        <f>cOutputs!AL93</f>
        <v>2241687.4494630322</v>
      </c>
      <c r="AM100" s="47">
        <f>cOutputs!AM93</f>
        <v>2252676.1134309885</v>
      </c>
      <c r="AN100" s="47">
        <f>cOutputs!AN93</f>
        <v>2263718.6433987874</v>
      </c>
      <c r="AO100" s="47">
        <f>cOutputs!AO93</f>
        <v>2274815.3034154475</v>
      </c>
      <c r="AP100" s="47">
        <f>cOutputs!AP93</f>
        <v>2285966.3588243467</v>
      </c>
      <c r="AQ100" s="47">
        <f>cOutputs!AQ93</f>
        <v>2297172.0762695638</v>
      </c>
      <c r="AR100" s="47">
        <f>cOutputs!AR93</f>
        <v>2308432.723702258</v>
      </c>
      <c r="AS100" s="47">
        <f>cOutputs!AS93</f>
        <v>2319748.5703870719</v>
      </c>
      <c r="AT100" s="47">
        <f>cOutputs!AT93</f>
        <v>2331119.8869085773</v>
      </c>
      <c r="AU100" s="47">
        <f>cOutputs!AU93</f>
        <v>2342546.9451777367</v>
      </c>
      <c r="AV100" s="47">
        <f>cOutputs!AV93</f>
        <v>2354030.0184384114</v>
      </c>
      <c r="AW100" s="47">
        <f>cOutputs!AW93</f>
        <v>2365569.3812738936</v>
      </c>
      <c r="AX100" s="47">
        <f>cOutputs!AX93</f>
        <v>2377165.3096134714</v>
      </c>
      <c r="AY100" s="47">
        <f>cOutputs!AY93</f>
        <v>2388818.0807390274</v>
      </c>
      <c r="AZ100" s="47">
        <f>cOutputs!AZ93</f>
        <v>2400527.9732916695</v>
      </c>
      <c r="BA100" s="47">
        <f>cOutputs!BA93</f>
        <v>2412295.2672783928</v>
      </c>
      <c r="BB100" s="47">
        <f>cOutputs!BB93</f>
        <v>2424120.2440787773</v>
      </c>
      <c r="BC100" s="47">
        <f>cOutputs!BC93</f>
        <v>2436003.1864517122</v>
      </c>
      <c r="BD100" s="47">
        <f>cOutputs!BD93</f>
        <v>2447944.3785421611</v>
      </c>
      <c r="BE100" s="47">
        <f>cOutputs!BE93</f>
        <v>2459944.105887956</v>
      </c>
      <c r="BG100" s="47">
        <f>cOutputs!BG93</f>
        <v>0</v>
      </c>
      <c r="BH100" s="47">
        <f>cOutputs!BH93</f>
        <v>10761920.522850793</v>
      </c>
      <c r="BI100" s="47">
        <f>cOutputs!BI93</f>
        <v>11045474.276125871</v>
      </c>
      <c r="BJ100" s="47">
        <f>cOutputs!BJ93</f>
        <v>11318863.868532602</v>
      </c>
      <c r="BK100" s="47">
        <f>cOutputs!BK93</f>
        <v>11599020.202445209</v>
      </c>
      <c r="BL100" s="47">
        <f>cOutputs!BL93</f>
        <v>11886110.763356473</v>
      </c>
      <c r="BM100" s="47">
        <f>cOutputs!BM93</f>
        <v>12180307.182239</v>
      </c>
    </row>
    <row r="101" spans="1:65" outlineLevel="1">
      <c r="F101" s="18" t="s">
        <v>227</v>
      </c>
      <c r="G101" s="17" t="str">
        <f t="shared" si="18"/>
        <v>£ Real</v>
      </c>
      <c r="I101" s="47">
        <f>cOutputs!I94</f>
        <v>7327618.8428927166</v>
      </c>
      <c r="AA101" s="47">
        <f>cOutputs!AA94</f>
        <v>0</v>
      </c>
      <c r="AB101" s="47">
        <f>cOutputs!AB94</f>
        <v>718589.50381442916</v>
      </c>
      <c r="AC101" s="47">
        <f>cOutputs!AC94</f>
        <v>160558.49567703961</v>
      </c>
      <c r="AD101" s="47">
        <f>cOutputs!AD94</f>
        <v>162291.70809357296</v>
      </c>
      <c r="AE101" s="47">
        <f>cOutputs!AE94</f>
        <v>209187.34673924118</v>
      </c>
      <c r="AF101" s="47">
        <f>cOutputs!AF94</f>
        <v>165651.90124542668</v>
      </c>
      <c r="AG101" s="47">
        <f>cOutputs!AG94</f>
        <v>309430.27731924993</v>
      </c>
      <c r="AH101" s="47">
        <f>cOutputs!AH94</f>
        <v>215400.43218702724</v>
      </c>
      <c r="AI101" s="47">
        <f>cOutputs!AI94</f>
        <v>170571.93791623451</v>
      </c>
      <c r="AJ101" s="47">
        <f>cOutputs!AJ94</f>
        <v>172244.21181737407</v>
      </c>
      <c r="AK101" s="47">
        <f>cOutputs!AK94</f>
        <v>221798.05284396061</v>
      </c>
      <c r="AL101" s="47">
        <f>cOutputs!AL94</f>
        <v>324898.77304268826</v>
      </c>
      <c r="AM101" s="47">
        <f>cOutputs!AM94</f>
        <v>177360.04708460893</v>
      </c>
      <c r="AN101" s="47">
        <f>cOutputs!AN94</f>
        <v>228385.68960092883</v>
      </c>
      <c r="AO101" s="47">
        <f>cOutputs!AO94</f>
        <v>180854.74236068979</v>
      </c>
      <c r="AP101" s="47">
        <f>cOutputs!AP94</f>
        <v>182627.82807010834</v>
      </c>
      <c r="AQ101" s="47">
        <f>cOutputs!AQ94</f>
        <v>391891.23183893063</v>
      </c>
      <c r="AR101" s="47">
        <f>cOutputs!AR94</f>
        <v>186226.31949209722</v>
      </c>
      <c r="AS101" s="47">
        <f>cOutputs!AS94</f>
        <v>188052.06772241188</v>
      </c>
      <c r="AT101" s="47">
        <f>cOutputs!AT94</f>
        <v>242153.75375478578</v>
      </c>
      <c r="AU101" s="47">
        <f>cOutputs!AU94</f>
        <v>191757.4381456236</v>
      </c>
      <c r="AV101" s="47">
        <f>cOutputs!AV94</f>
        <v>358194.24236802937</v>
      </c>
      <c r="AW101" s="47">
        <f>cOutputs!AW94</f>
        <v>249345.97635826896</v>
      </c>
      <c r="AX101" s="47">
        <f>cOutputs!AX94</f>
        <v>197452.83687321699</v>
      </c>
      <c r="AY101" s="47">
        <f>cOutputs!AY94</f>
        <v>199388.64899942503</v>
      </c>
      <c r="AZ101" s="47">
        <f>cOutputs!AZ94</f>
        <v>256751.81558002031</v>
      </c>
      <c r="BA101" s="47">
        <f>cOutputs!BA94</f>
        <v>376100.46070655843</v>
      </c>
      <c r="BB101" s="47">
        <f>cOutputs!BB94</f>
        <v>205310.70276062252</v>
      </c>
      <c r="BC101" s="47">
        <f>cOutputs!BC94</f>
        <v>264377.61605953675</v>
      </c>
      <c r="BD101" s="47">
        <f>cOutputs!BD94</f>
        <v>209356.13663854712</v>
      </c>
      <c r="BE101" s="47">
        <f>cOutputs!BE94</f>
        <v>211408.6477820623</v>
      </c>
      <c r="BG101" s="47">
        <f>cOutputs!BG94</f>
        <v>0</v>
      </c>
      <c r="BH101" s="47">
        <f>cOutputs!BH94</f>
        <v>1416278.9555697097</v>
      </c>
      <c r="BI101" s="47">
        <f>cOutputs!BI94</f>
        <v>1089444.9120838465</v>
      </c>
      <c r="BJ101" s="47">
        <f>cOutputs!BJ94</f>
        <v>1094127.0801590241</v>
      </c>
      <c r="BK101" s="47">
        <f>cOutputs!BK94</f>
        <v>1200080.810953849</v>
      </c>
      <c r="BL101" s="47">
        <f>cOutputs!BL94</f>
        <v>1261133.5201789606</v>
      </c>
      <c r="BM101" s="47">
        <f>cOutputs!BM94</f>
        <v>1266553.563947327</v>
      </c>
    </row>
    <row r="102" spans="1:65" outlineLevel="1">
      <c r="F102" s="18" t="s">
        <v>121</v>
      </c>
      <c r="G102" s="17" t="str">
        <f t="shared" si="18"/>
        <v>£ Real</v>
      </c>
      <c r="I102" s="47">
        <f>cOutputs!I95</f>
        <v>0</v>
      </c>
      <c r="AA102" s="47">
        <f>cOutputs!AA95</f>
        <v>0</v>
      </c>
      <c r="AB102" s="47">
        <f>cOutputs!AB95</f>
        <v>0</v>
      </c>
      <c r="AC102" s="47">
        <f>cOutputs!AC95</f>
        <v>0</v>
      </c>
      <c r="AD102" s="47">
        <f>cOutputs!AD95</f>
        <v>0</v>
      </c>
      <c r="AE102" s="47">
        <f>cOutputs!AE95</f>
        <v>0</v>
      </c>
      <c r="AF102" s="47">
        <f>cOutputs!AF95</f>
        <v>0</v>
      </c>
      <c r="AG102" s="47">
        <f>cOutputs!AG95</f>
        <v>0</v>
      </c>
      <c r="AH102" s="47">
        <f>cOutputs!AH95</f>
        <v>0</v>
      </c>
      <c r="AI102" s="47">
        <f>cOutputs!AI95</f>
        <v>0</v>
      </c>
      <c r="AJ102" s="47">
        <f>cOutputs!AJ95</f>
        <v>0</v>
      </c>
      <c r="AK102" s="47">
        <f>cOutputs!AK95</f>
        <v>0</v>
      </c>
      <c r="AL102" s="47">
        <f>cOutputs!AL95</f>
        <v>0</v>
      </c>
      <c r="AM102" s="47">
        <f>cOutputs!AM95</f>
        <v>0</v>
      </c>
      <c r="AN102" s="47">
        <f>cOutputs!AN95</f>
        <v>0</v>
      </c>
      <c r="AO102" s="47">
        <f>cOutputs!AO95</f>
        <v>0</v>
      </c>
      <c r="AP102" s="47">
        <f>cOutputs!AP95</f>
        <v>0</v>
      </c>
      <c r="AQ102" s="47">
        <f>cOutputs!AQ95</f>
        <v>0</v>
      </c>
      <c r="AR102" s="47">
        <f>cOutputs!AR95</f>
        <v>0</v>
      </c>
      <c r="AS102" s="47">
        <f>cOutputs!AS95</f>
        <v>0</v>
      </c>
      <c r="AT102" s="47">
        <f>cOutputs!AT95</f>
        <v>0</v>
      </c>
      <c r="AU102" s="47">
        <f>cOutputs!AU95</f>
        <v>0</v>
      </c>
      <c r="AV102" s="47">
        <f>cOutputs!AV95</f>
        <v>0</v>
      </c>
      <c r="AW102" s="47">
        <f>cOutputs!AW95</f>
        <v>0</v>
      </c>
      <c r="AX102" s="47">
        <f>cOutputs!AX95</f>
        <v>0</v>
      </c>
      <c r="AY102" s="47">
        <f>cOutputs!AY95</f>
        <v>0</v>
      </c>
      <c r="AZ102" s="47">
        <f>cOutputs!AZ95</f>
        <v>0</v>
      </c>
      <c r="BA102" s="47">
        <f>cOutputs!BA95</f>
        <v>0</v>
      </c>
      <c r="BB102" s="47">
        <f>cOutputs!BB95</f>
        <v>0</v>
      </c>
      <c r="BC102" s="47">
        <f>cOutputs!BC95</f>
        <v>0</v>
      </c>
      <c r="BD102" s="47">
        <f>cOutputs!BD95</f>
        <v>0</v>
      </c>
      <c r="BE102" s="47">
        <f>cOutputs!BE95</f>
        <v>0</v>
      </c>
      <c r="BG102" s="47">
        <f>cOutputs!BG95</f>
        <v>0</v>
      </c>
      <c r="BH102" s="47">
        <f>cOutputs!BH95</f>
        <v>0</v>
      </c>
      <c r="BI102" s="47">
        <f>cOutputs!BI95</f>
        <v>0</v>
      </c>
      <c r="BJ102" s="47">
        <f>cOutputs!BJ95</f>
        <v>0</v>
      </c>
      <c r="BK102" s="47">
        <f>cOutputs!BK95</f>
        <v>0</v>
      </c>
      <c r="BL102" s="47">
        <f>cOutputs!BL95</f>
        <v>0</v>
      </c>
      <c r="BM102" s="47">
        <f>cOutputs!BM95</f>
        <v>0</v>
      </c>
    </row>
    <row r="103" spans="1:65" outlineLevel="1">
      <c r="F103" s="18" t="s">
        <v>245</v>
      </c>
      <c r="G103" s="17" t="str">
        <f t="shared" si="18"/>
        <v>£ Real</v>
      </c>
      <c r="I103" s="47">
        <f>cOutputs!I96</f>
        <v>4109195.0181987141</v>
      </c>
      <c r="AA103" s="47">
        <f>cOutputs!AA96</f>
        <v>3045073.0031171548</v>
      </c>
      <c r="AB103" s="47">
        <f>cOutputs!AB96</f>
        <v>30538.872275481506</v>
      </c>
      <c r="AC103" s="47">
        <f>cOutputs!AC96</f>
        <v>30929.241340949808</v>
      </c>
      <c r="AD103" s="47">
        <f>cOutputs!AD96</f>
        <v>31263.119314208347</v>
      </c>
      <c r="AE103" s="47">
        <f>cOutputs!AE96</f>
        <v>31600.601465784694</v>
      </c>
      <c r="AF103" s="47">
        <f>cOutputs!AF96</f>
        <v>31910.411284076701</v>
      </c>
      <c r="AG103" s="47">
        <f>cOutputs!AG96</f>
        <v>32223.258453528433</v>
      </c>
      <c r="AH103" s="47">
        <f>cOutputs!AH96</f>
        <v>32539.17275209244</v>
      </c>
      <c r="AI103" s="47">
        <f>cOutputs!AI96</f>
        <v>32858.184249661972</v>
      </c>
      <c r="AJ103" s="47">
        <f>cOutputs!AJ96</f>
        <v>33180.32331093317</v>
      </c>
      <c r="AK103" s="47">
        <f>cOutputs!AK96</f>
        <v>33505.620598295267</v>
      </c>
      <c r="AL103" s="47">
        <f>cOutputs!AL96</f>
        <v>33834.107074749139</v>
      </c>
      <c r="AM103" s="47">
        <f>cOutputs!AM96</f>
        <v>34165.814006854518</v>
      </c>
      <c r="AN103" s="47">
        <f>cOutputs!AN96</f>
        <v>34500.772967706034</v>
      </c>
      <c r="AO103" s="47">
        <f>cOutputs!AO96</f>
        <v>34839.015839938453</v>
      </c>
      <c r="AP103" s="47">
        <f>cOutputs!AP96</f>
        <v>35180.574818761386</v>
      </c>
      <c r="AQ103" s="47">
        <f>cOutputs!AQ96</f>
        <v>35525.482415023755</v>
      </c>
      <c r="AR103" s="47">
        <f>cOutputs!AR96</f>
        <v>35873.771458308292</v>
      </c>
      <c r="AS103" s="47">
        <f>cOutputs!AS96</f>
        <v>36225.475100056414</v>
      </c>
      <c r="AT103" s="47">
        <f>cOutputs!AT96</f>
        <v>36580.626816723634</v>
      </c>
      <c r="AU103" s="47">
        <f>cOutputs!AU96</f>
        <v>36939.260412966032</v>
      </c>
      <c r="AV103" s="47">
        <f>cOutputs!AV96</f>
        <v>37301.410024857862</v>
      </c>
      <c r="AW103" s="47">
        <f>cOutputs!AW96</f>
        <v>37667.110123140774</v>
      </c>
      <c r="AX103" s="47">
        <f>cOutputs!AX96</f>
        <v>38036.395516504905</v>
      </c>
      <c r="AY103" s="47">
        <f>cOutputs!AY96</f>
        <v>38409.301354902011</v>
      </c>
      <c r="AZ103" s="47">
        <f>cOutputs!AZ96</f>
        <v>38785.863132891245</v>
      </c>
      <c r="BA103" s="47">
        <f>cOutputs!BA96</f>
        <v>39166.116693017633</v>
      </c>
      <c r="BB103" s="47">
        <f>cOutputs!BB96</f>
        <v>39550.098229223688</v>
      </c>
      <c r="BC103" s="47">
        <f>cOutputs!BC96</f>
        <v>39937.844290294503</v>
      </c>
      <c r="BD103" s="47">
        <f>cOutputs!BD96</f>
        <v>40329.391783336607</v>
      </c>
      <c r="BE103" s="47">
        <f>cOutputs!BE96</f>
        <v>40724.777977290883</v>
      </c>
      <c r="BG103" s="47">
        <f>cOutputs!BG96</f>
        <v>3045073.0031171548</v>
      </c>
      <c r="BH103" s="47">
        <f>cOutputs!BH96</f>
        <v>156242.24568050104</v>
      </c>
      <c r="BI103" s="47">
        <f>cOutputs!BI96</f>
        <v>164306.55936451128</v>
      </c>
      <c r="BJ103" s="47">
        <f>cOutputs!BJ96</f>
        <v>172520.28470800951</v>
      </c>
      <c r="BK103" s="47">
        <f>cOutputs!BK96</f>
        <v>181144.61620307813</v>
      </c>
      <c r="BL103" s="47">
        <f>cOutputs!BL96</f>
        <v>190200.08015229681</v>
      </c>
      <c r="BM103" s="47">
        <f>cOutputs!BM96</f>
        <v>199708.22897316332</v>
      </c>
    </row>
    <row r="104" spans="1:65" outlineLevel="1">
      <c r="F104" s="18"/>
      <c r="G104" s="17"/>
    </row>
    <row r="105" spans="1:65" outlineLevel="1">
      <c r="A105" s="19">
        <f>SUM(C105:BM105)</f>
        <v>0</v>
      </c>
      <c r="F105" s="27" t="s">
        <v>329</v>
      </c>
      <c r="G105" s="17"/>
      <c r="AA105" s="19">
        <f t="shared" ref="AA105:BE105" si="19">IF(ABS(SUM(AA99:AA103)-AA98)&lt;eTol,0,1)</f>
        <v>0</v>
      </c>
      <c r="AB105" s="19">
        <f t="shared" si="19"/>
        <v>0</v>
      </c>
      <c r="AC105" s="19">
        <f t="shared" si="19"/>
        <v>0</v>
      </c>
      <c r="AD105" s="19">
        <f t="shared" si="19"/>
        <v>0</v>
      </c>
      <c r="AE105" s="19">
        <f t="shared" si="19"/>
        <v>0</v>
      </c>
      <c r="AF105" s="19">
        <f t="shared" si="19"/>
        <v>0</v>
      </c>
      <c r="AG105" s="19">
        <f t="shared" si="19"/>
        <v>0</v>
      </c>
      <c r="AH105" s="19">
        <f t="shared" si="19"/>
        <v>0</v>
      </c>
      <c r="AI105" s="19">
        <f t="shared" si="19"/>
        <v>0</v>
      </c>
      <c r="AJ105" s="19">
        <f t="shared" si="19"/>
        <v>0</v>
      </c>
      <c r="AK105" s="19">
        <f t="shared" si="19"/>
        <v>0</v>
      </c>
      <c r="AL105" s="19">
        <f t="shared" si="19"/>
        <v>0</v>
      </c>
      <c r="AM105" s="19">
        <f t="shared" si="19"/>
        <v>0</v>
      </c>
      <c r="AN105" s="19">
        <f t="shared" si="19"/>
        <v>0</v>
      </c>
      <c r="AO105" s="19">
        <f t="shared" si="19"/>
        <v>0</v>
      </c>
      <c r="AP105" s="19">
        <f t="shared" si="19"/>
        <v>0</v>
      </c>
      <c r="AQ105" s="19">
        <f t="shared" si="19"/>
        <v>0</v>
      </c>
      <c r="AR105" s="19">
        <f t="shared" si="19"/>
        <v>0</v>
      </c>
      <c r="AS105" s="19">
        <f t="shared" si="19"/>
        <v>0</v>
      </c>
      <c r="AT105" s="19">
        <f t="shared" si="19"/>
        <v>0</v>
      </c>
      <c r="AU105" s="19">
        <f t="shared" si="19"/>
        <v>0</v>
      </c>
      <c r="AV105" s="19">
        <f t="shared" si="19"/>
        <v>0</v>
      </c>
      <c r="AW105" s="19">
        <f t="shared" si="19"/>
        <v>0</v>
      </c>
      <c r="AX105" s="19">
        <f t="shared" si="19"/>
        <v>0</v>
      </c>
      <c r="AY105" s="19">
        <f t="shared" si="19"/>
        <v>0</v>
      </c>
      <c r="AZ105" s="19">
        <f t="shared" si="19"/>
        <v>0</v>
      </c>
      <c r="BA105" s="19">
        <f t="shared" si="19"/>
        <v>0</v>
      </c>
      <c r="BB105" s="19">
        <f t="shared" si="19"/>
        <v>0</v>
      </c>
      <c r="BC105" s="19">
        <f t="shared" si="19"/>
        <v>0</v>
      </c>
      <c r="BD105" s="19">
        <f t="shared" si="19"/>
        <v>0</v>
      </c>
      <c r="BE105" s="19">
        <f t="shared" si="19"/>
        <v>0</v>
      </c>
      <c r="BG105" s="19">
        <f t="shared" ref="BG105:BM105" si="20">IF(ABS(SUM(BG99:BG103)-BG98)&lt;eTol,0,1)</f>
        <v>0</v>
      </c>
      <c r="BH105" s="19">
        <f t="shared" si="20"/>
        <v>0</v>
      </c>
      <c r="BI105" s="19">
        <f t="shared" si="20"/>
        <v>0</v>
      </c>
      <c r="BJ105" s="19">
        <f t="shared" si="20"/>
        <v>0</v>
      </c>
      <c r="BK105" s="19">
        <f t="shared" si="20"/>
        <v>0</v>
      </c>
      <c r="BL105" s="19">
        <f t="shared" si="20"/>
        <v>0</v>
      </c>
      <c r="BM105" s="19">
        <f t="shared" si="20"/>
        <v>0</v>
      </c>
    </row>
    <row r="106" spans="1:65">
      <c r="F106" s="18"/>
      <c r="G106" s="17"/>
    </row>
    <row r="107" spans="1:65">
      <c r="F107" s="37" t="s">
        <v>253</v>
      </c>
      <c r="G107" s="17" t="str">
        <f t="shared" ref="G107:G112" si="21">cstRealUnit</f>
        <v>£ Real</v>
      </c>
      <c r="I107" s="82">
        <f>cOutputs!I98</f>
        <v>77842179.873336628</v>
      </c>
      <c r="AA107" s="82">
        <f>cOutputs!AA98</f>
        <v>0</v>
      </c>
      <c r="AB107" s="82">
        <f>cOutputs!AB98</f>
        <v>2892289.7644429943</v>
      </c>
      <c r="AC107" s="82">
        <f>cOutputs!AC98</f>
        <v>2351600.7637070394</v>
      </c>
      <c r="AD107" s="82">
        <f>cOutputs!AD98</f>
        <v>2366480.8192844559</v>
      </c>
      <c r="AE107" s="82">
        <f>cOutputs!AE98</f>
        <v>2426603.36378056</v>
      </c>
      <c r="AF107" s="82">
        <f>cOutputs!AF98</f>
        <v>2394188.4030691227</v>
      </c>
      <c r="AG107" s="82">
        <f>cOutputs!AG98</f>
        <v>2549144.2349137096</v>
      </c>
      <c r="AH107" s="82">
        <f>cOutputs!AH98</f>
        <v>2466349.1199161522</v>
      </c>
      <c r="AI107" s="82">
        <f>cOutputs!AI98</f>
        <v>2432812.9352429044</v>
      </c>
      <c r="AJ107" s="82">
        <f>cOutputs!AJ98</f>
        <v>2445835.405037682</v>
      </c>
      <c r="AK107" s="82">
        <f>cOutputs!AK98</f>
        <v>2506797.636832288</v>
      </c>
      <c r="AL107" s="82">
        <f>cOutputs!AL98</f>
        <v>2621365.2530076951</v>
      </c>
      <c r="AM107" s="82">
        <f>cOutputs!AM98</f>
        <v>2485352.2403362193</v>
      </c>
      <c r="AN107" s="82">
        <f>cOutputs!AN98</f>
        <v>2547962.7273283829</v>
      </c>
      <c r="AO107" s="82">
        <f>cOutputs!AO98</f>
        <v>2512076.0714217518</v>
      </c>
      <c r="AP107" s="82">
        <f>cOutputs!AP98</f>
        <v>2525553.2127914974</v>
      </c>
      <c r="AQ107" s="82">
        <f>cOutputs!AQ98</f>
        <v>2746580.755828057</v>
      </c>
      <c r="AR107" s="82">
        <f>cOutputs!AR98</f>
        <v>2552740.3874601875</v>
      </c>
      <c r="AS107" s="82">
        <f>cOutputs!AS98</f>
        <v>2566451.4073190987</v>
      </c>
      <c r="AT107" s="82">
        <f>cOutputs!AT98</f>
        <v>2632499.4174142489</v>
      </c>
      <c r="AU107" s="82">
        <f>cOutputs!AU98</f>
        <v>2594110.8049443527</v>
      </c>
      <c r="AV107" s="82">
        <f>cOutputs!AV98</f>
        <v>2772617.0198943061</v>
      </c>
      <c r="AW107" s="82">
        <f>cOutputs!AW98</f>
        <v>2675900.2025934379</v>
      </c>
      <c r="AX107" s="82">
        <f>cOutputs!AX98</f>
        <v>2636200.882084839</v>
      </c>
      <c r="AY107" s="82">
        <f>cOutputs!AY98</f>
        <v>2650393.2176463893</v>
      </c>
      <c r="AZ107" s="82">
        <f>cOutputs!AZ98</f>
        <v>2720075.9482297041</v>
      </c>
      <c r="BA107" s="82">
        <f>cOutputs!BA98</f>
        <v>2851807.535964123</v>
      </c>
      <c r="BB107" s="82">
        <f>cOutputs!BB98</f>
        <v>2693464.4392105239</v>
      </c>
      <c r="BC107" s="82">
        <f>cOutputs!BC98</f>
        <v>2765042.0742193446</v>
      </c>
      <c r="BD107" s="82">
        <f>cOutputs!BD98</f>
        <v>2722595.7209251579</v>
      </c>
      <c r="BE107" s="82">
        <f>cOutputs!BE98</f>
        <v>2737288.108490394</v>
      </c>
      <c r="BG107" s="82">
        <f>cOutputs!BG98</f>
        <v>0</v>
      </c>
      <c r="BH107" s="82">
        <f>cOutputs!BH98</f>
        <v>12431163.114284173</v>
      </c>
      <c r="BI107" s="82">
        <f>cOutputs!BI98</f>
        <v>12400939.331942735</v>
      </c>
      <c r="BJ107" s="82">
        <f>cOutputs!BJ98</f>
        <v>12692309.504885545</v>
      </c>
      <c r="BK107" s="82">
        <f>cOutputs!BK98</f>
        <v>13092382.772965945</v>
      </c>
      <c r="BL107" s="82">
        <f>cOutputs!BL98</f>
        <v>13455187.270448677</v>
      </c>
      <c r="BM107" s="82">
        <f>cOutputs!BM98</f>
        <v>13770197.878809543</v>
      </c>
    </row>
    <row r="108" spans="1:65" outlineLevel="1">
      <c r="F108" s="18" t="s">
        <v>214</v>
      </c>
      <c r="G108" s="17" t="str">
        <f t="shared" si="21"/>
        <v>£ Real</v>
      </c>
      <c r="I108" s="47">
        <f>cOutputs!I99</f>
        <v>0</v>
      </c>
      <c r="AA108" s="47">
        <f>cOutputs!AA99</f>
        <v>0</v>
      </c>
      <c r="AB108" s="47">
        <f>cOutputs!AB99</f>
        <v>0</v>
      </c>
      <c r="AC108" s="47">
        <f>cOutputs!AC99</f>
        <v>0</v>
      </c>
      <c r="AD108" s="47">
        <f>cOutputs!AD99</f>
        <v>0</v>
      </c>
      <c r="AE108" s="47">
        <f>cOutputs!AE99</f>
        <v>0</v>
      </c>
      <c r="AF108" s="47">
        <f>cOutputs!AF99</f>
        <v>0</v>
      </c>
      <c r="AG108" s="47">
        <f>cOutputs!AG99</f>
        <v>0</v>
      </c>
      <c r="AH108" s="47">
        <f>cOutputs!AH99</f>
        <v>0</v>
      </c>
      <c r="AI108" s="47">
        <f>cOutputs!AI99</f>
        <v>0</v>
      </c>
      <c r="AJ108" s="47">
        <f>cOutputs!AJ99</f>
        <v>0</v>
      </c>
      <c r="AK108" s="47">
        <f>cOutputs!AK99</f>
        <v>0</v>
      </c>
      <c r="AL108" s="47">
        <f>cOutputs!AL99</f>
        <v>0</v>
      </c>
      <c r="AM108" s="47">
        <f>cOutputs!AM99</f>
        <v>0</v>
      </c>
      <c r="AN108" s="47">
        <f>cOutputs!AN99</f>
        <v>0</v>
      </c>
      <c r="AO108" s="47">
        <f>cOutputs!AO99</f>
        <v>0</v>
      </c>
      <c r="AP108" s="47">
        <f>cOutputs!AP99</f>
        <v>0</v>
      </c>
      <c r="AQ108" s="47">
        <f>cOutputs!AQ99</f>
        <v>0</v>
      </c>
      <c r="AR108" s="47">
        <f>cOutputs!AR99</f>
        <v>0</v>
      </c>
      <c r="AS108" s="47">
        <f>cOutputs!AS99</f>
        <v>0</v>
      </c>
      <c r="AT108" s="47">
        <f>cOutputs!AT99</f>
        <v>0</v>
      </c>
      <c r="AU108" s="47">
        <f>cOutputs!AU99</f>
        <v>0</v>
      </c>
      <c r="AV108" s="47">
        <f>cOutputs!AV99</f>
        <v>0</v>
      </c>
      <c r="AW108" s="47">
        <f>cOutputs!AW99</f>
        <v>0</v>
      </c>
      <c r="AX108" s="47">
        <f>cOutputs!AX99</f>
        <v>0</v>
      </c>
      <c r="AY108" s="47">
        <f>cOutputs!AY99</f>
        <v>0</v>
      </c>
      <c r="AZ108" s="47">
        <f>cOutputs!AZ99</f>
        <v>0</v>
      </c>
      <c r="BA108" s="47">
        <f>cOutputs!BA99</f>
        <v>0</v>
      </c>
      <c r="BB108" s="47">
        <f>cOutputs!BB99</f>
        <v>0</v>
      </c>
      <c r="BC108" s="47">
        <f>cOutputs!BC99</f>
        <v>0</v>
      </c>
      <c r="BD108" s="47">
        <f>cOutputs!BD99</f>
        <v>0</v>
      </c>
      <c r="BE108" s="47">
        <f>cOutputs!BE99</f>
        <v>0</v>
      </c>
      <c r="BG108" s="47">
        <f>cOutputs!BG99</f>
        <v>0</v>
      </c>
      <c r="BH108" s="47">
        <f>cOutputs!BH99</f>
        <v>0</v>
      </c>
      <c r="BI108" s="47">
        <f>cOutputs!BI99</f>
        <v>0</v>
      </c>
      <c r="BJ108" s="47">
        <f>cOutputs!BJ99</f>
        <v>0</v>
      </c>
      <c r="BK108" s="47">
        <f>cOutputs!BK99</f>
        <v>0</v>
      </c>
      <c r="BL108" s="47">
        <f>cOutputs!BL99</f>
        <v>0</v>
      </c>
      <c r="BM108" s="47">
        <f>cOutputs!BM99</f>
        <v>0</v>
      </c>
    </row>
    <row r="109" spans="1:65" outlineLevel="1">
      <c r="F109" s="18" t="s">
        <v>42</v>
      </c>
      <c r="G109" s="17" t="str">
        <f t="shared" si="21"/>
        <v>£ Real</v>
      </c>
      <c r="I109" s="47">
        <f>cOutputs!I100</f>
        <v>68791696.815549955</v>
      </c>
      <c r="AA109" s="47">
        <f>cOutputs!AA100</f>
        <v>0</v>
      </c>
      <c r="AB109" s="47">
        <f>cOutputs!AB100</f>
        <v>2124256.3721825476</v>
      </c>
      <c r="AC109" s="47">
        <f>cOutputs!AC100</f>
        <v>2140966.3534779861</v>
      </c>
      <c r="AD109" s="47">
        <f>cOutputs!AD100</f>
        <v>2153572.6323012123</v>
      </c>
      <c r="AE109" s="47">
        <f>cOutputs!AE100</f>
        <v>2166253.1384776672</v>
      </c>
      <c r="AF109" s="47">
        <f>cOutputs!AF100</f>
        <v>2176872.0264113811</v>
      </c>
      <c r="AG109" s="47">
        <f>cOutputs!AG100</f>
        <v>2187542.9677173188</v>
      </c>
      <c r="AH109" s="47">
        <f>cOutputs!AH100</f>
        <v>2198266.2175590703</v>
      </c>
      <c r="AI109" s="47">
        <f>cOutputs!AI100</f>
        <v>2209042.0323510268</v>
      </c>
      <c r="AJ109" s="47">
        <f>cOutputs!AJ100</f>
        <v>2219870.6697645113</v>
      </c>
      <c r="AK109" s="47">
        <f>cOutputs!AK100</f>
        <v>2230752.3887339449</v>
      </c>
      <c r="AL109" s="47">
        <f>cOutputs!AL100</f>
        <v>2241687.4494630322</v>
      </c>
      <c r="AM109" s="47">
        <f>cOutputs!AM100</f>
        <v>2252676.1134309885</v>
      </c>
      <c r="AN109" s="47">
        <f>cOutputs!AN100</f>
        <v>2263718.6433987874</v>
      </c>
      <c r="AO109" s="47">
        <f>cOutputs!AO100</f>
        <v>2274815.3034154475</v>
      </c>
      <c r="AP109" s="47">
        <f>cOutputs!AP100</f>
        <v>2285966.3588243467</v>
      </c>
      <c r="AQ109" s="47">
        <f>cOutputs!AQ100</f>
        <v>2297172.0762695638</v>
      </c>
      <c r="AR109" s="47">
        <f>cOutputs!AR100</f>
        <v>2308432.723702258</v>
      </c>
      <c r="AS109" s="47">
        <f>cOutputs!AS100</f>
        <v>2319748.5703870719</v>
      </c>
      <c r="AT109" s="47">
        <f>cOutputs!AT100</f>
        <v>2331119.8869085773</v>
      </c>
      <c r="AU109" s="47">
        <f>cOutputs!AU100</f>
        <v>2342546.9451777367</v>
      </c>
      <c r="AV109" s="47">
        <f>cOutputs!AV100</f>
        <v>2354030.0184384114</v>
      </c>
      <c r="AW109" s="47">
        <f>cOutputs!AW100</f>
        <v>2365569.3812738936</v>
      </c>
      <c r="AX109" s="47">
        <f>cOutputs!AX100</f>
        <v>2377165.3096134714</v>
      </c>
      <c r="AY109" s="47">
        <f>cOutputs!AY100</f>
        <v>2388818.0807390274</v>
      </c>
      <c r="AZ109" s="47">
        <f>cOutputs!AZ100</f>
        <v>2400527.9732916695</v>
      </c>
      <c r="BA109" s="47">
        <f>cOutputs!BA100</f>
        <v>2412295.2672783928</v>
      </c>
      <c r="BB109" s="47">
        <f>cOutputs!BB100</f>
        <v>2424120.2440787773</v>
      </c>
      <c r="BC109" s="47">
        <f>cOutputs!BC100</f>
        <v>2436003.1864517122</v>
      </c>
      <c r="BD109" s="47">
        <f>cOutputs!BD100</f>
        <v>2447944.3785421611</v>
      </c>
      <c r="BE109" s="47">
        <f>cOutputs!BE100</f>
        <v>2459944.105887956</v>
      </c>
      <c r="BG109" s="47">
        <f>cOutputs!BG100</f>
        <v>0</v>
      </c>
      <c r="BH109" s="47">
        <f>cOutputs!BH100</f>
        <v>10761920.522850793</v>
      </c>
      <c r="BI109" s="47">
        <f>cOutputs!BI100</f>
        <v>11045474.276125871</v>
      </c>
      <c r="BJ109" s="47">
        <f>cOutputs!BJ100</f>
        <v>11318863.868532602</v>
      </c>
      <c r="BK109" s="47">
        <f>cOutputs!BK100</f>
        <v>11599020.202445209</v>
      </c>
      <c r="BL109" s="47">
        <f>cOutputs!BL100</f>
        <v>11886110.763356473</v>
      </c>
      <c r="BM109" s="47">
        <f>cOutputs!BM100</f>
        <v>12180307.182239</v>
      </c>
    </row>
    <row r="110" spans="1:65" outlineLevel="1">
      <c r="F110" s="18" t="s">
        <v>227</v>
      </c>
      <c r="G110" s="17" t="str">
        <f t="shared" si="21"/>
        <v>£ Real</v>
      </c>
      <c r="I110" s="47">
        <f>cOutputs!I101</f>
        <v>7327618.8428927166</v>
      </c>
      <c r="AA110" s="47">
        <f>cOutputs!AA101</f>
        <v>0</v>
      </c>
      <c r="AB110" s="47">
        <f>cOutputs!AB101</f>
        <v>718589.50381442916</v>
      </c>
      <c r="AC110" s="47">
        <f>cOutputs!AC101</f>
        <v>160558.49567703961</v>
      </c>
      <c r="AD110" s="47">
        <f>cOutputs!AD101</f>
        <v>162291.70809357296</v>
      </c>
      <c r="AE110" s="47">
        <f>cOutputs!AE101</f>
        <v>209187.34673924118</v>
      </c>
      <c r="AF110" s="47">
        <f>cOutputs!AF101</f>
        <v>165651.90124542668</v>
      </c>
      <c r="AG110" s="47">
        <f>cOutputs!AG101</f>
        <v>309430.27731924993</v>
      </c>
      <c r="AH110" s="47">
        <f>cOutputs!AH101</f>
        <v>215400.43218702724</v>
      </c>
      <c r="AI110" s="47">
        <f>cOutputs!AI101</f>
        <v>170571.93791623451</v>
      </c>
      <c r="AJ110" s="47">
        <f>cOutputs!AJ101</f>
        <v>172244.21181737407</v>
      </c>
      <c r="AK110" s="47">
        <f>cOutputs!AK101</f>
        <v>221798.05284396061</v>
      </c>
      <c r="AL110" s="47">
        <f>cOutputs!AL101</f>
        <v>324898.77304268826</v>
      </c>
      <c r="AM110" s="47">
        <f>cOutputs!AM101</f>
        <v>177360.04708460893</v>
      </c>
      <c r="AN110" s="47">
        <f>cOutputs!AN101</f>
        <v>228385.68960092883</v>
      </c>
      <c r="AO110" s="47">
        <f>cOutputs!AO101</f>
        <v>180854.74236068979</v>
      </c>
      <c r="AP110" s="47">
        <f>cOutputs!AP101</f>
        <v>182627.82807010834</v>
      </c>
      <c r="AQ110" s="47">
        <f>cOutputs!AQ101</f>
        <v>391891.23183893063</v>
      </c>
      <c r="AR110" s="47">
        <f>cOutputs!AR101</f>
        <v>186226.31949209722</v>
      </c>
      <c r="AS110" s="47">
        <f>cOutputs!AS101</f>
        <v>188052.06772241188</v>
      </c>
      <c r="AT110" s="47">
        <f>cOutputs!AT101</f>
        <v>242153.75375478578</v>
      </c>
      <c r="AU110" s="47">
        <f>cOutputs!AU101</f>
        <v>191757.4381456236</v>
      </c>
      <c r="AV110" s="47">
        <f>cOutputs!AV101</f>
        <v>358194.24236802937</v>
      </c>
      <c r="AW110" s="47">
        <f>cOutputs!AW101</f>
        <v>249345.97635826896</v>
      </c>
      <c r="AX110" s="47">
        <f>cOutputs!AX101</f>
        <v>197452.83687321699</v>
      </c>
      <c r="AY110" s="47">
        <f>cOutputs!AY101</f>
        <v>199388.64899942503</v>
      </c>
      <c r="AZ110" s="47">
        <f>cOutputs!AZ101</f>
        <v>256751.81558002031</v>
      </c>
      <c r="BA110" s="47">
        <f>cOutputs!BA101</f>
        <v>376100.46070655843</v>
      </c>
      <c r="BB110" s="47">
        <f>cOutputs!BB101</f>
        <v>205310.70276062252</v>
      </c>
      <c r="BC110" s="47">
        <f>cOutputs!BC101</f>
        <v>264377.61605953675</v>
      </c>
      <c r="BD110" s="47">
        <f>cOutputs!BD101</f>
        <v>209356.13663854712</v>
      </c>
      <c r="BE110" s="47">
        <f>cOutputs!BE101</f>
        <v>211408.6477820623</v>
      </c>
      <c r="BG110" s="47">
        <f>cOutputs!BG101</f>
        <v>0</v>
      </c>
      <c r="BH110" s="47">
        <f>cOutputs!BH101</f>
        <v>1416278.9555697097</v>
      </c>
      <c r="BI110" s="47">
        <f>cOutputs!BI101</f>
        <v>1089444.9120838465</v>
      </c>
      <c r="BJ110" s="47">
        <f>cOutputs!BJ101</f>
        <v>1094127.0801590241</v>
      </c>
      <c r="BK110" s="47">
        <f>cOutputs!BK101</f>
        <v>1200080.810953849</v>
      </c>
      <c r="BL110" s="47">
        <f>cOutputs!BL101</f>
        <v>1261133.5201789606</v>
      </c>
      <c r="BM110" s="47">
        <f>cOutputs!BM101</f>
        <v>1266553.563947327</v>
      </c>
    </row>
    <row r="111" spans="1:65" outlineLevel="1">
      <c r="F111" s="18" t="s">
        <v>121</v>
      </c>
      <c r="G111" s="17" t="str">
        <f t="shared" si="21"/>
        <v>£ Real</v>
      </c>
      <c r="I111" s="47">
        <f>cOutputs!I102</f>
        <v>1722864.2148939546</v>
      </c>
      <c r="AA111" s="47">
        <f>cOutputs!AA102</f>
        <v>0</v>
      </c>
      <c r="AB111" s="47">
        <f>cOutputs!AB102</f>
        <v>49443.888446017678</v>
      </c>
      <c r="AC111" s="47">
        <f>cOutputs!AC102</f>
        <v>50075.914552013979</v>
      </c>
      <c r="AD111" s="47">
        <f>cOutputs!AD102</f>
        <v>50616.47888967066</v>
      </c>
      <c r="AE111" s="47">
        <f>cOutputs!AE102</f>
        <v>51162.878563651415</v>
      </c>
      <c r="AF111" s="47">
        <f>cOutputs!AF102</f>
        <v>51664.475412314663</v>
      </c>
      <c r="AG111" s="47">
        <f>cOutputs!AG102</f>
        <v>52170.989877141277</v>
      </c>
      <c r="AH111" s="47">
        <f>cOutputs!AH102</f>
        <v>52682.470170054432</v>
      </c>
      <c r="AI111" s="47">
        <f>cOutputs!AI102</f>
        <v>53198.964975643205</v>
      </c>
      <c r="AJ111" s="47">
        <f>cOutputs!AJ102</f>
        <v>53720.523455796567</v>
      </c>
      <c r="AK111" s="47">
        <f>cOutputs!AK102</f>
        <v>54247.195254382816</v>
      </c>
      <c r="AL111" s="47">
        <f>cOutputs!AL102</f>
        <v>54779.030501974798</v>
      </c>
      <c r="AM111" s="47">
        <f>cOutputs!AM102</f>
        <v>55316.079820621613</v>
      </c>
      <c r="AN111" s="47">
        <f>cOutputs!AN102</f>
        <v>55858.394328666916</v>
      </c>
      <c r="AO111" s="47">
        <f>cOutputs!AO102</f>
        <v>56406.025645614645</v>
      </c>
      <c r="AP111" s="47">
        <f>cOutputs!AP102</f>
        <v>56959.025897042236</v>
      </c>
      <c r="AQ111" s="47">
        <f>cOutputs!AQ102</f>
        <v>57517.447719562268</v>
      </c>
      <c r="AR111" s="47">
        <f>cOutputs!AR102</f>
        <v>58081.344265832478</v>
      </c>
      <c r="AS111" s="47">
        <f>cOutputs!AS102</f>
        <v>58650.769209615144</v>
      </c>
      <c r="AT111" s="47">
        <f>cOutputs!AT102</f>
        <v>59225.776750885889</v>
      </c>
      <c r="AU111" s="47">
        <f>cOutputs!AU102</f>
        <v>59806.421620992624</v>
      </c>
      <c r="AV111" s="47">
        <f>cOutputs!AV102</f>
        <v>60392.759087865095</v>
      </c>
      <c r="AW111" s="47">
        <f>cOutputs!AW102</f>
        <v>60984.84496127555</v>
      </c>
      <c r="AX111" s="47">
        <f>cOutputs!AX102</f>
        <v>61582.735598150801</v>
      </c>
      <c r="AY111" s="47">
        <f>cOutputs!AY102</f>
        <v>62186.487907936593</v>
      </c>
      <c r="AZ111" s="47">
        <f>cOutputs!AZ102</f>
        <v>62796.159358014404</v>
      </c>
      <c r="BA111" s="47">
        <f>cOutputs!BA102</f>
        <v>63411.807979171404</v>
      </c>
      <c r="BB111" s="47">
        <f>cOutputs!BB102</f>
        <v>64033.49237112407</v>
      </c>
      <c r="BC111" s="47">
        <f>cOutputs!BC102</f>
        <v>64661.271708095868</v>
      </c>
      <c r="BD111" s="47">
        <f>cOutputs!BD102</f>
        <v>65295.205744449748</v>
      </c>
      <c r="BE111" s="47">
        <f>cOutputs!BE102</f>
        <v>65935.354820375724</v>
      </c>
      <c r="BG111" s="47">
        <f>cOutputs!BG102</f>
        <v>0</v>
      </c>
      <c r="BH111" s="47">
        <f>cOutputs!BH102</f>
        <v>252963.6358636684</v>
      </c>
      <c r="BI111" s="47">
        <f>cOutputs!BI102</f>
        <v>266020.14373301831</v>
      </c>
      <c r="BJ111" s="47">
        <f>cOutputs!BJ102</f>
        <v>279318.5561939202</v>
      </c>
      <c r="BK111" s="47">
        <f>cOutputs!BK102</f>
        <v>293281.75956688845</v>
      </c>
      <c r="BL111" s="47">
        <f>cOutputs!BL102</f>
        <v>307942.98691324244</v>
      </c>
      <c r="BM111" s="47">
        <f>cOutputs!BM102</f>
        <v>323337.13262321684</v>
      </c>
    </row>
    <row r="112" spans="1:65" outlineLevel="1">
      <c r="F112" s="18" t="s">
        <v>245</v>
      </c>
      <c r="G112" s="17" t="str">
        <f t="shared" si="21"/>
        <v>£ Real</v>
      </c>
      <c r="I112" s="47">
        <f>cOutputs!I103</f>
        <v>0</v>
      </c>
      <c r="AA112" s="47">
        <f>cOutputs!AA103</f>
        <v>0</v>
      </c>
      <c r="AB112" s="47">
        <f>cOutputs!AB103</f>
        <v>0</v>
      </c>
      <c r="AC112" s="47">
        <f>cOutputs!AC103</f>
        <v>0</v>
      </c>
      <c r="AD112" s="47">
        <f>cOutputs!AD103</f>
        <v>0</v>
      </c>
      <c r="AE112" s="47">
        <f>cOutputs!AE103</f>
        <v>0</v>
      </c>
      <c r="AF112" s="47">
        <f>cOutputs!AF103</f>
        <v>0</v>
      </c>
      <c r="AG112" s="47">
        <f>cOutputs!AG103</f>
        <v>0</v>
      </c>
      <c r="AH112" s="47">
        <f>cOutputs!AH103</f>
        <v>0</v>
      </c>
      <c r="AI112" s="47">
        <f>cOutputs!AI103</f>
        <v>0</v>
      </c>
      <c r="AJ112" s="47">
        <f>cOutputs!AJ103</f>
        <v>0</v>
      </c>
      <c r="AK112" s="47">
        <f>cOutputs!AK103</f>
        <v>0</v>
      </c>
      <c r="AL112" s="47">
        <f>cOutputs!AL103</f>
        <v>0</v>
      </c>
      <c r="AM112" s="47">
        <f>cOutputs!AM103</f>
        <v>0</v>
      </c>
      <c r="AN112" s="47">
        <f>cOutputs!AN103</f>
        <v>0</v>
      </c>
      <c r="AO112" s="47">
        <f>cOutputs!AO103</f>
        <v>0</v>
      </c>
      <c r="AP112" s="47">
        <f>cOutputs!AP103</f>
        <v>0</v>
      </c>
      <c r="AQ112" s="47">
        <f>cOutputs!AQ103</f>
        <v>0</v>
      </c>
      <c r="AR112" s="47">
        <f>cOutputs!AR103</f>
        <v>0</v>
      </c>
      <c r="AS112" s="47">
        <f>cOutputs!AS103</f>
        <v>0</v>
      </c>
      <c r="AT112" s="47">
        <f>cOutputs!AT103</f>
        <v>0</v>
      </c>
      <c r="AU112" s="47">
        <f>cOutputs!AU103</f>
        <v>0</v>
      </c>
      <c r="AV112" s="47">
        <f>cOutputs!AV103</f>
        <v>0</v>
      </c>
      <c r="AW112" s="47">
        <f>cOutputs!AW103</f>
        <v>0</v>
      </c>
      <c r="AX112" s="47">
        <f>cOutputs!AX103</f>
        <v>0</v>
      </c>
      <c r="AY112" s="47">
        <f>cOutputs!AY103</f>
        <v>0</v>
      </c>
      <c r="AZ112" s="47">
        <f>cOutputs!AZ103</f>
        <v>0</v>
      </c>
      <c r="BA112" s="47">
        <f>cOutputs!BA103</f>
        <v>0</v>
      </c>
      <c r="BB112" s="47">
        <f>cOutputs!BB103</f>
        <v>0</v>
      </c>
      <c r="BC112" s="47">
        <f>cOutputs!BC103</f>
        <v>0</v>
      </c>
      <c r="BD112" s="47">
        <f>cOutputs!BD103</f>
        <v>0</v>
      </c>
      <c r="BE112" s="47">
        <f>cOutputs!BE103</f>
        <v>0</v>
      </c>
      <c r="BG112" s="47">
        <f>cOutputs!BG103</f>
        <v>0</v>
      </c>
      <c r="BH112" s="47">
        <f>cOutputs!BH103</f>
        <v>0</v>
      </c>
      <c r="BI112" s="47">
        <f>cOutputs!BI103</f>
        <v>0</v>
      </c>
      <c r="BJ112" s="47">
        <f>cOutputs!BJ103</f>
        <v>0</v>
      </c>
      <c r="BK112" s="47">
        <f>cOutputs!BK103</f>
        <v>0</v>
      </c>
      <c r="BL112" s="47">
        <f>cOutputs!BL103</f>
        <v>0</v>
      </c>
      <c r="BM112" s="47">
        <f>cOutputs!BM103</f>
        <v>0</v>
      </c>
    </row>
    <row r="113" spans="1:66" outlineLevel="1">
      <c r="F113" s="18"/>
      <c r="G113" s="17"/>
    </row>
    <row r="114" spans="1:66" outlineLevel="1">
      <c r="A114" s="19">
        <f>SUM(C114:BM114)</f>
        <v>0</v>
      </c>
      <c r="F114" s="27" t="s">
        <v>329</v>
      </c>
      <c r="G114" s="17"/>
      <c r="AA114" s="19">
        <f t="shared" ref="AA114:BE114" si="22">IF(ABS(SUM(AA108:AA112)-AA107)&lt;eTol,0,1)</f>
        <v>0</v>
      </c>
      <c r="AB114" s="19">
        <f t="shared" si="22"/>
        <v>0</v>
      </c>
      <c r="AC114" s="19">
        <f t="shared" si="22"/>
        <v>0</v>
      </c>
      <c r="AD114" s="19">
        <f t="shared" si="22"/>
        <v>0</v>
      </c>
      <c r="AE114" s="19">
        <f t="shared" si="22"/>
        <v>0</v>
      </c>
      <c r="AF114" s="19">
        <f t="shared" si="22"/>
        <v>0</v>
      </c>
      <c r="AG114" s="19">
        <f t="shared" si="22"/>
        <v>0</v>
      </c>
      <c r="AH114" s="19">
        <f t="shared" si="22"/>
        <v>0</v>
      </c>
      <c r="AI114" s="19">
        <f t="shared" si="22"/>
        <v>0</v>
      </c>
      <c r="AJ114" s="19">
        <f t="shared" si="22"/>
        <v>0</v>
      </c>
      <c r="AK114" s="19">
        <f t="shared" si="22"/>
        <v>0</v>
      </c>
      <c r="AL114" s="19">
        <f t="shared" si="22"/>
        <v>0</v>
      </c>
      <c r="AM114" s="19">
        <f t="shared" si="22"/>
        <v>0</v>
      </c>
      <c r="AN114" s="19">
        <f t="shared" si="22"/>
        <v>0</v>
      </c>
      <c r="AO114" s="19">
        <f t="shared" si="22"/>
        <v>0</v>
      </c>
      <c r="AP114" s="19">
        <f t="shared" si="22"/>
        <v>0</v>
      </c>
      <c r="AQ114" s="19">
        <f t="shared" si="22"/>
        <v>0</v>
      </c>
      <c r="AR114" s="19">
        <f t="shared" si="22"/>
        <v>0</v>
      </c>
      <c r="AS114" s="19">
        <f t="shared" si="22"/>
        <v>0</v>
      </c>
      <c r="AT114" s="19">
        <f t="shared" si="22"/>
        <v>0</v>
      </c>
      <c r="AU114" s="19">
        <f t="shared" si="22"/>
        <v>0</v>
      </c>
      <c r="AV114" s="19">
        <f t="shared" si="22"/>
        <v>0</v>
      </c>
      <c r="AW114" s="19">
        <f t="shared" si="22"/>
        <v>0</v>
      </c>
      <c r="AX114" s="19">
        <f t="shared" si="22"/>
        <v>0</v>
      </c>
      <c r="AY114" s="19">
        <f t="shared" si="22"/>
        <v>0</v>
      </c>
      <c r="AZ114" s="19">
        <f t="shared" si="22"/>
        <v>0</v>
      </c>
      <c r="BA114" s="19">
        <f t="shared" si="22"/>
        <v>0</v>
      </c>
      <c r="BB114" s="19">
        <f t="shared" si="22"/>
        <v>0</v>
      </c>
      <c r="BC114" s="19">
        <f t="shared" si="22"/>
        <v>0</v>
      </c>
      <c r="BD114" s="19">
        <f t="shared" si="22"/>
        <v>0</v>
      </c>
      <c r="BE114" s="19">
        <f t="shared" si="22"/>
        <v>0</v>
      </c>
      <c r="BG114" s="19">
        <f t="shared" ref="BG114:BM114" si="23">IF(ABS(SUM(BG108:BG112)-BG107)&lt;eTol,0,1)</f>
        <v>0</v>
      </c>
      <c r="BH114" s="19">
        <f t="shared" si="23"/>
        <v>0</v>
      </c>
      <c r="BI114" s="19">
        <f t="shared" si="23"/>
        <v>0</v>
      </c>
      <c r="BJ114" s="19">
        <f t="shared" si="23"/>
        <v>0</v>
      </c>
      <c r="BK114" s="19">
        <f t="shared" si="23"/>
        <v>0</v>
      </c>
      <c r="BL114" s="19">
        <f t="shared" si="23"/>
        <v>0</v>
      </c>
      <c r="BM114" s="19">
        <f t="shared" si="23"/>
        <v>0</v>
      </c>
    </row>
    <row r="115" spans="1:66">
      <c r="F115" s="18"/>
      <c r="G115" s="17"/>
    </row>
    <row r="116" spans="1:66">
      <c r="F116" s="37" t="s">
        <v>255</v>
      </c>
      <c r="G116" s="17" t="str">
        <f t="shared" ref="G116:G121" si="24">cstRealUnit</f>
        <v>£ Real</v>
      </c>
      <c r="I116" s="82">
        <f>cOutputs!I105</f>
        <v>95659911.794482768</v>
      </c>
      <c r="AA116" s="82">
        <f>cOutputs!AA105</f>
        <v>0</v>
      </c>
      <c r="AB116" s="82">
        <f>cOutputs!AB105</f>
        <v>2745310.9575518267</v>
      </c>
      <c r="AC116" s="82">
        <f>cOutputs!AC105</f>
        <v>2780403.4280023421</v>
      </c>
      <c r="AD116" s="82">
        <f>cOutputs!AD105</f>
        <v>2810417.596508746</v>
      </c>
      <c r="AE116" s="82">
        <f>cOutputs!AE105</f>
        <v>2840755.7648714515</v>
      </c>
      <c r="AF116" s="82">
        <f>cOutputs!AF105</f>
        <v>2868606.3115858776</v>
      </c>
      <c r="AG116" s="82">
        <f>cOutputs!AG105</f>
        <v>2896729.9028759352</v>
      </c>
      <c r="AH116" s="82">
        <f>cOutputs!AH105</f>
        <v>2925129.215649229</v>
      </c>
      <c r="AI116" s="82">
        <f>cOutputs!AI105</f>
        <v>2953806.953057555</v>
      </c>
      <c r="AJ116" s="82">
        <f>cOutputs!AJ105</f>
        <v>2982765.8447541976</v>
      </c>
      <c r="AK116" s="82">
        <f>cOutputs!AK105</f>
        <v>3012008.6471537487</v>
      </c>
      <c r="AL116" s="82">
        <f>cOutputs!AL105</f>
        <v>3041538.143694472</v>
      </c>
      <c r="AM116" s="82">
        <f>cOutputs!AM105</f>
        <v>3071357.1451032409</v>
      </c>
      <c r="AN116" s="82">
        <f>cOutputs!AN105</f>
        <v>3101468.4896630766</v>
      </c>
      <c r="AO116" s="82">
        <f>cOutputs!AO105</f>
        <v>3131875.0434833029</v>
      </c>
      <c r="AP116" s="82">
        <f>cOutputs!AP105</f>
        <v>3162579.7007723558</v>
      </c>
      <c r="AQ116" s="82">
        <f>cOutputs!AQ105</f>
        <v>3193585.3841132615</v>
      </c>
      <c r="AR116" s="82">
        <f>cOutputs!AR105</f>
        <v>3224895.0447418224</v>
      </c>
      <c r="AS116" s="82">
        <f>cOutputs!AS105</f>
        <v>3256511.6628275262</v>
      </c>
      <c r="AT116" s="82">
        <f>cOutputs!AT105</f>
        <v>3288438.2477572081</v>
      </c>
      <c r="AU116" s="82">
        <f>cOutputs!AU105</f>
        <v>3320677.8384214947</v>
      </c>
      <c r="AV116" s="82">
        <f>cOutputs!AV105</f>
        <v>3353233.5035040588</v>
      </c>
      <c r="AW116" s="82">
        <f>cOutputs!AW105</f>
        <v>3386108.3417737065</v>
      </c>
      <c r="AX116" s="82">
        <f>cOutputs!AX105</f>
        <v>3419305.4823793317</v>
      </c>
      <c r="AY116" s="82">
        <f>cOutputs!AY105</f>
        <v>3452828.0851477557</v>
      </c>
      <c r="AZ116" s="82">
        <f>cOutputs!AZ105</f>
        <v>3486679.3408844988</v>
      </c>
      <c r="BA116" s="82">
        <f>cOutputs!BA105</f>
        <v>3520862.471677484</v>
      </c>
      <c r="BB116" s="82">
        <f>cOutputs!BB105</f>
        <v>3555380.7312037339</v>
      </c>
      <c r="BC116" s="82">
        <f>cOutputs!BC105</f>
        <v>3590237.4050390646</v>
      </c>
      <c r="BD116" s="82">
        <f>cOutputs!BD105</f>
        <v>3625435.81097082</v>
      </c>
      <c r="BE116" s="82">
        <f>cOutputs!BE105</f>
        <v>3660979.2993136714</v>
      </c>
      <c r="BG116" s="82">
        <f>cOutputs!BG105</f>
        <v>0</v>
      </c>
      <c r="BH116" s="82">
        <f>cOutputs!BH105</f>
        <v>14045494.058520243</v>
      </c>
      <c r="BI116" s="82">
        <f>cOutputs!BI105</f>
        <v>14770440.563490665</v>
      </c>
      <c r="BJ116" s="82">
        <f>cOutputs!BJ105</f>
        <v>15508818.522716448</v>
      </c>
      <c r="BK116" s="82">
        <f>cOutputs!BK105</f>
        <v>16284108.177861311</v>
      </c>
      <c r="BL116" s="82">
        <f>cOutputs!BL105</f>
        <v>17098154.753689352</v>
      </c>
      <c r="BM116" s="82">
        <f>cOutputs!BM105</f>
        <v>17952895.718204774</v>
      </c>
    </row>
    <row r="117" spans="1:66" outlineLevel="1">
      <c r="F117" s="18" t="s">
        <v>214</v>
      </c>
      <c r="G117" s="17" t="str">
        <f t="shared" si="24"/>
        <v>£ Real</v>
      </c>
      <c r="I117" s="47">
        <f>cOutputs!I106</f>
        <v>95659911.794482768</v>
      </c>
      <c r="AA117" s="47">
        <f>cOutputs!AA106</f>
        <v>0</v>
      </c>
      <c r="AB117" s="47">
        <f>cOutputs!AB106</f>
        <v>2745310.9575518267</v>
      </c>
      <c r="AC117" s="47">
        <f>cOutputs!AC106</f>
        <v>2780403.4280023421</v>
      </c>
      <c r="AD117" s="47">
        <f>cOutputs!AD106</f>
        <v>2810417.596508746</v>
      </c>
      <c r="AE117" s="47">
        <f>cOutputs!AE106</f>
        <v>2840755.7648714515</v>
      </c>
      <c r="AF117" s="47">
        <f>cOutputs!AF106</f>
        <v>2868606.3115858776</v>
      </c>
      <c r="AG117" s="47">
        <f>cOutputs!AG106</f>
        <v>2896729.9028759352</v>
      </c>
      <c r="AH117" s="47">
        <f>cOutputs!AH106</f>
        <v>2925129.215649229</v>
      </c>
      <c r="AI117" s="47">
        <f>cOutputs!AI106</f>
        <v>2953806.953057555</v>
      </c>
      <c r="AJ117" s="47">
        <f>cOutputs!AJ106</f>
        <v>2982765.8447541976</v>
      </c>
      <c r="AK117" s="47">
        <f>cOutputs!AK106</f>
        <v>3012008.6471537487</v>
      </c>
      <c r="AL117" s="47">
        <f>cOutputs!AL106</f>
        <v>3041538.143694472</v>
      </c>
      <c r="AM117" s="47">
        <f>cOutputs!AM106</f>
        <v>3071357.1451032409</v>
      </c>
      <c r="AN117" s="47">
        <f>cOutputs!AN106</f>
        <v>3101468.4896630766</v>
      </c>
      <c r="AO117" s="47">
        <f>cOutputs!AO106</f>
        <v>3131875.0434833029</v>
      </c>
      <c r="AP117" s="47">
        <f>cOutputs!AP106</f>
        <v>3162579.7007723558</v>
      </c>
      <c r="AQ117" s="47">
        <f>cOutputs!AQ106</f>
        <v>3193585.3841132615</v>
      </c>
      <c r="AR117" s="47">
        <f>cOutputs!AR106</f>
        <v>3224895.0447418224</v>
      </c>
      <c r="AS117" s="47">
        <f>cOutputs!AS106</f>
        <v>3256511.6628275262</v>
      </c>
      <c r="AT117" s="47">
        <f>cOutputs!AT106</f>
        <v>3288438.2477572081</v>
      </c>
      <c r="AU117" s="47">
        <f>cOutputs!AU106</f>
        <v>3320677.8384214947</v>
      </c>
      <c r="AV117" s="47">
        <f>cOutputs!AV106</f>
        <v>3353233.5035040588</v>
      </c>
      <c r="AW117" s="47">
        <f>cOutputs!AW106</f>
        <v>3386108.3417737065</v>
      </c>
      <c r="AX117" s="47">
        <f>cOutputs!AX106</f>
        <v>3419305.4823793317</v>
      </c>
      <c r="AY117" s="47">
        <f>cOutputs!AY106</f>
        <v>3452828.0851477557</v>
      </c>
      <c r="AZ117" s="47">
        <f>cOutputs!AZ106</f>
        <v>3486679.3408844988</v>
      </c>
      <c r="BA117" s="47">
        <f>cOutputs!BA106</f>
        <v>3520862.471677484</v>
      </c>
      <c r="BB117" s="47">
        <f>cOutputs!BB106</f>
        <v>3555380.7312037339</v>
      </c>
      <c r="BC117" s="47">
        <f>cOutputs!BC106</f>
        <v>3590237.4050390646</v>
      </c>
      <c r="BD117" s="47">
        <f>cOutputs!BD106</f>
        <v>3625435.81097082</v>
      </c>
      <c r="BE117" s="47">
        <f>cOutputs!BE106</f>
        <v>3660979.2993136714</v>
      </c>
      <c r="BG117" s="47">
        <f>cOutputs!BG106</f>
        <v>0</v>
      </c>
      <c r="BH117" s="47">
        <f>cOutputs!BH106</f>
        <v>14045494.058520243</v>
      </c>
      <c r="BI117" s="47">
        <f>cOutputs!BI106</f>
        <v>14770440.563490665</v>
      </c>
      <c r="BJ117" s="47">
        <f>cOutputs!BJ106</f>
        <v>15508818.522716448</v>
      </c>
      <c r="BK117" s="47">
        <f>cOutputs!BK106</f>
        <v>16284108.177861311</v>
      </c>
      <c r="BL117" s="47">
        <f>cOutputs!BL106</f>
        <v>17098154.753689352</v>
      </c>
      <c r="BM117" s="47">
        <f>cOutputs!BM106</f>
        <v>17952895.718204774</v>
      </c>
    </row>
    <row r="118" spans="1:66" outlineLevel="1">
      <c r="F118" s="18" t="s">
        <v>42</v>
      </c>
      <c r="G118" s="17" t="str">
        <f t="shared" si="24"/>
        <v>£ Real</v>
      </c>
      <c r="I118" s="47">
        <f>cOutputs!I107</f>
        <v>0</v>
      </c>
      <c r="AA118" s="47">
        <f>cOutputs!AA107</f>
        <v>0</v>
      </c>
      <c r="AB118" s="47">
        <f>cOutputs!AB107</f>
        <v>0</v>
      </c>
      <c r="AC118" s="47">
        <f>cOutputs!AC107</f>
        <v>0</v>
      </c>
      <c r="AD118" s="47">
        <f>cOutputs!AD107</f>
        <v>0</v>
      </c>
      <c r="AE118" s="47">
        <f>cOutputs!AE107</f>
        <v>0</v>
      </c>
      <c r="AF118" s="47">
        <f>cOutputs!AF107</f>
        <v>0</v>
      </c>
      <c r="AG118" s="47">
        <f>cOutputs!AG107</f>
        <v>0</v>
      </c>
      <c r="AH118" s="47">
        <f>cOutputs!AH107</f>
        <v>0</v>
      </c>
      <c r="AI118" s="47">
        <f>cOutputs!AI107</f>
        <v>0</v>
      </c>
      <c r="AJ118" s="47">
        <f>cOutputs!AJ107</f>
        <v>0</v>
      </c>
      <c r="AK118" s="47">
        <f>cOutputs!AK107</f>
        <v>0</v>
      </c>
      <c r="AL118" s="47">
        <f>cOutputs!AL107</f>
        <v>0</v>
      </c>
      <c r="AM118" s="47">
        <f>cOutputs!AM107</f>
        <v>0</v>
      </c>
      <c r="AN118" s="47">
        <f>cOutputs!AN107</f>
        <v>0</v>
      </c>
      <c r="AO118" s="47">
        <f>cOutputs!AO107</f>
        <v>0</v>
      </c>
      <c r="AP118" s="47">
        <f>cOutputs!AP107</f>
        <v>0</v>
      </c>
      <c r="AQ118" s="47">
        <f>cOutputs!AQ107</f>
        <v>0</v>
      </c>
      <c r="AR118" s="47">
        <f>cOutputs!AR107</f>
        <v>0</v>
      </c>
      <c r="AS118" s="47">
        <f>cOutputs!AS107</f>
        <v>0</v>
      </c>
      <c r="AT118" s="47">
        <f>cOutputs!AT107</f>
        <v>0</v>
      </c>
      <c r="AU118" s="47">
        <f>cOutputs!AU107</f>
        <v>0</v>
      </c>
      <c r="AV118" s="47">
        <f>cOutputs!AV107</f>
        <v>0</v>
      </c>
      <c r="AW118" s="47">
        <f>cOutputs!AW107</f>
        <v>0</v>
      </c>
      <c r="AX118" s="47">
        <f>cOutputs!AX107</f>
        <v>0</v>
      </c>
      <c r="AY118" s="47">
        <f>cOutputs!AY107</f>
        <v>0</v>
      </c>
      <c r="AZ118" s="47">
        <f>cOutputs!AZ107</f>
        <v>0</v>
      </c>
      <c r="BA118" s="47">
        <f>cOutputs!BA107</f>
        <v>0</v>
      </c>
      <c r="BB118" s="47">
        <f>cOutputs!BB107</f>
        <v>0</v>
      </c>
      <c r="BC118" s="47">
        <f>cOutputs!BC107</f>
        <v>0</v>
      </c>
      <c r="BD118" s="47">
        <f>cOutputs!BD107</f>
        <v>0</v>
      </c>
      <c r="BE118" s="47">
        <f>cOutputs!BE107</f>
        <v>0</v>
      </c>
      <c r="BG118" s="47">
        <f>cOutputs!BG107</f>
        <v>0</v>
      </c>
      <c r="BH118" s="47">
        <f>cOutputs!BH107</f>
        <v>0</v>
      </c>
      <c r="BI118" s="47">
        <f>cOutputs!BI107</f>
        <v>0</v>
      </c>
      <c r="BJ118" s="47">
        <f>cOutputs!BJ107</f>
        <v>0</v>
      </c>
      <c r="BK118" s="47">
        <f>cOutputs!BK107</f>
        <v>0</v>
      </c>
      <c r="BL118" s="47">
        <f>cOutputs!BL107</f>
        <v>0</v>
      </c>
      <c r="BM118" s="47">
        <f>cOutputs!BM107</f>
        <v>0</v>
      </c>
    </row>
    <row r="119" spans="1:66" outlineLevel="1">
      <c r="F119" s="18" t="s">
        <v>227</v>
      </c>
      <c r="G119" s="17" t="str">
        <f t="shared" si="24"/>
        <v>£ Real</v>
      </c>
      <c r="I119" s="47">
        <f>cOutputs!I108</f>
        <v>0</v>
      </c>
      <c r="AA119" s="47">
        <f>cOutputs!AA108</f>
        <v>0</v>
      </c>
      <c r="AB119" s="47">
        <f>cOutputs!AB108</f>
        <v>0</v>
      </c>
      <c r="AC119" s="47">
        <f>cOutputs!AC108</f>
        <v>0</v>
      </c>
      <c r="AD119" s="47">
        <f>cOutputs!AD108</f>
        <v>0</v>
      </c>
      <c r="AE119" s="47">
        <f>cOutputs!AE108</f>
        <v>0</v>
      </c>
      <c r="AF119" s="47">
        <f>cOutputs!AF108</f>
        <v>0</v>
      </c>
      <c r="AG119" s="47">
        <f>cOutputs!AG108</f>
        <v>0</v>
      </c>
      <c r="AH119" s="47">
        <f>cOutputs!AH108</f>
        <v>0</v>
      </c>
      <c r="AI119" s="47">
        <f>cOutputs!AI108</f>
        <v>0</v>
      </c>
      <c r="AJ119" s="47">
        <f>cOutputs!AJ108</f>
        <v>0</v>
      </c>
      <c r="AK119" s="47">
        <f>cOutputs!AK108</f>
        <v>0</v>
      </c>
      <c r="AL119" s="47">
        <f>cOutputs!AL108</f>
        <v>0</v>
      </c>
      <c r="AM119" s="47">
        <f>cOutputs!AM108</f>
        <v>0</v>
      </c>
      <c r="AN119" s="47">
        <f>cOutputs!AN108</f>
        <v>0</v>
      </c>
      <c r="AO119" s="47">
        <f>cOutputs!AO108</f>
        <v>0</v>
      </c>
      <c r="AP119" s="47">
        <f>cOutputs!AP108</f>
        <v>0</v>
      </c>
      <c r="AQ119" s="47">
        <f>cOutputs!AQ108</f>
        <v>0</v>
      </c>
      <c r="AR119" s="47">
        <f>cOutputs!AR108</f>
        <v>0</v>
      </c>
      <c r="AS119" s="47">
        <f>cOutputs!AS108</f>
        <v>0</v>
      </c>
      <c r="AT119" s="47">
        <f>cOutputs!AT108</f>
        <v>0</v>
      </c>
      <c r="AU119" s="47">
        <f>cOutputs!AU108</f>
        <v>0</v>
      </c>
      <c r="AV119" s="47">
        <f>cOutputs!AV108</f>
        <v>0</v>
      </c>
      <c r="AW119" s="47">
        <f>cOutputs!AW108</f>
        <v>0</v>
      </c>
      <c r="AX119" s="47">
        <f>cOutputs!AX108</f>
        <v>0</v>
      </c>
      <c r="AY119" s="47">
        <f>cOutputs!AY108</f>
        <v>0</v>
      </c>
      <c r="AZ119" s="47">
        <f>cOutputs!AZ108</f>
        <v>0</v>
      </c>
      <c r="BA119" s="47">
        <f>cOutputs!BA108</f>
        <v>0</v>
      </c>
      <c r="BB119" s="47">
        <f>cOutputs!BB108</f>
        <v>0</v>
      </c>
      <c r="BC119" s="47">
        <f>cOutputs!BC108</f>
        <v>0</v>
      </c>
      <c r="BD119" s="47">
        <f>cOutputs!BD108</f>
        <v>0</v>
      </c>
      <c r="BE119" s="47">
        <f>cOutputs!BE108</f>
        <v>0</v>
      </c>
      <c r="BG119" s="47">
        <f>cOutputs!BG108</f>
        <v>0</v>
      </c>
      <c r="BH119" s="47">
        <f>cOutputs!BH108</f>
        <v>0</v>
      </c>
      <c r="BI119" s="47">
        <f>cOutputs!BI108</f>
        <v>0</v>
      </c>
      <c r="BJ119" s="47">
        <f>cOutputs!BJ108</f>
        <v>0</v>
      </c>
      <c r="BK119" s="47">
        <f>cOutputs!BK108</f>
        <v>0</v>
      </c>
      <c r="BL119" s="47">
        <f>cOutputs!BL108</f>
        <v>0</v>
      </c>
      <c r="BM119" s="47">
        <f>cOutputs!BM108</f>
        <v>0</v>
      </c>
    </row>
    <row r="120" spans="1:66" outlineLevel="1">
      <c r="F120" s="18" t="s">
        <v>121</v>
      </c>
      <c r="G120" s="17" t="str">
        <f t="shared" si="24"/>
        <v>£ Real</v>
      </c>
      <c r="I120" s="47">
        <f>cOutputs!I109</f>
        <v>0</v>
      </c>
      <c r="AA120" s="47">
        <f>cOutputs!AA109</f>
        <v>0</v>
      </c>
      <c r="AB120" s="47">
        <f>cOutputs!AB109</f>
        <v>0</v>
      </c>
      <c r="AC120" s="47">
        <f>cOutputs!AC109</f>
        <v>0</v>
      </c>
      <c r="AD120" s="47">
        <f>cOutputs!AD109</f>
        <v>0</v>
      </c>
      <c r="AE120" s="47">
        <f>cOutputs!AE109</f>
        <v>0</v>
      </c>
      <c r="AF120" s="47">
        <f>cOutputs!AF109</f>
        <v>0</v>
      </c>
      <c r="AG120" s="47">
        <f>cOutputs!AG109</f>
        <v>0</v>
      </c>
      <c r="AH120" s="47">
        <f>cOutputs!AH109</f>
        <v>0</v>
      </c>
      <c r="AI120" s="47">
        <f>cOutputs!AI109</f>
        <v>0</v>
      </c>
      <c r="AJ120" s="47">
        <f>cOutputs!AJ109</f>
        <v>0</v>
      </c>
      <c r="AK120" s="47">
        <f>cOutputs!AK109</f>
        <v>0</v>
      </c>
      <c r="AL120" s="47">
        <f>cOutputs!AL109</f>
        <v>0</v>
      </c>
      <c r="AM120" s="47">
        <f>cOutputs!AM109</f>
        <v>0</v>
      </c>
      <c r="AN120" s="47">
        <f>cOutputs!AN109</f>
        <v>0</v>
      </c>
      <c r="AO120" s="47">
        <f>cOutputs!AO109</f>
        <v>0</v>
      </c>
      <c r="AP120" s="47">
        <f>cOutputs!AP109</f>
        <v>0</v>
      </c>
      <c r="AQ120" s="47">
        <f>cOutputs!AQ109</f>
        <v>0</v>
      </c>
      <c r="AR120" s="47">
        <f>cOutputs!AR109</f>
        <v>0</v>
      </c>
      <c r="AS120" s="47">
        <f>cOutputs!AS109</f>
        <v>0</v>
      </c>
      <c r="AT120" s="47">
        <f>cOutputs!AT109</f>
        <v>0</v>
      </c>
      <c r="AU120" s="47">
        <f>cOutputs!AU109</f>
        <v>0</v>
      </c>
      <c r="AV120" s="47">
        <f>cOutputs!AV109</f>
        <v>0</v>
      </c>
      <c r="AW120" s="47">
        <f>cOutputs!AW109</f>
        <v>0</v>
      </c>
      <c r="AX120" s="47">
        <f>cOutputs!AX109</f>
        <v>0</v>
      </c>
      <c r="AY120" s="47">
        <f>cOutputs!AY109</f>
        <v>0</v>
      </c>
      <c r="AZ120" s="47">
        <f>cOutputs!AZ109</f>
        <v>0</v>
      </c>
      <c r="BA120" s="47">
        <f>cOutputs!BA109</f>
        <v>0</v>
      </c>
      <c r="BB120" s="47">
        <f>cOutputs!BB109</f>
        <v>0</v>
      </c>
      <c r="BC120" s="47">
        <f>cOutputs!BC109</f>
        <v>0</v>
      </c>
      <c r="BD120" s="47">
        <f>cOutputs!BD109</f>
        <v>0</v>
      </c>
      <c r="BE120" s="47">
        <f>cOutputs!BE109</f>
        <v>0</v>
      </c>
      <c r="BG120" s="47">
        <f>cOutputs!BG109</f>
        <v>0</v>
      </c>
      <c r="BH120" s="47">
        <f>cOutputs!BH109</f>
        <v>0</v>
      </c>
      <c r="BI120" s="47">
        <f>cOutputs!BI109</f>
        <v>0</v>
      </c>
      <c r="BJ120" s="47">
        <f>cOutputs!BJ109</f>
        <v>0</v>
      </c>
      <c r="BK120" s="47">
        <f>cOutputs!BK109</f>
        <v>0</v>
      </c>
      <c r="BL120" s="47">
        <f>cOutputs!BL109</f>
        <v>0</v>
      </c>
      <c r="BM120" s="47">
        <f>cOutputs!BM109</f>
        <v>0</v>
      </c>
    </row>
    <row r="121" spans="1:66" outlineLevel="1">
      <c r="F121" s="18" t="s">
        <v>245</v>
      </c>
      <c r="G121" s="17" t="str">
        <f t="shared" si="24"/>
        <v>£ Real</v>
      </c>
      <c r="I121" s="47">
        <f>cOutputs!I110</f>
        <v>0</v>
      </c>
      <c r="AA121" s="47">
        <f>cOutputs!AA110</f>
        <v>0</v>
      </c>
      <c r="AB121" s="47">
        <f>cOutputs!AB110</f>
        <v>0</v>
      </c>
      <c r="AC121" s="47">
        <f>cOutputs!AC110</f>
        <v>0</v>
      </c>
      <c r="AD121" s="47">
        <f>cOutputs!AD110</f>
        <v>0</v>
      </c>
      <c r="AE121" s="47">
        <f>cOutputs!AE110</f>
        <v>0</v>
      </c>
      <c r="AF121" s="47">
        <f>cOutputs!AF110</f>
        <v>0</v>
      </c>
      <c r="AG121" s="47">
        <f>cOutputs!AG110</f>
        <v>0</v>
      </c>
      <c r="AH121" s="47">
        <f>cOutputs!AH110</f>
        <v>0</v>
      </c>
      <c r="AI121" s="47">
        <f>cOutputs!AI110</f>
        <v>0</v>
      </c>
      <c r="AJ121" s="47">
        <f>cOutputs!AJ110</f>
        <v>0</v>
      </c>
      <c r="AK121" s="47">
        <f>cOutputs!AK110</f>
        <v>0</v>
      </c>
      <c r="AL121" s="47">
        <f>cOutputs!AL110</f>
        <v>0</v>
      </c>
      <c r="AM121" s="47">
        <f>cOutputs!AM110</f>
        <v>0</v>
      </c>
      <c r="AN121" s="47">
        <f>cOutputs!AN110</f>
        <v>0</v>
      </c>
      <c r="AO121" s="47">
        <f>cOutputs!AO110</f>
        <v>0</v>
      </c>
      <c r="AP121" s="47">
        <f>cOutputs!AP110</f>
        <v>0</v>
      </c>
      <c r="AQ121" s="47">
        <f>cOutputs!AQ110</f>
        <v>0</v>
      </c>
      <c r="AR121" s="47">
        <f>cOutputs!AR110</f>
        <v>0</v>
      </c>
      <c r="AS121" s="47">
        <f>cOutputs!AS110</f>
        <v>0</v>
      </c>
      <c r="AT121" s="47">
        <f>cOutputs!AT110</f>
        <v>0</v>
      </c>
      <c r="AU121" s="47">
        <f>cOutputs!AU110</f>
        <v>0</v>
      </c>
      <c r="AV121" s="47">
        <f>cOutputs!AV110</f>
        <v>0</v>
      </c>
      <c r="AW121" s="47">
        <f>cOutputs!AW110</f>
        <v>0</v>
      </c>
      <c r="AX121" s="47">
        <f>cOutputs!AX110</f>
        <v>0</v>
      </c>
      <c r="AY121" s="47">
        <f>cOutputs!AY110</f>
        <v>0</v>
      </c>
      <c r="AZ121" s="47">
        <f>cOutputs!AZ110</f>
        <v>0</v>
      </c>
      <c r="BA121" s="47">
        <f>cOutputs!BA110</f>
        <v>0</v>
      </c>
      <c r="BB121" s="47">
        <f>cOutputs!BB110</f>
        <v>0</v>
      </c>
      <c r="BC121" s="47">
        <f>cOutputs!BC110</f>
        <v>0</v>
      </c>
      <c r="BD121" s="47">
        <f>cOutputs!BD110</f>
        <v>0</v>
      </c>
      <c r="BE121" s="47">
        <f>cOutputs!BE110</f>
        <v>0</v>
      </c>
      <c r="BG121" s="47">
        <f>cOutputs!BG110</f>
        <v>0</v>
      </c>
      <c r="BH121" s="47">
        <f>cOutputs!BH110</f>
        <v>0</v>
      </c>
      <c r="BI121" s="47">
        <f>cOutputs!BI110</f>
        <v>0</v>
      </c>
      <c r="BJ121" s="47">
        <f>cOutputs!BJ110</f>
        <v>0</v>
      </c>
      <c r="BK121" s="47">
        <f>cOutputs!BK110</f>
        <v>0</v>
      </c>
      <c r="BL121" s="47">
        <f>cOutputs!BL110</f>
        <v>0</v>
      </c>
      <c r="BM121" s="47">
        <f>cOutputs!BM110</f>
        <v>0</v>
      </c>
    </row>
    <row r="122" spans="1:66" outlineLevel="1">
      <c r="F122" s="18"/>
      <c r="G122" s="17"/>
    </row>
    <row r="123" spans="1:66" outlineLevel="1">
      <c r="A123" s="19">
        <f>SUM(C123:BM123)</f>
        <v>0</v>
      </c>
      <c r="F123" s="27" t="s">
        <v>329</v>
      </c>
      <c r="G123" s="17"/>
      <c r="AA123" s="19">
        <f t="shared" ref="AA123:BE123" si="25">IF(ABS(SUM(AA117:AA121)-AA116)&lt;eTol,0,1)</f>
        <v>0</v>
      </c>
      <c r="AB123" s="19">
        <f t="shared" si="25"/>
        <v>0</v>
      </c>
      <c r="AC123" s="19">
        <f t="shared" si="25"/>
        <v>0</v>
      </c>
      <c r="AD123" s="19">
        <f t="shared" si="25"/>
        <v>0</v>
      </c>
      <c r="AE123" s="19">
        <f t="shared" si="25"/>
        <v>0</v>
      </c>
      <c r="AF123" s="19">
        <f t="shared" si="25"/>
        <v>0</v>
      </c>
      <c r="AG123" s="19">
        <f t="shared" si="25"/>
        <v>0</v>
      </c>
      <c r="AH123" s="19">
        <f t="shared" si="25"/>
        <v>0</v>
      </c>
      <c r="AI123" s="19">
        <f t="shared" si="25"/>
        <v>0</v>
      </c>
      <c r="AJ123" s="19">
        <f t="shared" si="25"/>
        <v>0</v>
      </c>
      <c r="AK123" s="19">
        <f t="shared" si="25"/>
        <v>0</v>
      </c>
      <c r="AL123" s="19">
        <f t="shared" si="25"/>
        <v>0</v>
      </c>
      <c r="AM123" s="19">
        <f t="shared" si="25"/>
        <v>0</v>
      </c>
      <c r="AN123" s="19">
        <f t="shared" si="25"/>
        <v>0</v>
      </c>
      <c r="AO123" s="19">
        <f t="shared" si="25"/>
        <v>0</v>
      </c>
      <c r="AP123" s="19">
        <f t="shared" si="25"/>
        <v>0</v>
      </c>
      <c r="AQ123" s="19">
        <f t="shared" si="25"/>
        <v>0</v>
      </c>
      <c r="AR123" s="19">
        <f t="shared" si="25"/>
        <v>0</v>
      </c>
      <c r="AS123" s="19">
        <f t="shared" si="25"/>
        <v>0</v>
      </c>
      <c r="AT123" s="19">
        <f t="shared" si="25"/>
        <v>0</v>
      </c>
      <c r="AU123" s="19">
        <f t="shared" si="25"/>
        <v>0</v>
      </c>
      <c r="AV123" s="19">
        <f t="shared" si="25"/>
        <v>0</v>
      </c>
      <c r="AW123" s="19">
        <f t="shared" si="25"/>
        <v>0</v>
      </c>
      <c r="AX123" s="19">
        <f t="shared" si="25"/>
        <v>0</v>
      </c>
      <c r="AY123" s="19">
        <f t="shared" si="25"/>
        <v>0</v>
      </c>
      <c r="AZ123" s="19">
        <f t="shared" si="25"/>
        <v>0</v>
      </c>
      <c r="BA123" s="19">
        <f t="shared" si="25"/>
        <v>0</v>
      </c>
      <c r="BB123" s="19">
        <f t="shared" si="25"/>
        <v>0</v>
      </c>
      <c r="BC123" s="19">
        <f t="shared" si="25"/>
        <v>0</v>
      </c>
      <c r="BD123" s="19">
        <f t="shared" si="25"/>
        <v>0</v>
      </c>
      <c r="BE123" s="19">
        <f t="shared" si="25"/>
        <v>0</v>
      </c>
      <c r="BG123" s="19">
        <f t="shared" ref="BG123:BM123" si="26">IF(ABS(SUM(BG117:BG121)-BG116)&lt;eTol,0,1)</f>
        <v>0</v>
      </c>
      <c r="BH123" s="19">
        <f t="shared" si="26"/>
        <v>0</v>
      </c>
      <c r="BI123" s="19">
        <f t="shared" si="26"/>
        <v>0</v>
      </c>
      <c r="BJ123" s="19">
        <f t="shared" si="26"/>
        <v>0</v>
      </c>
      <c r="BK123" s="19">
        <f t="shared" si="26"/>
        <v>0</v>
      </c>
      <c r="BL123" s="19">
        <f t="shared" si="26"/>
        <v>0</v>
      </c>
      <c r="BM123" s="19">
        <f t="shared" si="26"/>
        <v>0</v>
      </c>
    </row>
    <row r="124" spans="1:66">
      <c r="F124" s="18"/>
      <c r="G124" s="17"/>
    </row>
    <row r="125" spans="1:66" ht="14" thickBot="1">
      <c r="A125" s="25"/>
      <c r="B125" s="25"/>
      <c r="C125" s="25"/>
      <c r="D125" s="25"/>
      <c r="E125" s="25" t="s">
        <v>412</v>
      </c>
      <c r="F125" s="25" t="s">
        <v>254</v>
      </c>
      <c r="G125" s="25"/>
      <c r="H125" s="25"/>
      <c r="I125" s="25"/>
      <c r="J125" s="25"/>
      <c r="K125" s="25"/>
      <c r="L125" s="25"/>
      <c r="M125" s="25"/>
      <c r="N125" s="25"/>
      <c r="O125" s="25"/>
      <c r="P125" s="25"/>
      <c r="Q125" s="25"/>
      <c r="R125" s="25"/>
      <c r="S125" s="25"/>
      <c r="T125" s="25"/>
      <c r="U125" s="25"/>
      <c r="V125" s="25"/>
      <c r="W125" s="25"/>
      <c r="X125" s="25"/>
      <c r="Y125" s="25"/>
      <c r="Z125" s="25"/>
      <c r="AA125" s="25"/>
      <c r="AB125" s="25"/>
      <c r="AC125" s="25"/>
      <c r="AD125" s="25"/>
      <c r="AE125" s="25"/>
      <c r="AF125" s="25"/>
      <c r="AG125" s="25"/>
      <c r="AH125" s="25"/>
      <c r="AI125" s="25"/>
      <c r="AJ125" s="25"/>
      <c r="AK125" s="25"/>
      <c r="AL125" s="25"/>
      <c r="AM125" s="25"/>
      <c r="AN125" s="25"/>
      <c r="AO125" s="25"/>
      <c r="AP125" s="25"/>
      <c r="AQ125" s="25"/>
      <c r="AR125" s="25"/>
      <c r="AS125" s="25"/>
      <c r="AT125" s="25"/>
      <c r="AU125" s="25"/>
      <c r="AV125" s="25"/>
      <c r="AW125" s="25"/>
      <c r="AX125" s="25"/>
      <c r="AY125" s="25"/>
      <c r="AZ125" s="25"/>
      <c r="BA125" s="25"/>
      <c r="BB125" s="25"/>
      <c r="BC125" s="25"/>
      <c r="BD125" s="25"/>
      <c r="BE125" s="25"/>
      <c r="BF125" s="25"/>
      <c r="BG125" s="25"/>
      <c r="BH125" s="25"/>
      <c r="BI125" s="25"/>
      <c r="BJ125" s="25"/>
      <c r="BK125" s="25"/>
      <c r="BL125" s="25"/>
      <c r="BM125" s="25"/>
      <c r="BN125" s="25"/>
    </row>
    <row r="126" spans="1:66">
      <c r="F126" s="18"/>
      <c r="G126" s="17"/>
    </row>
    <row r="127" spans="1:66" ht="13">
      <c r="F127" s="26" t="s">
        <v>251</v>
      </c>
      <c r="G127" s="17"/>
    </row>
    <row r="128" spans="1:66">
      <c r="F128" s="18"/>
      <c r="G128" s="17"/>
    </row>
    <row r="129" spans="1:65">
      <c r="F129" s="37" t="s">
        <v>252</v>
      </c>
      <c r="G129" s="17" t="str">
        <f t="shared" ref="G129:G134" si="27">cstRealUnit</f>
        <v>£ Real</v>
      </c>
      <c r="AA129" s="82">
        <f>cOutputs!AA116</f>
        <v>3045073.0031171548</v>
      </c>
      <c r="AB129" s="82">
        <f>cOutputs!AB116</f>
        <v>5918457.7513896134</v>
      </c>
      <c r="AC129" s="82">
        <f>cOutputs!AC116</f>
        <v>8250911.8418855891</v>
      </c>
      <c r="AD129" s="82">
        <f>cOutputs!AD116</f>
        <v>10598039.301594581</v>
      </c>
      <c r="AE129" s="82">
        <f>cOutputs!AE116</f>
        <v>13005080.388277274</v>
      </c>
      <c r="AF129" s="82">
        <f>cOutputs!AF116</f>
        <v>15379514.727218159</v>
      </c>
      <c r="AG129" s="82">
        <f>cOutputs!AG116</f>
        <v>17908711.230708256</v>
      </c>
      <c r="AH129" s="82">
        <f>cOutputs!AH116</f>
        <v>20354917.053206444</v>
      </c>
      <c r="AI129" s="82">
        <f>cOutputs!AI116</f>
        <v>22767389.207723372</v>
      </c>
      <c r="AJ129" s="82">
        <f>cOutputs!AJ116</f>
        <v>25192684.412616186</v>
      </c>
      <c r="AK129" s="82">
        <f>cOutputs!AK116</f>
        <v>27678740.474792391</v>
      </c>
      <c r="AL129" s="82">
        <f>cOutputs!AL116</f>
        <v>30279160.804372858</v>
      </c>
      <c r="AM129" s="82">
        <f>cOutputs!AM116</f>
        <v>32743362.778895311</v>
      </c>
      <c r="AN129" s="82">
        <f>cOutputs!AN116</f>
        <v>35269967.884862736</v>
      </c>
      <c r="AO129" s="82">
        <f>cOutputs!AO116</f>
        <v>37760476.946478806</v>
      </c>
      <c r="AP129" s="82">
        <f>cOutputs!AP116</f>
        <v>40264251.708192021</v>
      </c>
      <c r="AQ129" s="82">
        <f>cOutputs!AQ116</f>
        <v>42988840.498715535</v>
      </c>
      <c r="AR129" s="82">
        <f>cOutputs!AR116</f>
        <v>45519373.313368209</v>
      </c>
      <c r="AS129" s="82">
        <f>cOutputs!AS116</f>
        <v>48063399.426577747</v>
      </c>
      <c r="AT129" s="82">
        <f>cOutputs!AT116</f>
        <v>50673253.69405783</v>
      </c>
      <c r="AU129" s="82">
        <f>cOutputs!AU116</f>
        <v>53244497.337794155</v>
      </c>
      <c r="AV129" s="82">
        <f>cOutputs!AV116</f>
        <v>55994023.008625455</v>
      </c>
      <c r="AW129" s="82">
        <f>cOutputs!AW116</f>
        <v>58646605.476380765</v>
      </c>
      <c r="AX129" s="82">
        <f>cOutputs!AX116</f>
        <v>61259260.018383957</v>
      </c>
      <c r="AY129" s="82">
        <f>cOutputs!AY116</f>
        <v>63885876.049477316</v>
      </c>
      <c r="AZ129" s="82">
        <f>cOutputs!AZ116</f>
        <v>66581941.701481894</v>
      </c>
      <c r="BA129" s="82">
        <f>cOutputs!BA116</f>
        <v>69409503.546159863</v>
      </c>
      <c r="BB129" s="82">
        <f>cOutputs!BB116</f>
        <v>72078484.5912285</v>
      </c>
      <c r="BC129" s="82">
        <f>cOutputs!BC116</f>
        <v>74818803.238030031</v>
      </c>
      <c r="BD129" s="82">
        <f>cOutputs!BD116</f>
        <v>77516433.14499408</v>
      </c>
      <c r="BE129" s="82">
        <f>cOutputs!BE116</f>
        <v>80228510.67664139</v>
      </c>
      <c r="BG129" s="82">
        <f>cOutputs!BG116</f>
        <v>3045073.0031171548</v>
      </c>
      <c r="BH129" s="82">
        <f>cOutputs!BH116</f>
        <v>15379514.727218159</v>
      </c>
      <c r="BI129" s="82">
        <f>cOutputs!BI116</f>
        <v>27678740.474792391</v>
      </c>
      <c r="BJ129" s="82">
        <f>cOutputs!BJ116</f>
        <v>40264251.708192021</v>
      </c>
      <c r="BK129" s="82">
        <f>cOutputs!BK116</f>
        <v>53244497.337794155</v>
      </c>
      <c r="BL129" s="82">
        <f>cOutputs!BL116</f>
        <v>66581941.701481894</v>
      </c>
      <c r="BM129" s="82">
        <f>cOutputs!BM116</f>
        <v>80228510.67664139</v>
      </c>
    </row>
    <row r="130" spans="1:65" outlineLevel="1">
      <c r="F130" s="18" t="s">
        <v>214</v>
      </c>
      <c r="G130" s="17" t="str">
        <f t="shared" si="27"/>
        <v>£ Real</v>
      </c>
      <c r="AA130" s="47">
        <f>cOutputs!AA117</f>
        <v>0</v>
      </c>
      <c r="AB130" s="47">
        <f>cOutputs!AB117</f>
        <v>0</v>
      </c>
      <c r="AC130" s="47">
        <f>cOutputs!AC117</f>
        <v>0</v>
      </c>
      <c r="AD130" s="47">
        <f>cOutputs!AD117</f>
        <v>0</v>
      </c>
      <c r="AE130" s="47">
        <f>cOutputs!AE117</f>
        <v>0</v>
      </c>
      <c r="AF130" s="47">
        <f>cOutputs!AF117</f>
        <v>0</v>
      </c>
      <c r="AG130" s="47">
        <f>cOutputs!AG117</f>
        <v>0</v>
      </c>
      <c r="AH130" s="47">
        <f>cOutputs!AH117</f>
        <v>0</v>
      </c>
      <c r="AI130" s="47">
        <f>cOutputs!AI117</f>
        <v>0</v>
      </c>
      <c r="AJ130" s="47">
        <f>cOutputs!AJ117</f>
        <v>0</v>
      </c>
      <c r="AK130" s="47">
        <f>cOutputs!AK117</f>
        <v>0</v>
      </c>
      <c r="AL130" s="47">
        <f>cOutputs!AL117</f>
        <v>0</v>
      </c>
      <c r="AM130" s="47">
        <f>cOutputs!AM117</f>
        <v>0</v>
      </c>
      <c r="AN130" s="47">
        <f>cOutputs!AN117</f>
        <v>0</v>
      </c>
      <c r="AO130" s="47">
        <f>cOutputs!AO117</f>
        <v>0</v>
      </c>
      <c r="AP130" s="47">
        <f>cOutputs!AP117</f>
        <v>0</v>
      </c>
      <c r="AQ130" s="47">
        <f>cOutputs!AQ117</f>
        <v>0</v>
      </c>
      <c r="AR130" s="47">
        <f>cOutputs!AR117</f>
        <v>0</v>
      </c>
      <c r="AS130" s="47">
        <f>cOutputs!AS117</f>
        <v>0</v>
      </c>
      <c r="AT130" s="47">
        <f>cOutputs!AT117</f>
        <v>0</v>
      </c>
      <c r="AU130" s="47">
        <f>cOutputs!AU117</f>
        <v>0</v>
      </c>
      <c r="AV130" s="47">
        <f>cOutputs!AV117</f>
        <v>0</v>
      </c>
      <c r="AW130" s="47">
        <f>cOutputs!AW117</f>
        <v>0</v>
      </c>
      <c r="AX130" s="47">
        <f>cOutputs!AX117</f>
        <v>0</v>
      </c>
      <c r="AY130" s="47">
        <f>cOutputs!AY117</f>
        <v>0</v>
      </c>
      <c r="AZ130" s="47">
        <f>cOutputs!AZ117</f>
        <v>0</v>
      </c>
      <c r="BA130" s="47">
        <f>cOutputs!BA117</f>
        <v>0</v>
      </c>
      <c r="BB130" s="47">
        <f>cOutputs!BB117</f>
        <v>0</v>
      </c>
      <c r="BC130" s="47">
        <f>cOutputs!BC117</f>
        <v>0</v>
      </c>
      <c r="BD130" s="47">
        <f>cOutputs!BD117</f>
        <v>0</v>
      </c>
      <c r="BE130" s="47">
        <f>cOutputs!BE117</f>
        <v>0</v>
      </c>
      <c r="BG130" s="47">
        <f>cOutputs!BG117</f>
        <v>0</v>
      </c>
      <c r="BH130" s="47">
        <f>cOutputs!BH117</f>
        <v>0</v>
      </c>
      <c r="BI130" s="47">
        <f>cOutputs!BI117</f>
        <v>0</v>
      </c>
      <c r="BJ130" s="47">
        <f>cOutputs!BJ117</f>
        <v>0</v>
      </c>
      <c r="BK130" s="47">
        <f>cOutputs!BK117</f>
        <v>0</v>
      </c>
      <c r="BL130" s="47">
        <f>cOutputs!BL117</f>
        <v>0</v>
      </c>
      <c r="BM130" s="47">
        <f>cOutputs!BM117</f>
        <v>0</v>
      </c>
    </row>
    <row r="131" spans="1:65" outlineLevel="1">
      <c r="F131" s="18" t="s">
        <v>42</v>
      </c>
      <c r="G131" s="17" t="str">
        <f t="shared" si="27"/>
        <v>£ Real</v>
      </c>
      <c r="AA131" s="47">
        <f>cOutputs!AA118</f>
        <v>0</v>
      </c>
      <c r="AB131" s="47">
        <f>cOutputs!AB118</f>
        <v>2124256.3721825476</v>
      </c>
      <c r="AC131" s="47">
        <f>cOutputs!AC118</f>
        <v>4265222.7256605336</v>
      </c>
      <c r="AD131" s="47">
        <f>cOutputs!AD118</f>
        <v>6418795.3579617459</v>
      </c>
      <c r="AE131" s="47">
        <f>cOutputs!AE118</f>
        <v>8585048.4964394122</v>
      </c>
      <c r="AF131" s="47">
        <f>cOutputs!AF118</f>
        <v>10761920.522850793</v>
      </c>
      <c r="AG131" s="47">
        <f>cOutputs!AG118</f>
        <v>12949463.490568113</v>
      </c>
      <c r="AH131" s="47">
        <f>cOutputs!AH118</f>
        <v>15147729.708127182</v>
      </c>
      <c r="AI131" s="47">
        <f>cOutputs!AI118</f>
        <v>17356771.74047821</v>
      </c>
      <c r="AJ131" s="47">
        <f>cOutputs!AJ118</f>
        <v>19576642.410242721</v>
      </c>
      <c r="AK131" s="47">
        <f>cOutputs!AK118</f>
        <v>21807394.798976667</v>
      </c>
      <c r="AL131" s="47">
        <f>cOutputs!AL118</f>
        <v>24049082.248439699</v>
      </c>
      <c r="AM131" s="47">
        <f>cOutputs!AM118</f>
        <v>26301758.361870687</v>
      </c>
      <c r="AN131" s="47">
        <f>cOutputs!AN118</f>
        <v>28565477.005269475</v>
      </c>
      <c r="AO131" s="47">
        <f>cOutputs!AO118</f>
        <v>30840292.308684923</v>
      </c>
      <c r="AP131" s="47">
        <f>cOutputs!AP118</f>
        <v>33126258.667509269</v>
      </c>
      <c r="AQ131" s="47">
        <f>cOutputs!AQ118</f>
        <v>35423430.743778832</v>
      </c>
      <c r="AR131" s="47">
        <f>cOutputs!AR118</f>
        <v>37731863.467481092</v>
      </c>
      <c r="AS131" s="47">
        <f>cOutputs!AS118</f>
        <v>40051612.037868164</v>
      </c>
      <c r="AT131" s="47">
        <f>cOutputs!AT118</f>
        <v>42382731.92477674</v>
      </c>
      <c r="AU131" s="47">
        <f>cOutputs!AU118</f>
        <v>44725278.869954474</v>
      </c>
      <c r="AV131" s="47">
        <f>cOutputs!AV118</f>
        <v>47079308.888392888</v>
      </c>
      <c r="AW131" s="47">
        <f>cOutputs!AW118</f>
        <v>49444878.269666784</v>
      </c>
      <c r="AX131" s="47">
        <f>cOutputs!AX118</f>
        <v>51822043.579280257</v>
      </c>
      <c r="AY131" s="47">
        <f>cOutputs!AY118</f>
        <v>54210861.660019286</v>
      </c>
      <c r="AZ131" s="47">
        <f>cOutputs!AZ118</f>
        <v>56611389.633310959</v>
      </c>
      <c r="BA131" s="47">
        <f>cOutputs!BA118</f>
        <v>59023684.900589354</v>
      </c>
      <c r="BB131" s="47">
        <f>cOutputs!BB118</f>
        <v>61447805.144668132</v>
      </c>
      <c r="BC131" s="47">
        <f>cOutputs!BC118</f>
        <v>63883808.331119843</v>
      </c>
      <c r="BD131" s="47">
        <f>cOutputs!BD118</f>
        <v>66331752.709662005</v>
      </c>
      <c r="BE131" s="47">
        <f>cOutputs!BE118</f>
        <v>68791696.815549955</v>
      </c>
      <c r="BG131" s="47">
        <f>cOutputs!BG118</f>
        <v>0</v>
      </c>
      <c r="BH131" s="47">
        <f>cOutputs!BH118</f>
        <v>10761920.522850793</v>
      </c>
      <c r="BI131" s="47">
        <f>cOutputs!BI118</f>
        <v>21807394.798976667</v>
      </c>
      <c r="BJ131" s="47">
        <f>cOutputs!BJ118</f>
        <v>33126258.667509269</v>
      </c>
      <c r="BK131" s="47">
        <f>cOutputs!BK118</f>
        <v>44725278.869954474</v>
      </c>
      <c r="BL131" s="47">
        <f>cOutputs!BL118</f>
        <v>56611389.633310959</v>
      </c>
      <c r="BM131" s="47">
        <f>cOutputs!BM118</f>
        <v>68791696.815549955</v>
      </c>
    </row>
    <row r="132" spans="1:65" outlineLevel="1">
      <c r="F132" s="18" t="s">
        <v>227</v>
      </c>
      <c r="G132" s="17" t="str">
        <f t="shared" si="27"/>
        <v>£ Real</v>
      </c>
      <c r="AA132" s="47">
        <f>cOutputs!AA119</f>
        <v>0</v>
      </c>
      <c r="AB132" s="47">
        <f>cOutputs!AB119</f>
        <v>718589.50381442916</v>
      </c>
      <c r="AC132" s="47">
        <f>cOutputs!AC119</f>
        <v>879147.99949146877</v>
      </c>
      <c r="AD132" s="47">
        <f>cOutputs!AD119</f>
        <v>1041439.7075850418</v>
      </c>
      <c r="AE132" s="47">
        <f>cOutputs!AE119</f>
        <v>1250627.054324283</v>
      </c>
      <c r="AF132" s="47">
        <f>cOutputs!AF119</f>
        <v>1416278.9555697097</v>
      </c>
      <c r="AG132" s="47">
        <f>cOutputs!AG119</f>
        <v>1725709.2328889596</v>
      </c>
      <c r="AH132" s="47">
        <f>cOutputs!AH119</f>
        <v>1941109.6650759869</v>
      </c>
      <c r="AI132" s="47">
        <f>cOutputs!AI119</f>
        <v>2111681.6029922212</v>
      </c>
      <c r="AJ132" s="47">
        <f>cOutputs!AJ119</f>
        <v>2283925.8148095952</v>
      </c>
      <c r="AK132" s="47">
        <f>cOutputs!AK119</f>
        <v>2505723.8676535557</v>
      </c>
      <c r="AL132" s="47">
        <f>cOutputs!AL119</f>
        <v>2830622.6406962438</v>
      </c>
      <c r="AM132" s="47">
        <f>cOutputs!AM119</f>
        <v>3007982.6877808529</v>
      </c>
      <c r="AN132" s="47">
        <f>cOutputs!AN119</f>
        <v>3236368.3773817816</v>
      </c>
      <c r="AO132" s="47">
        <f>cOutputs!AO119</f>
        <v>3417223.1197424713</v>
      </c>
      <c r="AP132" s="47">
        <f>cOutputs!AP119</f>
        <v>3599850.9478125796</v>
      </c>
      <c r="AQ132" s="47">
        <f>cOutputs!AQ119</f>
        <v>3991742.17965151</v>
      </c>
      <c r="AR132" s="47">
        <f>cOutputs!AR119</f>
        <v>4177968.499143607</v>
      </c>
      <c r="AS132" s="47">
        <f>cOutputs!AS119</f>
        <v>4366020.5668660188</v>
      </c>
      <c r="AT132" s="47">
        <f>cOutputs!AT119</f>
        <v>4608174.320620805</v>
      </c>
      <c r="AU132" s="47">
        <f>cOutputs!AU119</f>
        <v>4799931.7587664286</v>
      </c>
      <c r="AV132" s="47">
        <f>cOutputs!AV119</f>
        <v>5158126.001134458</v>
      </c>
      <c r="AW132" s="47">
        <f>cOutputs!AW119</f>
        <v>5407471.9774927273</v>
      </c>
      <c r="AX132" s="47">
        <f>cOutputs!AX119</f>
        <v>5604924.8143659439</v>
      </c>
      <c r="AY132" s="47">
        <f>cOutputs!AY119</f>
        <v>5804313.4633653685</v>
      </c>
      <c r="AZ132" s="47">
        <f>cOutputs!AZ119</f>
        <v>6061065.2789453892</v>
      </c>
      <c r="BA132" s="47">
        <f>cOutputs!BA119</f>
        <v>6437165.7396519473</v>
      </c>
      <c r="BB132" s="47">
        <f>cOutputs!BB119</f>
        <v>6642476.4424125701</v>
      </c>
      <c r="BC132" s="47">
        <f>cOutputs!BC119</f>
        <v>6906854.0584721072</v>
      </c>
      <c r="BD132" s="47">
        <f>cOutputs!BD119</f>
        <v>7116210.1951106545</v>
      </c>
      <c r="BE132" s="47">
        <f>cOutputs!BE119</f>
        <v>7327618.8428927166</v>
      </c>
      <c r="BG132" s="47">
        <f>cOutputs!BG119</f>
        <v>0</v>
      </c>
      <c r="BH132" s="47">
        <f>cOutputs!BH119</f>
        <v>1416278.9555697097</v>
      </c>
      <c r="BI132" s="47">
        <f>cOutputs!BI119</f>
        <v>2505723.8676535557</v>
      </c>
      <c r="BJ132" s="47">
        <f>cOutputs!BJ119</f>
        <v>3599850.9478125796</v>
      </c>
      <c r="BK132" s="47">
        <f>cOutputs!BK119</f>
        <v>4799931.7587664286</v>
      </c>
      <c r="BL132" s="47">
        <f>cOutputs!BL119</f>
        <v>6061065.2789453892</v>
      </c>
      <c r="BM132" s="47">
        <f>cOutputs!BM119</f>
        <v>7327618.8428927166</v>
      </c>
    </row>
    <row r="133" spans="1:65" outlineLevel="1">
      <c r="F133" s="18" t="s">
        <v>121</v>
      </c>
      <c r="G133" s="17" t="str">
        <f t="shared" si="27"/>
        <v>£ Real</v>
      </c>
      <c r="AA133" s="47">
        <f>cOutputs!AA120</f>
        <v>0</v>
      </c>
      <c r="AB133" s="47">
        <f>cOutputs!AB120</f>
        <v>0</v>
      </c>
      <c r="AC133" s="47">
        <f>cOutputs!AC120</f>
        <v>0</v>
      </c>
      <c r="AD133" s="47">
        <f>cOutputs!AD120</f>
        <v>0</v>
      </c>
      <c r="AE133" s="47">
        <f>cOutputs!AE120</f>
        <v>0</v>
      </c>
      <c r="AF133" s="47">
        <f>cOutputs!AF120</f>
        <v>0</v>
      </c>
      <c r="AG133" s="47">
        <f>cOutputs!AG120</f>
        <v>0</v>
      </c>
      <c r="AH133" s="47">
        <f>cOutputs!AH120</f>
        <v>0</v>
      </c>
      <c r="AI133" s="47">
        <f>cOutputs!AI120</f>
        <v>0</v>
      </c>
      <c r="AJ133" s="47">
        <f>cOutputs!AJ120</f>
        <v>0</v>
      </c>
      <c r="AK133" s="47">
        <f>cOutputs!AK120</f>
        <v>0</v>
      </c>
      <c r="AL133" s="47">
        <f>cOutputs!AL120</f>
        <v>0</v>
      </c>
      <c r="AM133" s="47">
        <f>cOutputs!AM120</f>
        <v>0</v>
      </c>
      <c r="AN133" s="47">
        <f>cOutputs!AN120</f>
        <v>0</v>
      </c>
      <c r="AO133" s="47">
        <f>cOutputs!AO120</f>
        <v>0</v>
      </c>
      <c r="AP133" s="47">
        <f>cOutputs!AP120</f>
        <v>0</v>
      </c>
      <c r="AQ133" s="47">
        <f>cOutputs!AQ120</f>
        <v>0</v>
      </c>
      <c r="AR133" s="47">
        <f>cOutputs!AR120</f>
        <v>0</v>
      </c>
      <c r="AS133" s="47">
        <f>cOutputs!AS120</f>
        <v>0</v>
      </c>
      <c r="AT133" s="47">
        <f>cOutputs!AT120</f>
        <v>0</v>
      </c>
      <c r="AU133" s="47">
        <f>cOutputs!AU120</f>
        <v>0</v>
      </c>
      <c r="AV133" s="47">
        <f>cOutputs!AV120</f>
        <v>0</v>
      </c>
      <c r="AW133" s="47">
        <f>cOutputs!AW120</f>
        <v>0</v>
      </c>
      <c r="AX133" s="47">
        <f>cOutputs!AX120</f>
        <v>0</v>
      </c>
      <c r="AY133" s="47">
        <f>cOutputs!AY120</f>
        <v>0</v>
      </c>
      <c r="AZ133" s="47">
        <f>cOutputs!AZ120</f>
        <v>0</v>
      </c>
      <c r="BA133" s="47">
        <f>cOutputs!BA120</f>
        <v>0</v>
      </c>
      <c r="BB133" s="47">
        <f>cOutputs!BB120</f>
        <v>0</v>
      </c>
      <c r="BC133" s="47">
        <f>cOutputs!BC120</f>
        <v>0</v>
      </c>
      <c r="BD133" s="47">
        <f>cOutputs!BD120</f>
        <v>0</v>
      </c>
      <c r="BE133" s="47">
        <f>cOutputs!BE120</f>
        <v>0</v>
      </c>
      <c r="BG133" s="47">
        <f>cOutputs!BG120</f>
        <v>0</v>
      </c>
      <c r="BH133" s="47">
        <f>cOutputs!BH120</f>
        <v>0</v>
      </c>
      <c r="BI133" s="47">
        <f>cOutputs!BI120</f>
        <v>0</v>
      </c>
      <c r="BJ133" s="47">
        <f>cOutputs!BJ120</f>
        <v>0</v>
      </c>
      <c r="BK133" s="47">
        <f>cOutputs!BK120</f>
        <v>0</v>
      </c>
      <c r="BL133" s="47">
        <f>cOutputs!BL120</f>
        <v>0</v>
      </c>
      <c r="BM133" s="47">
        <f>cOutputs!BM120</f>
        <v>0</v>
      </c>
    </row>
    <row r="134" spans="1:65" outlineLevel="1">
      <c r="F134" s="18" t="s">
        <v>245</v>
      </c>
      <c r="G134" s="17" t="str">
        <f t="shared" si="27"/>
        <v>£ Real</v>
      </c>
      <c r="AA134" s="47">
        <f>cOutputs!AA121</f>
        <v>3045073.0031171548</v>
      </c>
      <c r="AB134" s="47">
        <f>cOutputs!AB121</f>
        <v>3075611.8753926363</v>
      </c>
      <c r="AC134" s="47">
        <f>cOutputs!AC121</f>
        <v>3106541.1167335859</v>
      </c>
      <c r="AD134" s="47">
        <f>cOutputs!AD121</f>
        <v>3137804.2360477941</v>
      </c>
      <c r="AE134" s="47">
        <f>cOutputs!AE121</f>
        <v>3169404.8375135786</v>
      </c>
      <c r="AF134" s="47">
        <f>cOutputs!AF121</f>
        <v>3201315.2487976551</v>
      </c>
      <c r="AG134" s="47">
        <f>cOutputs!AG121</f>
        <v>3233538.5072511835</v>
      </c>
      <c r="AH134" s="47">
        <f>cOutputs!AH121</f>
        <v>3266077.6800032761</v>
      </c>
      <c r="AI134" s="47">
        <f>cOutputs!AI121</f>
        <v>3298935.864252938</v>
      </c>
      <c r="AJ134" s="47">
        <f>cOutputs!AJ121</f>
        <v>3332116.187563871</v>
      </c>
      <c r="AK134" s="47">
        <f>cOutputs!AK121</f>
        <v>3365621.8081621663</v>
      </c>
      <c r="AL134" s="47">
        <f>cOutputs!AL121</f>
        <v>3399455.9152369155</v>
      </c>
      <c r="AM134" s="47">
        <f>cOutputs!AM121</f>
        <v>3433621.7292437698</v>
      </c>
      <c r="AN134" s="47">
        <f>cOutputs!AN121</f>
        <v>3468122.5022114757</v>
      </c>
      <c r="AO134" s="47">
        <f>cOutputs!AO121</f>
        <v>3502961.5180514143</v>
      </c>
      <c r="AP134" s="47">
        <f>cOutputs!AP121</f>
        <v>3538142.0928701758</v>
      </c>
      <c r="AQ134" s="47">
        <f>cOutputs!AQ121</f>
        <v>3573667.5752851996</v>
      </c>
      <c r="AR134" s="47">
        <f>cOutputs!AR121</f>
        <v>3609541.3467435078</v>
      </c>
      <c r="AS134" s="47">
        <f>cOutputs!AS121</f>
        <v>3645766.821843564</v>
      </c>
      <c r="AT134" s="47">
        <f>cOutputs!AT121</f>
        <v>3682347.4486602875</v>
      </c>
      <c r="AU134" s="47">
        <f>cOutputs!AU121</f>
        <v>3719286.7090732534</v>
      </c>
      <c r="AV134" s="47">
        <f>cOutputs!AV121</f>
        <v>3756588.1190981115</v>
      </c>
      <c r="AW134" s="47">
        <f>cOutputs!AW121</f>
        <v>3794255.2292212523</v>
      </c>
      <c r="AX134" s="47">
        <f>cOutputs!AX121</f>
        <v>3832291.6247377573</v>
      </c>
      <c r="AY134" s="47">
        <f>cOutputs!AY121</f>
        <v>3870700.9260926591</v>
      </c>
      <c r="AZ134" s="47">
        <f>cOutputs!AZ121</f>
        <v>3909486.7892255504</v>
      </c>
      <c r="BA134" s="47">
        <f>cOutputs!BA121</f>
        <v>3948652.9059185679</v>
      </c>
      <c r="BB134" s="47">
        <f>cOutputs!BB121</f>
        <v>3988203.0041477918</v>
      </c>
      <c r="BC134" s="47">
        <f>cOutputs!BC121</f>
        <v>4028140.8484380865</v>
      </c>
      <c r="BD134" s="47">
        <f>cOutputs!BD121</f>
        <v>4068470.2402214231</v>
      </c>
      <c r="BE134" s="47">
        <f>cOutputs!BE121</f>
        <v>4109195.0181987141</v>
      </c>
      <c r="BG134" s="47">
        <f>cOutputs!BG121</f>
        <v>3045073.0031171548</v>
      </c>
      <c r="BH134" s="47">
        <f>cOutputs!BH121</f>
        <v>3201315.2487976551</v>
      </c>
      <c r="BI134" s="47">
        <f>cOutputs!BI121</f>
        <v>3365621.8081621663</v>
      </c>
      <c r="BJ134" s="47">
        <f>cOutputs!BJ121</f>
        <v>3538142.0928701758</v>
      </c>
      <c r="BK134" s="47">
        <f>cOutputs!BK121</f>
        <v>3719286.7090732534</v>
      </c>
      <c r="BL134" s="47">
        <f>cOutputs!BL121</f>
        <v>3909486.7892255504</v>
      </c>
      <c r="BM134" s="47">
        <f>cOutputs!BM121</f>
        <v>4109195.0181987141</v>
      </c>
    </row>
    <row r="135" spans="1:65" outlineLevel="1">
      <c r="F135" s="18"/>
      <c r="G135" s="17"/>
    </row>
    <row r="136" spans="1:65" outlineLevel="1">
      <c r="A136" s="19">
        <f>SUM(C136:BM136)</f>
        <v>0</v>
      </c>
      <c r="F136" s="27" t="s">
        <v>329</v>
      </c>
      <c r="G136" s="17"/>
      <c r="AA136" s="19">
        <f t="shared" ref="AA136:BE136" si="28">IF(ABS(SUM(AA130:AA134)-AA129)&lt;eTol,0,1)</f>
        <v>0</v>
      </c>
      <c r="AB136" s="19">
        <f t="shared" si="28"/>
        <v>0</v>
      </c>
      <c r="AC136" s="19">
        <f t="shared" si="28"/>
        <v>0</v>
      </c>
      <c r="AD136" s="19">
        <f t="shared" si="28"/>
        <v>0</v>
      </c>
      <c r="AE136" s="19">
        <f t="shared" si="28"/>
        <v>0</v>
      </c>
      <c r="AF136" s="19">
        <f t="shared" si="28"/>
        <v>0</v>
      </c>
      <c r="AG136" s="19">
        <f t="shared" si="28"/>
        <v>0</v>
      </c>
      <c r="AH136" s="19">
        <f t="shared" si="28"/>
        <v>0</v>
      </c>
      <c r="AI136" s="19">
        <f t="shared" si="28"/>
        <v>0</v>
      </c>
      <c r="AJ136" s="19">
        <f t="shared" si="28"/>
        <v>0</v>
      </c>
      <c r="AK136" s="19">
        <f t="shared" si="28"/>
        <v>0</v>
      </c>
      <c r="AL136" s="19">
        <f t="shared" si="28"/>
        <v>0</v>
      </c>
      <c r="AM136" s="19">
        <f t="shared" si="28"/>
        <v>0</v>
      </c>
      <c r="AN136" s="19">
        <f t="shared" si="28"/>
        <v>0</v>
      </c>
      <c r="AO136" s="19">
        <f t="shared" si="28"/>
        <v>0</v>
      </c>
      <c r="AP136" s="19">
        <f t="shared" si="28"/>
        <v>0</v>
      </c>
      <c r="AQ136" s="19">
        <f t="shared" si="28"/>
        <v>0</v>
      </c>
      <c r="AR136" s="19">
        <f t="shared" si="28"/>
        <v>0</v>
      </c>
      <c r="AS136" s="19">
        <f t="shared" si="28"/>
        <v>0</v>
      </c>
      <c r="AT136" s="19">
        <f t="shared" si="28"/>
        <v>0</v>
      </c>
      <c r="AU136" s="19">
        <f t="shared" si="28"/>
        <v>0</v>
      </c>
      <c r="AV136" s="19">
        <f t="shared" si="28"/>
        <v>0</v>
      </c>
      <c r="AW136" s="19">
        <f t="shared" si="28"/>
        <v>0</v>
      </c>
      <c r="AX136" s="19">
        <f t="shared" si="28"/>
        <v>0</v>
      </c>
      <c r="AY136" s="19">
        <f t="shared" si="28"/>
        <v>0</v>
      </c>
      <c r="AZ136" s="19">
        <f t="shared" si="28"/>
        <v>0</v>
      </c>
      <c r="BA136" s="19">
        <f t="shared" si="28"/>
        <v>0</v>
      </c>
      <c r="BB136" s="19">
        <f t="shared" si="28"/>
        <v>0</v>
      </c>
      <c r="BC136" s="19">
        <f t="shared" si="28"/>
        <v>0</v>
      </c>
      <c r="BD136" s="19">
        <f t="shared" si="28"/>
        <v>0</v>
      </c>
      <c r="BE136" s="19">
        <f t="shared" si="28"/>
        <v>0</v>
      </c>
      <c r="BG136" s="19">
        <f t="shared" ref="BG136:BM136" si="29">IF(ABS(SUM(BG130:BG134)-BG129)&lt;eTol,0,1)</f>
        <v>0</v>
      </c>
      <c r="BH136" s="19">
        <f t="shared" si="29"/>
        <v>0</v>
      </c>
      <c r="BI136" s="19">
        <f t="shared" si="29"/>
        <v>0</v>
      </c>
      <c r="BJ136" s="19">
        <f t="shared" si="29"/>
        <v>0</v>
      </c>
      <c r="BK136" s="19">
        <f t="shared" si="29"/>
        <v>0</v>
      </c>
      <c r="BL136" s="19">
        <f t="shared" si="29"/>
        <v>0</v>
      </c>
      <c r="BM136" s="19">
        <f t="shared" si="29"/>
        <v>0</v>
      </c>
    </row>
    <row r="137" spans="1:65">
      <c r="F137" s="18"/>
      <c r="G137" s="17"/>
    </row>
    <row r="138" spans="1:65">
      <c r="F138" s="37" t="s">
        <v>253</v>
      </c>
      <c r="G138" s="17" t="str">
        <f t="shared" ref="G138:G143" si="30">cstRealUnit</f>
        <v>£ Real</v>
      </c>
      <c r="AA138" s="82">
        <f>cOutputs!AA123</f>
        <v>0</v>
      </c>
      <c r="AB138" s="82">
        <f>cOutputs!AB123</f>
        <v>2892289.7644429943</v>
      </c>
      <c r="AC138" s="82">
        <f>cOutputs!AC123</f>
        <v>5243890.5281500341</v>
      </c>
      <c r="AD138" s="82">
        <f>cOutputs!AD123</f>
        <v>7610371.34743449</v>
      </c>
      <c r="AE138" s="82">
        <f>cOutputs!AE123</f>
        <v>10036974.711215049</v>
      </c>
      <c r="AF138" s="82">
        <f>cOutputs!AF123</f>
        <v>12431163.114284173</v>
      </c>
      <c r="AG138" s="82">
        <f>cOutputs!AG123</f>
        <v>14980307.349197881</v>
      </c>
      <c r="AH138" s="82">
        <f>cOutputs!AH123</f>
        <v>17446656.469114035</v>
      </c>
      <c r="AI138" s="82">
        <f>cOutputs!AI123</f>
        <v>19879469.404356938</v>
      </c>
      <c r="AJ138" s="82">
        <f>cOutputs!AJ123</f>
        <v>22325304.80939462</v>
      </c>
      <c r="AK138" s="82">
        <f>cOutputs!AK123</f>
        <v>24832102.44622691</v>
      </c>
      <c r="AL138" s="82">
        <f>cOutputs!AL123</f>
        <v>27453467.699234605</v>
      </c>
      <c r="AM138" s="82">
        <f>cOutputs!AM123</f>
        <v>29938819.939570826</v>
      </c>
      <c r="AN138" s="82">
        <f>cOutputs!AN123</f>
        <v>32486782.666899208</v>
      </c>
      <c r="AO138" s="82">
        <f>cOutputs!AO123</f>
        <v>34998858.738320954</v>
      </c>
      <c r="AP138" s="82">
        <f>cOutputs!AP123</f>
        <v>37524411.951112449</v>
      </c>
      <c r="AQ138" s="82">
        <f>cOutputs!AQ123</f>
        <v>40270992.706940509</v>
      </c>
      <c r="AR138" s="82">
        <f>cOutputs!AR123</f>
        <v>42823733.094400704</v>
      </c>
      <c r="AS138" s="82">
        <f>cOutputs!AS123</f>
        <v>45390184.501719803</v>
      </c>
      <c r="AT138" s="82">
        <f>cOutputs!AT123</f>
        <v>48022683.919134051</v>
      </c>
      <c r="AU138" s="82">
        <f>cOutputs!AU123</f>
        <v>50616794.724078394</v>
      </c>
      <c r="AV138" s="82">
        <f>cOutputs!AV123</f>
        <v>53389411.743972704</v>
      </c>
      <c r="AW138" s="82">
        <f>cOutputs!AW123</f>
        <v>56065311.94656615</v>
      </c>
      <c r="AX138" s="82">
        <f>cOutputs!AX123</f>
        <v>58701512.828650989</v>
      </c>
      <c r="AY138" s="82">
        <f>cOutputs!AY123</f>
        <v>61351906.046297379</v>
      </c>
      <c r="AZ138" s="82">
        <f>cOutputs!AZ123</f>
        <v>64071981.994527087</v>
      </c>
      <c r="BA138" s="82">
        <f>cOutputs!BA123</f>
        <v>66923789.530491211</v>
      </c>
      <c r="BB138" s="82">
        <f>cOutputs!BB123</f>
        <v>69617253.969701737</v>
      </c>
      <c r="BC138" s="82">
        <f>cOutputs!BC123</f>
        <v>72382296.043921083</v>
      </c>
      <c r="BD138" s="82">
        <f>cOutputs!BD123</f>
        <v>75104891.764846236</v>
      </c>
      <c r="BE138" s="82">
        <f>cOutputs!BE123</f>
        <v>77842179.873336628</v>
      </c>
      <c r="BG138" s="82">
        <f>cOutputs!BG123</f>
        <v>0</v>
      </c>
      <c r="BH138" s="82">
        <f>cOutputs!BH123</f>
        <v>12431163.114284173</v>
      </c>
      <c r="BI138" s="82">
        <f>cOutputs!BI123</f>
        <v>24832102.44622691</v>
      </c>
      <c r="BJ138" s="82">
        <f>cOutputs!BJ123</f>
        <v>37524411.951112449</v>
      </c>
      <c r="BK138" s="82">
        <f>cOutputs!BK123</f>
        <v>50616794.724078394</v>
      </c>
      <c r="BL138" s="82">
        <f>cOutputs!BL123</f>
        <v>64071981.994527087</v>
      </c>
      <c r="BM138" s="82">
        <f>cOutputs!BM123</f>
        <v>77842179.873336628</v>
      </c>
    </row>
    <row r="139" spans="1:65" outlineLevel="1">
      <c r="F139" s="18" t="s">
        <v>214</v>
      </c>
      <c r="G139" s="17" t="str">
        <f t="shared" si="30"/>
        <v>£ Real</v>
      </c>
      <c r="AA139" s="47">
        <f>cOutputs!AA124</f>
        <v>0</v>
      </c>
      <c r="AB139" s="47">
        <f>cOutputs!AB124</f>
        <v>0</v>
      </c>
      <c r="AC139" s="47">
        <f>cOutputs!AC124</f>
        <v>0</v>
      </c>
      <c r="AD139" s="47">
        <f>cOutputs!AD124</f>
        <v>0</v>
      </c>
      <c r="AE139" s="47">
        <f>cOutputs!AE124</f>
        <v>0</v>
      </c>
      <c r="AF139" s="47">
        <f>cOutputs!AF124</f>
        <v>0</v>
      </c>
      <c r="AG139" s="47">
        <f>cOutputs!AG124</f>
        <v>0</v>
      </c>
      <c r="AH139" s="47">
        <f>cOutputs!AH124</f>
        <v>0</v>
      </c>
      <c r="AI139" s="47">
        <f>cOutputs!AI124</f>
        <v>0</v>
      </c>
      <c r="AJ139" s="47">
        <f>cOutputs!AJ124</f>
        <v>0</v>
      </c>
      <c r="AK139" s="47">
        <f>cOutputs!AK124</f>
        <v>0</v>
      </c>
      <c r="AL139" s="47">
        <f>cOutputs!AL124</f>
        <v>0</v>
      </c>
      <c r="AM139" s="47">
        <f>cOutputs!AM124</f>
        <v>0</v>
      </c>
      <c r="AN139" s="47">
        <f>cOutputs!AN124</f>
        <v>0</v>
      </c>
      <c r="AO139" s="47">
        <f>cOutputs!AO124</f>
        <v>0</v>
      </c>
      <c r="AP139" s="47">
        <f>cOutputs!AP124</f>
        <v>0</v>
      </c>
      <c r="AQ139" s="47">
        <f>cOutputs!AQ124</f>
        <v>0</v>
      </c>
      <c r="AR139" s="47">
        <f>cOutputs!AR124</f>
        <v>0</v>
      </c>
      <c r="AS139" s="47">
        <f>cOutputs!AS124</f>
        <v>0</v>
      </c>
      <c r="AT139" s="47">
        <f>cOutputs!AT124</f>
        <v>0</v>
      </c>
      <c r="AU139" s="47">
        <f>cOutputs!AU124</f>
        <v>0</v>
      </c>
      <c r="AV139" s="47">
        <f>cOutputs!AV124</f>
        <v>0</v>
      </c>
      <c r="AW139" s="47">
        <f>cOutputs!AW124</f>
        <v>0</v>
      </c>
      <c r="AX139" s="47">
        <f>cOutputs!AX124</f>
        <v>0</v>
      </c>
      <c r="AY139" s="47">
        <f>cOutputs!AY124</f>
        <v>0</v>
      </c>
      <c r="AZ139" s="47">
        <f>cOutputs!AZ124</f>
        <v>0</v>
      </c>
      <c r="BA139" s="47">
        <f>cOutputs!BA124</f>
        <v>0</v>
      </c>
      <c r="BB139" s="47">
        <f>cOutputs!BB124</f>
        <v>0</v>
      </c>
      <c r="BC139" s="47">
        <f>cOutputs!BC124</f>
        <v>0</v>
      </c>
      <c r="BD139" s="47">
        <f>cOutputs!BD124</f>
        <v>0</v>
      </c>
      <c r="BE139" s="47">
        <f>cOutputs!BE124</f>
        <v>0</v>
      </c>
      <c r="BG139" s="47">
        <f>cOutputs!BG124</f>
        <v>0</v>
      </c>
      <c r="BH139" s="47">
        <f>cOutputs!BH124</f>
        <v>0</v>
      </c>
      <c r="BI139" s="47">
        <f>cOutputs!BI124</f>
        <v>0</v>
      </c>
      <c r="BJ139" s="47">
        <f>cOutputs!BJ124</f>
        <v>0</v>
      </c>
      <c r="BK139" s="47">
        <f>cOutputs!BK124</f>
        <v>0</v>
      </c>
      <c r="BL139" s="47">
        <f>cOutputs!BL124</f>
        <v>0</v>
      </c>
      <c r="BM139" s="47">
        <f>cOutputs!BM124</f>
        <v>0</v>
      </c>
    </row>
    <row r="140" spans="1:65" outlineLevel="1">
      <c r="F140" s="18" t="s">
        <v>42</v>
      </c>
      <c r="G140" s="17" t="str">
        <f t="shared" si="30"/>
        <v>£ Real</v>
      </c>
      <c r="AA140" s="47">
        <f>cOutputs!AA125</f>
        <v>0</v>
      </c>
      <c r="AB140" s="47">
        <f>cOutputs!AB125</f>
        <v>2124256.3721825476</v>
      </c>
      <c r="AC140" s="47">
        <f>cOutputs!AC125</f>
        <v>4265222.7256605336</v>
      </c>
      <c r="AD140" s="47">
        <f>cOutputs!AD125</f>
        <v>6418795.3579617459</v>
      </c>
      <c r="AE140" s="47">
        <f>cOutputs!AE125</f>
        <v>8585048.4964394122</v>
      </c>
      <c r="AF140" s="47">
        <f>cOutputs!AF125</f>
        <v>10761920.522850793</v>
      </c>
      <c r="AG140" s="47">
        <f>cOutputs!AG125</f>
        <v>12949463.490568113</v>
      </c>
      <c r="AH140" s="47">
        <f>cOutputs!AH125</f>
        <v>15147729.708127182</v>
      </c>
      <c r="AI140" s="47">
        <f>cOutputs!AI125</f>
        <v>17356771.74047821</v>
      </c>
      <c r="AJ140" s="47">
        <f>cOutputs!AJ125</f>
        <v>19576642.410242721</v>
      </c>
      <c r="AK140" s="47">
        <f>cOutputs!AK125</f>
        <v>21807394.798976667</v>
      </c>
      <c r="AL140" s="47">
        <f>cOutputs!AL125</f>
        <v>24049082.248439699</v>
      </c>
      <c r="AM140" s="47">
        <f>cOutputs!AM125</f>
        <v>26301758.361870687</v>
      </c>
      <c r="AN140" s="47">
        <f>cOutputs!AN125</f>
        <v>28565477.005269475</v>
      </c>
      <c r="AO140" s="47">
        <f>cOutputs!AO125</f>
        <v>30840292.308684923</v>
      </c>
      <c r="AP140" s="47">
        <f>cOutputs!AP125</f>
        <v>33126258.667509269</v>
      </c>
      <c r="AQ140" s="47">
        <f>cOutputs!AQ125</f>
        <v>35423430.743778832</v>
      </c>
      <c r="AR140" s="47">
        <f>cOutputs!AR125</f>
        <v>37731863.467481092</v>
      </c>
      <c r="AS140" s="47">
        <f>cOutputs!AS125</f>
        <v>40051612.037868164</v>
      </c>
      <c r="AT140" s="47">
        <f>cOutputs!AT125</f>
        <v>42382731.92477674</v>
      </c>
      <c r="AU140" s="47">
        <f>cOutputs!AU125</f>
        <v>44725278.869954474</v>
      </c>
      <c r="AV140" s="47">
        <f>cOutputs!AV125</f>
        <v>47079308.888392888</v>
      </c>
      <c r="AW140" s="47">
        <f>cOutputs!AW125</f>
        <v>49444878.269666784</v>
      </c>
      <c r="AX140" s="47">
        <f>cOutputs!AX125</f>
        <v>51822043.579280257</v>
      </c>
      <c r="AY140" s="47">
        <f>cOutputs!AY125</f>
        <v>54210861.660019286</v>
      </c>
      <c r="AZ140" s="47">
        <f>cOutputs!AZ125</f>
        <v>56611389.633310959</v>
      </c>
      <c r="BA140" s="47">
        <f>cOutputs!BA125</f>
        <v>59023684.900589354</v>
      </c>
      <c r="BB140" s="47">
        <f>cOutputs!BB125</f>
        <v>61447805.144668132</v>
      </c>
      <c r="BC140" s="47">
        <f>cOutputs!BC125</f>
        <v>63883808.331119843</v>
      </c>
      <c r="BD140" s="47">
        <f>cOutputs!BD125</f>
        <v>66331752.709662005</v>
      </c>
      <c r="BE140" s="47">
        <f>cOutputs!BE125</f>
        <v>68791696.815549955</v>
      </c>
      <c r="BG140" s="47">
        <f>cOutputs!BG125</f>
        <v>0</v>
      </c>
      <c r="BH140" s="47">
        <f>cOutputs!BH125</f>
        <v>10761920.522850793</v>
      </c>
      <c r="BI140" s="47">
        <f>cOutputs!BI125</f>
        <v>21807394.798976667</v>
      </c>
      <c r="BJ140" s="47">
        <f>cOutputs!BJ125</f>
        <v>33126258.667509269</v>
      </c>
      <c r="BK140" s="47">
        <f>cOutputs!BK125</f>
        <v>44725278.869954474</v>
      </c>
      <c r="BL140" s="47">
        <f>cOutputs!BL125</f>
        <v>56611389.633310959</v>
      </c>
      <c r="BM140" s="47">
        <f>cOutputs!BM125</f>
        <v>68791696.815549955</v>
      </c>
    </row>
    <row r="141" spans="1:65" outlineLevel="1">
      <c r="F141" s="18" t="s">
        <v>227</v>
      </c>
      <c r="G141" s="17" t="str">
        <f t="shared" si="30"/>
        <v>£ Real</v>
      </c>
      <c r="AA141" s="47">
        <f>cOutputs!AA126</f>
        <v>0</v>
      </c>
      <c r="AB141" s="47">
        <f>cOutputs!AB126</f>
        <v>718589.50381442916</v>
      </c>
      <c r="AC141" s="47">
        <f>cOutputs!AC126</f>
        <v>879147.99949146877</v>
      </c>
      <c r="AD141" s="47">
        <f>cOutputs!AD126</f>
        <v>1041439.7075850418</v>
      </c>
      <c r="AE141" s="47">
        <f>cOutputs!AE126</f>
        <v>1250627.054324283</v>
      </c>
      <c r="AF141" s="47">
        <f>cOutputs!AF126</f>
        <v>1416278.9555697097</v>
      </c>
      <c r="AG141" s="47">
        <f>cOutputs!AG126</f>
        <v>1725709.2328889596</v>
      </c>
      <c r="AH141" s="47">
        <f>cOutputs!AH126</f>
        <v>1941109.6650759869</v>
      </c>
      <c r="AI141" s="47">
        <f>cOutputs!AI126</f>
        <v>2111681.6029922212</v>
      </c>
      <c r="AJ141" s="47">
        <f>cOutputs!AJ126</f>
        <v>2283925.8148095952</v>
      </c>
      <c r="AK141" s="47">
        <f>cOutputs!AK126</f>
        <v>2505723.8676535557</v>
      </c>
      <c r="AL141" s="47">
        <f>cOutputs!AL126</f>
        <v>2830622.6406962438</v>
      </c>
      <c r="AM141" s="47">
        <f>cOutputs!AM126</f>
        <v>3007982.6877808529</v>
      </c>
      <c r="AN141" s="47">
        <f>cOutputs!AN126</f>
        <v>3236368.3773817816</v>
      </c>
      <c r="AO141" s="47">
        <f>cOutputs!AO126</f>
        <v>3417223.1197424713</v>
      </c>
      <c r="AP141" s="47">
        <f>cOutputs!AP126</f>
        <v>3599850.9478125796</v>
      </c>
      <c r="AQ141" s="47">
        <f>cOutputs!AQ126</f>
        <v>3991742.17965151</v>
      </c>
      <c r="AR141" s="47">
        <f>cOutputs!AR126</f>
        <v>4177968.499143607</v>
      </c>
      <c r="AS141" s="47">
        <f>cOutputs!AS126</f>
        <v>4366020.5668660188</v>
      </c>
      <c r="AT141" s="47">
        <f>cOutputs!AT126</f>
        <v>4608174.320620805</v>
      </c>
      <c r="AU141" s="47">
        <f>cOutputs!AU126</f>
        <v>4799931.7587664286</v>
      </c>
      <c r="AV141" s="47">
        <f>cOutputs!AV126</f>
        <v>5158126.001134458</v>
      </c>
      <c r="AW141" s="47">
        <f>cOutputs!AW126</f>
        <v>5407471.9774927273</v>
      </c>
      <c r="AX141" s="47">
        <f>cOutputs!AX126</f>
        <v>5604924.8143659439</v>
      </c>
      <c r="AY141" s="47">
        <f>cOutputs!AY126</f>
        <v>5804313.4633653685</v>
      </c>
      <c r="AZ141" s="47">
        <f>cOutputs!AZ126</f>
        <v>6061065.2789453892</v>
      </c>
      <c r="BA141" s="47">
        <f>cOutputs!BA126</f>
        <v>6437165.7396519473</v>
      </c>
      <c r="BB141" s="47">
        <f>cOutputs!BB126</f>
        <v>6642476.4424125701</v>
      </c>
      <c r="BC141" s="47">
        <f>cOutputs!BC126</f>
        <v>6906854.0584721072</v>
      </c>
      <c r="BD141" s="47">
        <f>cOutputs!BD126</f>
        <v>7116210.1951106545</v>
      </c>
      <c r="BE141" s="47">
        <f>cOutputs!BE126</f>
        <v>7327618.8428927166</v>
      </c>
      <c r="BG141" s="47">
        <f>cOutputs!BG126</f>
        <v>0</v>
      </c>
      <c r="BH141" s="47">
        <f>cOutputs!BH126</f>
        <v>1416278.9555697097</v>
      </c>
      <c r="BI141" s="47">
        <f>cOutputs!BI126</f>
        <v>2505723.8676535557</v>
      </c>
      <c r="BJ141" s="47">
        <f>cOutputs!BJ126</f>
        <v>3599850.9478125796</v>
      </c>
      <c r="BK141" s="47">
        <f>cOutputs!BK126</f>
        <v>4799931.7587664286</v>
      </c>
      <c r="BL141" s="47">
        <f>cOutputs!BL126</f>
        <v>6061065.2789453892</v>
      </c>
      <c r="BM141" s="47">
        <f>cOutputs!BM126</f>
        <v>7327618.8428927166</v>
      </c>
    </row>
    <row r="142" spans="1:65" outlineLevel="1">
      <c r="F142" s="18" t="s">
        <v>121</v>
      </c>
      <c r="G142" s="17" t="str">
        <f t="shared" si="30"/>
        <v>£ Real</v>
      </c>
      <c r="AA142" s="47">
        <f>cOutputs!AA127</f>
        <v>0</v>
      </c>
      <c r="AB142" s="47">
        <f>cOutputs!AB127</f>
        <v>49443.888446017678</v>
      </c>
      <c r="AC142" s="47">
        <f>cOutputs!AC127</f>
        <v>99519.802998031664</v>
      </c>
      <c r="AD142" s="47">
        <f>cOutputs!AD127</f>
        <v>150136.28188770232</v>
      </c>
      <c r="AE142" s="47">
        <f>cOutputs!AE127</f>
        <v>201299.16045135373</v>
      </c>
      <c r="AF142" s="47">
        <f>cOutputs!AF127</f>
        <v>252963.6358636684</v>
      </c>
      <c r="AG142" s="47">
        <f>cOutputs!AG127</f>
        <v>305134.62574080966</v>
      </c>
      <c r="AH142" s="47">
        <f>cOutputs!AH127</f>
        <v>357817.09591086407</v>
      </c>
      <c r="AI142" s="47">
        <f>cOutputs!AI127</f>
        <v>411016.06088650727</v>
      </c>
      <c r="AJ142" s="47">
        <f>cOutputs!AJ127</f>
        <v>464736.58434230386</v>
      </c>
      <c r="AK142" s="47">
        <f>cOutputs!AK127</f>
        <v>518983.77959668665</v>
      </c>
      <c r="AL142" s="47">
        <f>cOutputs!AL127</f>
        <v>573762.81009866146</v>
      </c>
      <c r="AM142" s="47">
        <f>cOutputs!AM127</f>
        <v>629078.8899192831</v>
      </c>
      <c r="AN142" s="47">
        <f>cOutputs!AN127</f>
        <v>684937.28424795007</v>
      </c>
      <c r="AO142" s="47">
        <f>cOutputs!AO127</f>
        <v>741343.30989356467</v>
      </c>
      <c r="AP142" s="47">
        <f>cOutputs!AP127</f>
        <v>798302.33579060691</v>
      </c>
      <c r="AQ142" s="47">
        <f>cOutputs!AQ127</f>
        <v>855819.78351016913</v>
      </c>
      <c r="AR142" s="47">
        <f>cOutputs!AR127</f>
        <v>913901.12777600158</v>
      </c>
      <c r="AS142" s="47">
        <f>cOutputs!AS127</f>
        <v>972551.89698561677</v>
      </c>
      <c r="AT142" s="47">
        <f>cOutputs!AT127</f>
        <v>1031777.6737365026</v>
      </c>
      <c r="AU142" s="47">
        <f>cOutputs!AU127</f>
        <v>1091584.0953574954</v>
      </c>
      <c r="AV142" s="47">
        <f>cOutputs!AV127</f>
        <v>1151976.8544453604</v>
      </c>
      <c r="AW142" s="47">
        <f>cOutputs!AW127</f>
        <v>1212961.6994066359</v>
      </c>
      <c r="AX142" s="47">
        <f>cOutputs!AX127</f>
        <v>1274544.4350047868</v>
      </c>
      <c r="AY142" s="47">
        <f>cOutputs!AY127</f>
        <v>1336730.9229127234</v>
      </c>
      <c r="AZ142" s="47">
        <f>cOutputs!AZ127</f>
        <v>1399527.0822707377</v>
      </c>
      <c r="BA142" s="47">
        <f>cOutputs!BA127</f>
        <v>1462938.8902499091</v>
      </c>
      <c r="BB142" s="47">
        <f>cOutputs!BB127</f>
        <v>1526972.3826210331</v>
      </c>
      <c r="BC142" s="47">
        <f>cOutputs!BC127</f>
        <v>1591633.654329129</v>
      </c>
      <c r="BD142" s="47">
        <f>cOutputs!BD127</f>
        <v>1656928.8600735788</v>
      </c>
      <c r="BE142" s="47">
        <f>cOutputs!BE127</f>
        <v>1722864.2148939546</v>
      </c>
      <c r="BG142" s="47">
        <f>cOutputs!BG127</f>
        <v>0</v>
      </c>
      <c r="BH142" s="47">
        <f>cOutputs!BH127</f>
        <v>252963.6358636684</v>
      </c>
      <c r="BI142" s="47">
        <f>cOutputs!BI127</f>
        <v>518983.77959668665</v>
      </c>
      <c r="BJ142" s="47">
        <f>cOutputs!BJ127</f>
        <v>798302.33579060691</v>
      </c>
      <c r="BK142" s="47">
        <f>cOutputs!BK127</f>
        <v>1091584.0953574954</v>
      </c>
      <c r="BL142" s="47">
        <f>cOutputs!BL127</f>
        <v>1399527.0822707377</v>
      </c>
      <c r="BM142" s="47">
        <f>cOutputs!BM127</f>
        <v>1722864.2148939546</v>
      </c>
    </row>
    <row r="143" spans="1:65" outlineLevel="1">
      <c r="F143" s="18" t="s">
        <v>245</v>
      </c>
      <c r="G143" s="17" t="str">
        <f t="shared" si="30"/>
        <v>£ Real</v>
      </c>
      <c r="AA143" s="47">
        <f>cOutputs!AA128</f>
        <v>0</v>
      </c>
      <c r="AB143" s="47">
        <f>cOutputs!AB128</f>
        <v>0</v>
      </c>
      <c r="AC143" s="47">
        <f>cOutputs!AC128</f>
        <v>0</v>
      </c>
      <c r="AD143" s="47">
        <f>cOutputs!AD128</f>
        <v>0</v>
      </c>
      <c r="AE143" s="47">
        <f>cOutputs!AE128</f>
        <v>0</v>
      </c>
      <c r="AF143" s="47">
        <f>cOutputs!AF128</f>
        <v>0</v>
      </c>
      <c r="AG143" s="47">
        <f>cOutputs!AG128</f>
        <v>0</v>
      </c>
      <c r="AH143" s="47">
        <f>cOutputs!AH128</f>
        <v>0</v>
      </c>
      <c r="AI143" s="47">
        <f>cOutputs!AI128</f>
        <v>0</v>
      </c>
      <c r="AJ143" s="47">
        <f>cOutputs!AJ128</f>
        <v>0</v>
      </c>
      <c r="AK143" s="47">
        <f>cOutputs!AK128</f>
        <v>0</v>
      </c>
      <c r="AL143" s="47">
        <f>cOutputs!AL128</f>
        <v>0</v>
      </c>
      <c r="AM143" s="47">
        <f>cOutputs!AM128</f>
        <v>0</v>
      </c>
      <c r="AN143" s="47">
        <f>cOutputs!AN128</f>
        <v>0</v>
      </c>
      <c r="AO143" s="47">
        <f>cOutputs!AO128</f>
        <v>0</v>
      </c>
      <c r="AP143" s="47">
        <f>cOutputs!AP128</f>
        <v>0</v>
      </c>
      <c r="AQ143" s="47">
        <f>cOutputs!AQ128</f>
        <v>0</v>
      </c>
      <c r="AR143" s="47">
        <f>cOutputs!AR128</f>
        <v>0</v>
      </c>
      <c r="AS143" s="47">
        <f>cOutputs!AS128</f>
        <v>0</v>
      </c>
      <c r="AT143" s="47">
        <f>cOutputs!AT128</f>
        <v>0</v>
      </c>
      <c r="AU143" s="47">
        <f>cOutputs!AU128</f>
        <v>0</v>
      </c>
      <c r="AV143" s="47">
        <f>cOutputs!AV128</f>
        <v>0</v>
      </c>
      <c r="AW143" s="47">
        <f>cOutputs!AW128</f>
        <v>0</v>
      </c>
      <c r="AX143" s="47">
        <f>cOutputs!AX128</f>
        <v>0</v>
      </c>
      <c r="AY143" s="47">
        <f>cOutputs!AY128</f>
        <v>0</v>
      </c>
      <c r="AZ143" s="47">
        <f>cOutputs!AZ128</f>
        <v>0</v>
      </c>
      <c r="BA143" s="47">
        <f>cOutputs!BA128</f>
        <v>0</v>
      </c>
      <c r="BB143" s="47">
        <f>cOutputs!BB128</f>
        <v>0</v>
      </c>
      <c r="BC143" s="47">
        <f>cOutputs!BC128</f>
        <v>0</v>
      </c>
      <c r="BD143" s="47">
        <f>cOutputs!BD128</f>
        <v>0</v>
      </c>
      <c r="BE143" s="47">
        <f>cOutputs!BE128</f>
        <v>0</v>
      </c>
      <c r="BG143" s="47">
        <f>cOutputs!BG128</f>
        <v>0</v>
      </c>
      <c r="BH143" s="47">
        <f>cOutputs!BH128</f>
        <v>0</v>
      </c>
      <c r="BI143" s="47">
        <f>cOutputs!BI128</f>
        <v>0</v>
      </c>
      <c r="BJ143" s="47">
        <f>cOutputs!BJ128</f>
        <v>0</v>
      </c>
      <c r="BK143" s="47">
        <f>cOutputs!BK128</f>
        <v>0</v>
      </c>
      <c r="BL143" s="47">
        <f>cOutputs!BL128</f>
        <v>0</v>
      </c>
      <c r="BM143" s="47">
        <f>cOutputs!BM128</f>
        <v>0</v>
      </c>
    </row>
    <row r="144" spans="1:65" outlineLevel="1">
      <c r="F144" s="18"/>
      <c r="G144" s="17"/>
    </row>
    <row r="145" spans="1:66" outlineLevel="1">
      <c r="A145" s="19">
        <f>SUM(C145:BM145)</f>
        <v>0</v>
      </c>
      <c r="F145" s="27" t="s">
        <v>329</v>
      </c>
      <c r="G145" s="17"/>
      <c r="AA145" s="19">
        <f t="shared" ref="AA145:BE145" si="31">IF(ABS(SUM(AA139:AA143)-AA138)&lt;eTol,0,1)</f>
        <v>0</v>
      </c>
      <c r="AB145" s="19">
        <f t="shared" si="31"/>
        <v>0</v>
      </c>
      <c r="AC145" s="19">
        <f t="shared" si="31"/>
        <v>0</v>
      </c>
      <c r="AD145" s="19">
        <f t="shared" si="31"/>
        <v>0</v>
      </c>
      <c r="AE145" s="19">
        <f t="shared" si="31"/>
        <v>0</v>
      </c>
      <c r="AF145" s="19">
        <f t="shared" si="31"/>
        <v>0</v>
      </c>
      <c r="AG145" s="19">
        <f t="shared" si="31"/>
        <v>0</v>
      </c>
      <c r="AH145" s="19">
        <f t="shared" si="31"/>
        <v>0</v>
      </c>
      <c r="AI145" s="19">
        <f t="shared" si="31"/>
        <v>0</v>
      </c>
      <c r="AJ145" s="19">
        <f t="shared" si="31"/>
        <v>0</v>
      </c>
      <c r="AK145" s="19">
        <f t="shared" si="31"/>
        <v>0</v>
      </c>
      <c r="AL145" s="19">
        <f t="shared" si="31"/>
        <v>0</v>
      </c>
      <c r="AM145" s="19">
        <f t="shared" si="31"/>
        <v>0</v>
      </c>
      <c r="AN145" s="19">
        <f t="shared" si="31"/>
        <v>0</v>
      </c>
      <c r="AO145" s="19">
        <f t="shared" si="31"/>
        <v>0</v>
      </c>
      <c r="AP145" s="19">
        <f t="shared" si="31"/>
        <v>0</v>
      </c>
      <c r="AQ145" s="19">
        <f t="shared" si="31"/>
        <v>0</v>
      </c>
      <c r="AR145" s="19">
        <f t="shared" si="31"/>
        <v>0</v>
      </c>
      <c r="AS145" s="19">
        <f t="shared" si="31"/>
        <v>0</v>
      </c>
      <c r="AT145" s="19">
        <f t="shared" si="31"/>
        <v>0</v>
      </c>
      <c r="AU145" s="19">
        <f t="shared" si="31"/>
        <v>0</v>
      </c>
      <c r="AV145" s="19">
        <f t="shared" si="31"/>
        <v>0</v>
      </c>
      <c r="AW145" s="19">
        <f t="shared" si="31"/>
        <v>0</v>
      </c>
      <c r="AX145" s="19">
        <f t="shared" si="31"/>
        <v>0</v>
      </c>
      <c r="AY145" s="19">
        <f t="shared" si="31"/>
        <v>0</v>
      </c>
      <c r="AZ145" s="19">
        <f t="shared" si="31"/>
        <v>0</v>
      </c>
      <c r="BA145" s="19">
        <f t="shared" si="31"/>
        <v>0</v>
      </c>
      <c r="BB145" s="19">
        <f t="shared" si="31"/>
        <v>0</v>
      </c>
      <c r="BC145" s="19">
        <f t="shared" si="31"/>
        <v>0</v>
      </c>
      <c r="BD145" s="19">
        <f t="shared" si="31"/>
        <v>0</v>
      </c>
      <c r="BE145" s="19">
        <f t="shared" si="31"/>
        <v>0</v>
      </c>
      <c r="BG145" s="19">
        <f t="shared" ref="BG145:BM145" si="32">IF(ABS(SUM(BG139:BG143)-BG138)&lt;eTol,0,1)</f>
        <v>0</v>
      </c>
      <c r="BH145" s="19">
        <f t="shared" si="32"/>
        <v>0</v>
      </c>
      <c r="BI145" s="19">
        <f t="shared" si="32"/>
        <v>0</v>
      </c>
      <c r="BJ145" s="19">
        <f t="shared" si="32"/>
        <v>0</v>
      </c>
      <c r="BK145" s="19">
        <f t="shared" si="32"/>
        <v>0</v>
      </c>
      <c r="BL145" s="19">
        <f t="shared" si="32"/>
        <v>0</v>
      </c>
      <c r="BM145" s="19">
        <f t="shared" si="32"/>
        <v>0</v>
      </c>
    </row>
    <row r="146" spans="1:66">
      <c r="F146" s="18"/>
      <c r="G146" s="17"/>
    </row>
    <row r="147" spans="1:66">
      <c r="F147" s="37" t="s">
        <v>255</v>
      </c>
      <c r="G147" s="17" t="str">
        <f t="shared" ref="G147:G152" si="33">cstRealUnit</f>
        <v>£ Real</v>
      </c>
      <c r="AA147" s="82">
        <f>cOutputs!AA130</f>
        <v>0</v>
      </c>
      <c r="AB147" s="82">
        <f>cOutputs!AB130</f>
        <v>2745310.9575518267</v>
      </c>
      <c r="AC147" s="82">
        <f>cOutputs!AC130</f>
        <v>5525714.3855541684</v>
      </c>
      <c r="AD147" s="82">
        <f>cOutputs!AD130</f>
        <v>8336131.9820629144</v>
      </c>
      <c r="AE147" s="82">
        <f>cOutputs!AE130</f>
        <v>11176887.746934365</v>
      </c>
      <c r="AF147" s="82">
        <f>cOutputs!AF130</f>
        <v>14045494.058520243</v>
      </c>
      <c r="AG147" s="82">
        <f>cOutputs!AG130</f>
        <v>16942223.961396176</v>
      </c>
      <c r="AH147" s="82">
        <f>cOutputs!AH130</f>
        <v>19867353.177045405</v>
      </c>
      <c r="AI147" s="82">
        <f>cOutputs!AI130</f>
        <v>22821160.130102959</v>
      </c>
      <c r="AJ147" s="82">
        <f>cOutputs!AJ130</f>
        <v>25803925.974857155</v>
      </c>
      <c r="AK147" s="82">
        <f>cOutputs!AK130</f>
        <v>28815934.622010905</v>
      </c>
      <c r="AL147" s="82">
        <f>cOutputs!AL130</f>
        <v>31857472.765705377</v>
      </c>
      <c r="AM147" s="82">
        <f>cOutputs!AM130</f>
        <v>34928829.910808615</v>
      </c>
      <c r="AN147" s="82">
        <f>cOutputs!AN130</f>
        <v>38030298.400471695</v>
      </c>
      <c r="AO147" s="82">
        <f>cOutputs!AO130</f>
        <v>41162173.443954997</v>
      </c>
      <c r="AP147" s="82">
        <f>cOutputs!AP130</f>
        <v>44324753.144727349</v>
      </c>
      <c r="AQ147" s="82">
        <f>cOutputs!AQ130</f>
        <v>47518338.528840609</v>
      </c>
      <c r="AR147" s="82">
        <f>cOutputs!AR130</f>
        <v>50743233.573582433</v>
      </c>
      <c r="AS147" s="82">
        <f>cOutputs!AS130</f>
        <v>53999745.236409962</v>
      </c>
      <c r="AT147" s="82">
        <f>cOutputs!AT130</f>
        <v>57288183.484167174</v>
      </c>
      <c r="AU147" s="82">
        <f>cOutputs!AU130</f>
        <v>60608861.322588667</v>
      </c>
      <c r="AV147" s="82">
        <f>cOutputs!AV130</f>
        <v>63962094.826092727</v>
      </c>
      <c r="AW147" s="82">
        <f>cOutputs!AW130</f>
        <v>67348203.167866439</v>
      </c>
      <c r="AX147" s="82">
        <f>cOutputs!AX130</f>
        <v>70767508.650245771</v>
      </c>
      <c r="AY147" s="82">
        <f>cOutputs!AY130</f>
        <v>74220336.735393524</v>
      </c>
      <c r="AZ147" s="82">
        <f>cOutputs!AZ130</f>
        <v>77707016.076278016</v>
      </c>
      <c r="BA147" s="82">
        <f>cOutputs!BA130</f>
        <v>81227878.547955498</v>
      </c>
      <c r="BB147" s="82">
        <f>cOutputs!BB130</f>
        <v>84783259.279159233</v>
      </c>
      <c r="BC147" s="82">
        <f>cOutputs!BC130</f>
        <v>88373496.68419829</v>
      </c>
      <c r="BD147" s="82">
        <f>cOutputs!BD130</f>
        <v>91998932.495169103</v>
      </c>
      <c r="BE147" s="82">
        <f>cOutputs!BE130</f>
        <v>95659911.794482768</v>
      </c>
      <c r="BG147" s="82">
        <f>cOutputs!BG130</f>
        <v>0</v>
      </c>
      <c r="BH147" s="82">
        <f>cOutputs!BH130</f>
        <v>14045494.058520243</v>
      </c>
      <c r="BI147" s="82">
        <f>cOutputs!BI130</f>
        <v>28815934.622010905</v>
      </c>
      <c r="BJ147" s="82">
        <f>cOutputs!BJ130</f>
        <v>44324753.144727349</v>
      </c>
      <c r="BK147" s="82">
        <f>cOutputs!BK130</f>
        <v>60608861.322588667</v>
      </c>
      <c r="BL147" s="82">
        <f>cOutputs!BL130</f>
        <v>77707016.076278016</v>
      </c>
      <c r="BM147" s="82">
        <f>cOutputs!BM130</f>
        <v>95659911.794482768</v>
      </c>
    </row>
    <row r="148" spans="1:66" outlineLevel="1">
      <c r="F148" s="18" t="s">
        <v>214</v>
      </c>
      <c r="G148" s="17" t="str">
        <f t="shared" si="33"/>
        <v>£ Real</v>
      </c>
      <c r="AA148" s="47">
        <f>cOutputs!AA131</f>
        <v>0</v>
      </c>
      <c r="AB148" s="47">
        <f>cOutputs!AB131</f>
        <v>2745310.9575518267</v>
      </c>
      <c r="AC148" s="47">
        <f>cOutputs!AC131</f>
        <v>5525714.3855541684</v>
      </c>
      <c r="AD148" s="47">
        <f>cOutputs!AD131</f>
        <v>8336131.9820629144</v>
      </c>
      <c r="AE148" s="47">
        <f>cOutputs!AE131</f>
        <v>11176887.746934365</v>
      </c>
      <c r="AF148" s="47">
        <f>cOutputs!AF131</f>
        <v>14045494.058520243</v>
      </c>
      <c r="AG148" s="47">
        <f>cOutputs!AG131</f>
        <v>16942223.961396176</v>
      </c>
      <c r="AH148" s="47">
        <f>cOutputs!AH131</f>
        <v>19867353.177045405</v>
      </c>
      <c r="AI148" s="47">
        <f>cOutputs!AI131</f>
        <v>22821160.130102959</v>
      </c>
      <c r="AJ148" s="47">
        <f>cOutputs!AJ131</f>
        <v>25803925.974857155</v>
      </c>
      <c r="AK148" s="47">
        <f>cOutputs!AK131</f>
        <v>28815934.622010905</v>
      </c>
      <c r="AL148" s="47">
        <f>cOutputs!AL131</f>
        <v>31857472.765705377</v>
      </c>
      <c r="AM148" s="47">
        <f>cOutputs!AM131</f>
        <v>34928829.910808615</v>
      </c>
      <c r="AN148" s="47">
        <f>cOutputs!AN131</f>
        <v>38030298.400471695</v>
      </c>
      <c r="AO148" s="47">
        <f>cOutputs!AO131</f>
        <v>41162173.443954997</v>
      </c>
      <c r="AP148" s="47">
        <f>cOutputs!AP131</f>
        <v>44324753.144727349</v>
      </c>
      <c r="AQ148" s="47">
        <f>cOutputs!AQ131</f>
        <v>47518338.528840609</v>
      </c>
      <c r="AR148" s="47">
        <f>cOutputs!AR131</f>
        <v>50743233.573582433</v>
      </c>
      <c r="AS148" s="47">
        <f>cOutputs!AS131</f>
        <v>53999745.236409962</v>
      </c>
      <c r="AT148" s="47">
        <f>cOutputs!AT131</f>
        <v>57288183.484167174</v>
      </c>
      <c r="AU148" s="47">
        <f>cOutputs!AU131</f>
        <v>60608861.322588667</v>
      </c>
      <c r="AV148" s="47">
        <f>cOutputs!AV131</f>
        <v>63962094.826092727</v>
      </c>
      <c r="AW148" s="47">
        <f>cOutputs!AW131</f>
        <v>67348203.167866439</v>
      </c>
      <c r="AX148" s="47">
        <f>cOutputs!AX131</f>
        <v>70767508.650245771</v>
      </c>
      <c r="AY148" s="47">
        <f>cOutputs!AY131</f>
        <v>74220336.735393524</v>
      </c>
      <c r="AZ148" s="47">
        <f>cOutputs!AZ131</f>
        <v>77707016.076278016</v>
      </c>
      <c r="BA148" s="47">
        <f>cOutputs!BA131</f>
        <v>81227878.547955498</v>
      </c>
      <c r="BB148" s="47">
        <f>cOutputs!BB131</f>
        <v>84783259.279159233</v>
      </c>
      <c r="BC148" s="47">
        <f>cOutputs!BC131</f>
        <v>88373496.68419829</v>
      </c>
      <c r="BD148" s="47">
        <f>cOutputs!BD131</f>
        <v>91998932.495169103</v>
      </c>
      <c r="BE148" s="47">
        <f>cOutputs!BE131</f>
        <v>95659911.794482768</v>
      </c>
      <c r="BG148" s="47">
        <f>cOutputs!BG131</f>
        <v>0</v>
      </c>
      <c r="BH148" s="47">
        <f>cOutputs!BH131</f>
        <v>14045494.058520243</v>
      </c>
      <c r="BI148" s="47">
        <f>cOutputs!BI131</f>
        <v>28815934.622010905</v>
      </c>
      <c r="BJ148" s="47">
        <f>cOutputs!BJ131</f>
        <v>44324753.144727349</v>
      </c>
      <c r="BK148" s="47">
        <f>cOutputs!BK131</f>
        <v>60608861.322588667</v>
      </c>
      <c r="BL148" s="47">
        <f>cOutputs!BL131</f>
        <v>77707016.076278016</v>
      </c>
      <c r="BM148" s="47">
        <f>cOutputs!BM131</f>
        <v>95659911.794482768</v>
      </c>
    </row>
    <row r="149" spans="1:66" outlineLevel="1">
      <c r="F149" s="18" t="s">
        <v>42</v>
      </c>
      <c r="G149" s="17" t="str">
        <f t="shared" si="33"/>
        <v>£ Real</v>
      </c>
      <c r="AA149" s="47">
        <f>cOutputs!AA132</f>
        <v>0</v>
      </c>
      <c r="AB149" s="47">
        <f>cOutputs!AB132</f>
        <v>0</v>
      </c>
      <c r="AC149" s="47">
        <f>cOutputs!AC132</f>
        <v>0</v>
      </c>
      <c r="AD149" s="47">
        <f>cOutputs!AD132</f>
        <v>0</v>
      </c>
      <c r="AE149" s="47">
        <f>cOutputs!AE132</f>
        <v>0</v>
      </c>
      <c r="AF149" s="47">
        <f>cOutputs!AF132</f>
        <v>0</v>
      </c>
      <c r="AG149" s="47">
        <f>cOutputs!AG132</f>
        <v>0</v>
      </c>
      <c r="AH149" s="47">
        <f>cOutputs!AH132</f>
        <v>0</v>
      </c>
      <c r="AI149" s="47">
        <f>cOutputs!AI132</f>
        <v>0</v>
      </c>
      <c r="AJ149" s="47">
        <f>cOutputs!AJ132</f>
        <v>0</v>
      </c>
      <c r="AK149" s="47">
        <f>cOutputs!AK132</f>
        <v>0</v>
      </c>
      <c r="AL149" s="47">
        <f>cOutputs!AL132</f>
        <v>0</v>
      </c>
      <c r="AM149" s="47">
        <f>cOutputs!AM132</f>
        <v>0</v>
      </c>
      <c r="AN149" s="47">
        <f>cOutputs!AN132</f>
        <v>0</v>
      </c>
      <c r="AO149" s="47">
        <f>cOutputs!AO132</f>
        <v>0</v>
      </c>
      <c r="AP149" s="47">
        <f>cOutputs!AP132</f>
        <v>0</v>
      </c>
      <c r="AQ149" s="47">
        <f>cOutputs!AQ132</f>
        <v>0</v>
      </c>
      <c r="AR149" s="47">
        <f>cOutputs!AR132</f>
        <v>0</v>
      </c>
      <c r="AS149" s="47">
        <f>cOutputs!AS132</f>
        <v>0</v>
      </c>
      <c r="AT149" s="47">
        <f>cOutputs!AT132</f>
        <v>0</v>
      </c>
      <c r="AU149" s="47">
        <f>cOutputs!AU132</f>
        <v>0</v>
      </c>
      <c r="AV149" s="47">
        <f>cOutputs!AV132</f>
        <v>0</v>
      </c>
      <c r="AW149" s="47">
        <f>cOutputs!AW132</f>
        <v>0</v>
      </c>
      <c r="AX149" s="47">
        <f>cOutputs!AX132</f>
        <v>0</v>
      </c>
      <c r="AY149" s="47">
        <f>cOutputs!AY132</f>
        <v>0</v>
      </c>
      <c r="AZ149" s="47">
        <f>cOutputs!AZ132</f>
        <v>0</v>
      </c>
      <c r="BA149" s="47">
        <f>cOutputs!BA132</f>
        <v>0</v>
      </c>
      <c r="BB149" s="47">
        <f>cOutputs!BB132</f>
        <v>0</v>
      </c>
      <c r="BC149" s="47">
        <f>cOutputs!BC132</f>
        <v>0</v>
      </c>
      <c r="BD149" s="47">
        <f>cOutputs!BD132</f>
        <v>0</v>
      </c>
      <c r="BE149" s="47">
        <f>cOutputs!BE132</f>
        <v>0</v>
      </c>
      <c r="BG149" s="47">
        <f>cOutputs!BG132</f>
        <v>0</v>
      </c>
      <c r="BH149" s="47">
        <f>cOutputs!BH132</f>
        <v>0</v>
      </c>
      <c r="BI149" s="47">
        <f>cOutputs!BI132</f>
        <v>0</v>
      </c>
      <c r="BJ149" s="47">
        <f>cOutputs!BJ132</f>
        <v>0</v>
      </c>
      <c r="BK149" s="47">
        <f>cOutputs!BK132</f>
        <v>0</v>
      </c>
      <c r="BL149" s="47">
        <f>cOutputs!BL132</f>
        <v>0</v>
      </c>
      <c r="BM149" s="47">
        <f>cOutputs!BM132</f>
        <v>0</v>
      </c>
    </row>
    <row r="150" spans="1:66" outlineLevel="1">
      <c r="F150" s="18" t="s">
        <v>227</v>
      </c>
      <c r="G150" s="17" t="str">
        <f t="shared" si="33"/>
        <v>£ Real</v>
      </c>
      <c r="AA150" s="47">
        <f>cOutputs!AA133</f>
        <v>0</v>
      </c>
      <c r="AB150" s="47">
        <f>cOutputs!AB133</f>
        <v>0</v>
      </c>
      <c r="AC150" s="47">
        <f>cOutputs!AC133</f>
        <v>0</v>
      </c>
      <c r="AD150" s="47">
        <f>cOutputs!AD133</f>
        <v>0</v>
      </c>
      <c r="AE150" s="47">
        <f>cOutputs!AE133</f>
        <v>0</v>
      </c>
      <c r="AF150" s="47">
        <f>cOutputs!AF133</f>
        <v>0</v>
      </c>
      <c r="AG150" s="47">
        <f>cOutputs!AG133</f>
        <v>0</v>
      </c>
      <c r="AH150" s="47">
        <f>cOutputs!AH133</f>
        <v>0</v>
      </c>
      <c r="AI150" s="47">
        <f>cOutputs!AI133</f>
        <v>0</v>
      </c>
      <c r="AJ150" s="47">
        <f>cOutputs!AJ133</f>
        <v>0</v>
      </c>
      <c r="AK150" s="47">
        <f>cOutputs!AK133</f>
        <v>0</v>
      </c>
      <c r="AL150" s="47">
        <f>cOutputs!AL133</f>
        <v>0</v>
      </c>
      <c r="AM150" s="47">
        <f>cOutputs!AM133</f>
        <v>0</v>
      </c>
      <c r="AN150" s="47">
        <f>cOutputs!AN133</f>
        <v>0</v>
      </c>
      <c r="AO150" s="47">
        <f>cOutputs!AO133</f>
        <v>0</v>
      </c>
      <c r="AP150" s="47">
        <f>cOutputs!AP133</f>
        <v>0</v>
      </c>
      <c r="AQ150" s="47">
        <f>cOutputs!AQ133</f>
        <v>0</v>
      </c>
      <c r="AR150" s="47">
        <f>cOutputs!AR133</f>
        <v>0</v>
      </c>
      <c r="AS150" s="47">
        <f>cOutputs!AS133</f>
        <v>0</v>
      </c>
      <c r="AT150" s="47">
        <f>cOutputs!AT133</f>
        <v>0</v>
      </c>
      <c r="AU150" s="47">
        <f>cOutputs!AU133</f>
        <v>0</v>
      </c>
      <c r="AV150" s="47">
        <f>cOutputs!AV133</f>
        <v>0</v>
      </c>
      <c r="AW150" s="47">
        <f>cOutputs!AW133</f>
        <v>0</v>
      </c>
      <c r="AX150" s="47">
        <f>cOutputs!AX133</f>
        <v>0</v>
      </c>
      <c r="AY150" s="47">
        <f>cOutputs!AY133</f>
        <v>0</v>
      </c>
      <c r="AZ150" s="47">
        <f>cOutputs!AZ133</f>
        <v>0</v>
      </c>
      <c r="BA150" s="47">
        <f>cOutputs!BA133</f>
        <v>0</v>
      </c>
      <c r="BB150" s="47">
        <f>cOutputs!BB133</f>
        <v>0</v>
      </c>
      <c r="BC150" s="47">
        <f>cOutputs!BC133</f>
        <v>0</v>
      </c>
      <c r="BD150" s="47">
        <f>cOutputs!BD133</f>
        <v>0</v>
      </c>
      <c r="BE150" s="47">
        <f>cOutputs!BE133</f>
        <v>0</v>
      </c>
      <c r="BG150" s="47">
        <f>cOutputs!BG133</f>
        <v>0</v>
      </c>
      <c r="BH150" s="47">
        <f>cOutputs!BH133</f>
        <v>0</v>
      </c>
      <c r="BI150" s="47">
        <f>cOutputs!BI133</f>
        <v>0</v>
      </c>
      <c r="BJ150" s="47">
        <f>cOutputs!BJ133</f>
        <v>0</v>
      </c>
      <c r="BK150" s="47">
        <f>cOutputs!BK133</f>
        <v>0</v>
      </c>
      <c r="BL150" s="47">
        <f>cOutputs!BL133</f>
        <v>0</v>
      </c>
      <c r="BM150" s="47">
        <f>cOutputs!BM133</f>
        <v>0</v>
      </c>
    </row>
    <row r="151" spans="1:66" outlineLevel="1">
      <c r="F151" s="18" t="s">
        <v>121</v>
      </c>
      <c r="G151" s="17" t="str">
        <f t="shared" si="33"/>
        <v>£ Real</v>
      </c>
      <c r="AA151" s="47">
        <f>cOutputs!AA134</f>
        <v>0</v>
      </c>
      <c r="AB151" s="47">
        <f>cOutputs!AB134</f>
        <v>0</v>
      </c>
      <c r="AC151" s="47">
        <f>cOutputs!AC134</f>
        <v>0</v>
      </c>
      <c r="AD151" s="47">
        <f>cOutputs!AD134</f>
        <v>0</v>
      </c>
      <c r="AE151" s="47">
        <f>cOutputs!AE134</f>
        <v>0</v>
      </c>
      <c r="AF151" s="47">
        <f>cOutputs!AF134</f>
        <v>0</v>
      </c>
      <c r="AG151" s="47">
        <f>cOutputs!AG134</f>
        <v>0</v>
      </c>
      <c r="AH151" s="47">
        <f>cOutputs!AH134</f>
        <v>0</v>
      </c>
      <c r="AI151" s="47">
        <f>cOutputs!AI134</f>
        <v>0</v>
      </c>
      <c r="AJ151" s="47">
        <f>cOutputs!AJ134</f>
        <v>0</v>
      </c>
      <c r="AK151" s="47">
        <f>cOutputs!AK134</f>
        <v>0</v>
      </c>
      <c r="AL151" s="47">
        <f>cOutputs!AL134</f>
        <v>0</v>
      </c>
      <c r="AM151" s="47">
        <f>cOutputs!AM134</f>
        <v>0</v>
      </c>
      <c r="AN151" s="47">
        <f>cOutputs!AN134</f>
        <v>0</v>
      </c>
      <c r="AO151" s="47">
        <f>cOutputs!AO134</f>
        <v>0</v>
      </c>
      <c r="AP151" s="47">
        <f>cOutputs!AP134</f>
        <v>0</v>
      </c>
      <c r="AQ151" s="47">
        <f>cOutputs!AQ134</f>
        <v>0</v>
      </c>
      <c r="AR151" s="47">
        <f>cOutputs!AR134</f>
        <v>0</v>
      </c>
      <c r="AS151" s="47">
        <f>cOutputs!AS134</f>
        <v>0</v>
      </c>
      <c r="AT151" s="47">
        <f>cOutputs!AT134</f>
        <v>0</v>
      </c>
      <c r="AU151" s="47">
        <f>cOutputs!AU134</f>
        <v>0</v>
      </c>
      <c r="AV151" s="47">
        <f>cOutputs!AV134</f>
        <v>0</v>
      </c>
      <c r="AW151" s="47">
        <f>cOutputs!AW134</f>
        <v>0</v>
      </c>
      <c r="AX151" s="47">
        <f>cOutputs!AX134</f>
        <v>0</v>
      </c>
      <c r="AY151" s="47">
        <f>cOutputs!AY134</f>
        <v>0</v>
      </c>
      <c r="AZ151" s="47">
        <f>cOutputs!AZ134</f>
        <v>0</v>
      </c>
      <c r="BA151" s="47">
        <f>cOutputs!BA134</f>
        <v>0</v>
      </c>
      <c r="BB151" s="47">
        <f>cOutputs!BB134</f>
        <v>0</v>
      </c>
      <c r="BC151" s="47">
        <f>cOutputs!BC134</f>
        <v>0</v>
      </c>
      <c r="BD151" s="47">
        <f>cOutputs!BD134</f>
        <v>0</v>
      </c>
      <c r="BE151" s="47">
        <f>cOutputs!BE134</f>
        <v>0</v>
      </c>
      <c r="BG151" s="47">
        <f>cOutputs!BG134</f>
        <v>0</v>
      </c>
      <c r="BH151" s="47">
        <f>cOutputs!BH134</f>
        <v>0</v>
      </c>
      <c r="BI151" s="47">
        <f>cOutputs!BI134</f>
        <v>0</v>
      </c>
      <c r="BJ151" s="47">
        <f>cOutputs!BJ134</f>
        <v>0</v>
      </c>
      <c r="BK151" s="47">
        <f>cOutputs!BK134</f>
        <v>0</v>
      </c>
      <c r="BL151" s="47">
        <f>cOutputs!BL134</f>
        <v>0</v>
      </c>
      <c r="BM151" s="47">
        <f>cOutputs!BM134</f>
        <v>0</v>
      </c>
    </row>
    <row r="152" spans="1:66" outlineLevel="1">
      <c r="F152" s="18" t="s">
        <v>245</v>
      </c>
      <c r="G152" s="17" t="str">
        <f t="shared" si="33"/>
        <v>£ Real</v>
      </c>
      <c r="AA152" s="47">
        <f>cOutputs!AA135</f>
        <v>0</v>
      </c>
      <c r="AB152" s="47">
        <f>cOutputs!AB135</f>
        <v>0</v>
      </c>
      <c r="AC152" s="47">
        <f>cOutputs!AC135</f>
        <v>0</v>
      </c>
      <c r="AD152" s="47">
        <f>cOutputs!AD135</f>
        <v>0</v>
      </c>
      <c r="AE152" s="47">
        <f>cOutputs!AE135</f>
        <v>0</v>
      </c>
      <c r="AF152" s="47">
        <f>cOutputs!AF135</f>
        <v>0</v>
      </c>
      <c r="AG152" s="47">
        <f>cOutputs!AG135</f>
        <v>0</v>
      </c>
      <c r="AH152" s="47">
        <f>cOutputs!AH135</f>
        <v>0</v>
      </c>
      <c r="AI152" s="47">
        <f>cOutputs!AI135</f>
        <v>0</v>
      </c>
      <c r="AJ152" s="47">
        <f>cOutputs!AJ135</f>
        <v>0</v>
      </c>
      <c r="AK152" s="47">
        <f>cOutputs!AK135</f>
        <v>0</v>
      </c>
      <c r="AL152" s="47">
        <f>cOutputs!AL135</f>
        <v>0</v>
      </c>
      <c r="AM152" s="47">
        <f>cOutputs!AM135</f>
        <v>0</v>
      </c>
      <c r="AN152" s="47">
        <f>cOutputs!AN135</f>
        <v>0</v>
      </c>
      <c r="AO152" s="47">
        <f>cOutputs!AO135</f>
        <v>0</v>
      </c>
      <c r="AP152" s="47">
        <f>cOutputs!AP135</f>
        <v>0</v>
      </c>
      <c r="AQ152" s="47">
        <f>cOutputs!AQ135</f>
        <v>0</v>
      </c>
      <c r="AR152" s="47">
        <f>cOutputs!AR135</f>
        <v>0</v>
      </c>
      <c r="AS152" s="47">
        <f>cOutputs!AS135</f>
        <v>0</v>
      </c>
      <c r="AT152" s="47">
        <f>cOutputs!AT135</f>
        <v>0</v>
      </c>
      <c r="AU152" s="47">
        <f>cOutputs!AU135</f>
        <v>0</v>
      </c>
      <c r="AV152" s="47">
        <f>cOutputs!AV135</f>
        <v>0</v>
      </c>
      <c r="AW152" s="47">
        <f>cOutputs!AW135</f>
        <v>0</v>
      </c>
      <c r="AX152" s="47">
        <f>cOutputs!AX135</f>
        <v>0</v>
      </c>
      <c r="AY152" s="47">
        <f>cOutputs!AY135</f>
        <v>0</v>
      </c>
      <c r="AZ152" s="47">
        <f>cOutputs!AZ135</f>
        <v>0</v>
      </c>
      <c r="BA152" s="47">
        <f>cOutputs!BA135</f>
        <v>0</v>
      </c>
      <c r="BB152" s="47">
        <f>cOutputs!BB135</f>
        <v>0</v>
      </c>
      <c r="BC152" s="47">
        <f>cOutputs!BC135</f>
        <v>0</v>
      </c>
      <c r="BD152" s="47">
        <f>cOutputs!BD135</f>
        <v>0</v>
      </c>
      <c r="BE152" s="47">
        <f>cOutputs!BE135</f>
        <v>0</v>
      </c>
      <c r="BG152" s="47">
        <f>cOutputs!BG135</f>
        <v>0</v>
      </c>
      <c r="BH152" s="47">
        <f>cOutputs!BH135</f>
        <v>0</v>
      </c>
      <c r="BI152" s="47">
        <f>cOutputs!BI135</f>
        <v>0</v>
      </c>
      <c r="BJ152" s="47">
        <f>cOutputs!BJ135</f>
        <v>0</v>
      </c>
      <c r="BK152" s="47">
        <f>cOutputs!BK135</f>
        <v>0</v>
      </c>
      <c r="BL152" s="47">
        <f>cOutputs!BL135</f>
        <v>0</v>
      </c>
      <c r="BM152" s="47">
        <f>cOutputs!BM135</f>
        <v>0</v>
      </c>
    </row>
    <row r="153" spans="1:66" outlineLevel="1">
      <c r="F153" s="18"/>
      <c r="G153" s="17"/>
    </row>
    <row r="154" spans="1:66" outlineLevel="1">
      <c r="A154" s="19">
        <f>SUM(C154:BM154)</f>
        <v>0</v>
      </c>
      <c r="F154" s="27" t="s">
        <v>329</v>
      </c>
      <c r="G154" s="17"/>
      <c r="AA154" s="19">
        <f t="shared" ref="AA154:BE154" si="34">IF(ABS(SUM(AA148:AA152)-AA147)&lt;eTol,0,1)</f>
        <v>0</v>
      </c>
      <c r="AB154" s="19">
        <f t="shared" si="34"/>
        <v>0</v>
      </c>
      <c r="AC154" s="19">
        <f t="shared" si="34"/>
        <v>0</v>
      </c>
      <c r="AD154" s="19">
        <f t="shared" si="34"/>
        <v>0</v>
      </c>
      <c r="AE154" s="19">
        <f t="shared" si="34"/>
        <v>0</v>
      </c>
      <c r="AF154" s="19">
        <f t="shared" si="34"/>
        <v>0</v>
      </c>
      <c r="AG154" s="19">
        <f t="shared" si="34"/>
        <v>0</v>
      </c>
      <c r="AH154" s="19">
        <f t="shared" si="34"/>
        <v>0</v>
      </c>
      <c r="AI154" s="19">
        <f t="shared" si="34"/>
        <v>0</v>
      </c>
      <c r="AJ154" s="19">
        <f t="shared" si="34"/>
        <v>0</v>
      </c>
      <c r="AK154" s="19">
        <f t="shared" si="34"/>
        <v>0</v>
      </c>
      <c r="AL154" s="19">
        <f t="shared" si="34"/>
        <v>0</v>
      </c>
      <c r="AM154" s="19">
        <f t="shared" si="34"/>
        <v>0</v>
      </c>
      <c r="AN154" s="19">
        <f t="shared" si="34"/>
        <v>0</v>
      </c>
      <c r="AO154" s="19">
        <f t="shared" si="34"/>
        <v>0</v>
      </c>
      <c r="AP154" s="19">
        <f t="shared" si="34"/>
        <v>0</v>
      </c>
      <c r="AQ154" s="19">
        <f t="shared" si="34"/>
        <v>0</v>
      </c>
      <c r="AR154" s="19">
        <f t="shared" si="34"/>
        <v>0</v>
      </c>
      <c r="AS154" s="19">
        <f t="shared" si="34"/>
        <v>0</v>
      </c>
      <c r="AT154" s="19">
        <f t="shared" si="34"/>
        <v>0</v>
      </c>
      <c r="AU154" s="19">
        <f t="shared" si="34"/>
        <v>0</v>
      </c>
      <c r="AV154" s="19">
        <f t="shared" si="34"/>
        <v>0</v>
      </c>
      <c r="AW154" s="19">
        <f t="shared" si="34"/>
        <v>0</v>
      </c>
      <c r="AX154" s="19">
        <f t="shared" si="34"/>
        <v>0</v>
      </c>
      <c r="AY154" s="19">
        <f t="shared" si="34"/>
        <v>0</v>
      </c>
      <c r="AZ154" s="19">
        <f t="shared" si="34"/>
        <v>0</v>
      </c>
      <c r="BA154" s="19">
        <f t="shared" si="34"/>
        <v>0</v>
      </c>
      <c r="BB154" s="19">
        <f t="shared" si="34"/>
        <v>0</v>
      </c>
      <c r="BC154" s="19">
        <f t="shared" si="34"/>
        <v>0</v>
      </c>
      <c r="BD154" s="19">
        <f t="shared" si="34"/>
        <v>0</v>
      </c>
      <c r="BE154" s="19">
        <f t="shared" si="34"/>
        <v>0</v>
      </c>
      <c r="BG154" s="19">
        <f t="shared" ref="BG154:BM154" si="35">IF(ABS(SUM(BG148:BG152)-BG147)&lt;eTol,0,1)</f>
        <v>0</v>
      </c>
      <c r="BH154" s="19">
        <f t="shared" si="35"/>
        <v>0</v>
      </c>
      <c r="BI154" s="19">
        <f t="shared" si="35"/>
        <v>0</v>
      </c>
      <c r="BJ154" s="19">
        <f t="shared" si="35"/>
        <v>0</v>
      </c>
      <c r="BK154" s="19">
        <f t="shared" si="35"/>
        <v>0</v>
      </c>
      <c r="BL154" s="19">
        <f t="shared" si="35"/>
        <v>0</v>
      </c>
      <c r="BM154" s="19">
        <f t="shared" si="35"/>
        <v>0</v>
      </c>
    </row>
    <row r="155" spans="1:66">
      <c r="F155" s="18"/>
      <c r="G155" s="17"/>
    </row>
    <row r="156" spans="1:66" ht="14" thickBot="1">
      <c r="A156" s="25"/>
      <c r="B156" s="25"/>
      <c r="C156" s="25"/>
      <c r="D156" s="25"/>
      <c r="E156" s="25" t="s">
        <v>413</v>
      </c>
      <c r="F156" s="25" t="s">
        <v>257</v>
      </c>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25"/>
      <c r="AG156" s="25"/>
      <c r="AH156" s="25"/>
      <c r="AI156" s="25"/>
      <c r="AJ156" s="25"/>
      <c r="AK156" s="25"/>
      <c r="AL156" s="25"/>
      <c r="AM156" s="25"/>
      <c r="AN156" s="25"/>
      <c r="AO156" s="25"/>
      <c r="AP156" s="25"/>
      <c r="AQ156" s="25"/>
      <c r="AR156" s="25"/>
      <c r="AS156" s="25"/>
      <c r="AT156" s="25"/>
      <c r="AU156" s="25"/>
      <c r="AV156" s="25"/>
      <c r="AW156" s="25"/>
      <c r="AX156" s="25"/>
      <c r="AY156" s="25"/>
      <c r="AZ156" s="25"/>
      <c r="BA156" s="25"/>
      <c r="BB156" s="25"/>
      <c r="BC156" s="25"/>
      <c r="BD156" s="25"/>
      <c r="BE156" s="25"/>
      <c r="BF156" s="25"/>
      <c r="BG156" s="25"/>
      <c r="BH156" s="25"/>
      <c r="BI156" s="25"/>
      <c r="BJ156" s="25"/>
      <c r="BK156" s="25"/>
      <c r="BL156" s="25"/>
      <c r="BM156" s="25"/>
      <c r="BN156" s="25"/>
    </row>
    <row r="157" spans="1:66">
      <c r="F157" s="18"/>
      <c r="G157" s="17"/>
    </row>
    <row r="158" spans="1:66" ht="13">
      <c r="F158" s="26" t="s">
        <v>251</v>
      </c>
      <c r="G158" s="17"/>
    </row>
    <row r="159" spans="1:66">
      <c r="F159" s="18"/>
      <c r="G159" s="17"/>
    </row>
    <row r="160" spans="1:66">
      <c r="F160" s="81" t="s">
        <v>252</v>
      </c>
      <c r="G160" s="17" t="str">
        <f>cstRealUnit</f>
        <v>£ Real</v>
      </c>
      <c r="I160" s="48">
        <f>cOutputs!I145</f>
        <v>29.714263213570884</v>
      </c>
      <c r="AA160" s="39"/>
      <c r="AB160" s="39"/>
      <c r="AC160" s="39"/>
      <c r="AD160" s="39"/>
      <c r="AE160" s="39"/>
      <c r="AF160" s="39"/>
      <c r="AG160" s="39"/>
      <c r="AH160" s="39"/>
      <c r="AI160" s="39"/>
      <c r="AJ160" s="39"/>
      <c r="AK160" s="39"/>
      <c r="AL160" s="39"/>
      <c r="AM160" s="39"/>
      <c r="AN160" s="39"/>
      <c r="AO160" s="39"/>
      <c r="AP160" s="39"/>
      <c r="AQ160" s="39"/>
      <c r="AR160" s="39"/>
      <c r="AS160" s="39"/>
      <c r="AT160" s="39"/>
      <c r="AU160" s="39"/>
      <c r="AV160" s="39"/>
      <c r="AW160" s="39"/>
      <c r="AX160" s="39"/>
      <c r="AY160" s="39"/>
      <c r="AZ160" s="39"/>
      <c r="BA160" s="39"/>
      <c r="BB160" s="39"/>
      <c r="BC160" s="39"/>
      <c r="BD160" s="39"/>
      <c r="BE160" s="39"/>
      <c r="BG160" s="39"/>
      <c r="BH160" s="39"/>
      <c r="BI160" s="39"/>
      <c r="BJ160" s="39"/>
      <c r="BK160" s="39"/>
      <c r="BL160" s="39"/>
      <c r="BM160" s="39"/>
    </row>
    <row r="162" spans="1:66">
      <c r="F162" s="81" t="s">
        <v>253</v>
      </c>
      <c r="G162" s="17" t="str">
        <f>cstRealUnit</f>
        <v>£ Real</v>
      </c>
      <c r="I162" s="48">
        <f>cOutputs!I147</f>
        <v>28.830436990124678</v>
      </c>
      <c r="AA162" s="39"/>
      <c r="AB162" s="39"/>
      <c r="AC162" s="39"/>
      <c r="AD162" s="39"/>
      <c r="AE162" s="39"/>
      <c r="AF162" s="39"/>
      <c r="AG162" s="39"/>
      <c r="AH162" s="39"/>
      <c r="AI162" s="39"/>
      <c r="AJ162" s="39"/>
      <c r="AK162" s="39"/>
      <c r="AL162" s="39"/>
      <c r="AM162" s="39"/>
      <c r="AN162" s="39"/>
      <c r="AO162" s="39"/>
      <c r="AP162" s="39"/>
      <c r="AQ162" s="39"/>
      <c r="AR162" s="39"/>
      <c r="AS162" s="39"/>
      <c r="AT162" s="39"/>
      <c r="AU162" s="39"/>
      <c r="AV162" s="39"/>
      <c r="AW162" s="39"/>
      <c r="AX162" s="39"/>
      <c r="AY162" s="39"/>
      <c r="AZ162" s="39"/>
      <c r="BA162" s="39"/>
      <c r="BB162" s="39"/>
      <c r="BC162" s="39"/>
      <c r="BD162" s="39"/>
      <c r="BE162" s="39"/>
      <c r="BG162" s="39"/>
      <c r="BH162" s="39"/>
      <c r="BI162" s="39"/>
      <c r="BJ162" s="39"/>
      <c r="BK162" s="39"/>
      <c r="BL162" s="39"/>
      <c r="BM162" s="39"/>
    </row>
    <row r="164" spans="1:66">
      <c r="F164" s="81" t="s">
        <v>255</v>
      </c>
      <c r="G164" s="17" t="str">
        <f>cstRealUnit</f>
        <v>£ Real</v>
      </c>
      <c r="I164" s="48">
        <f>cOutputs!I149</f>
        <v>35.429596960919547</v>
      </c>
      <c r="AA164" s="39"/>
      <c r="AB164" s="39"/>
      <c r="AC164" s="39"/>
      <c r="AD164" s="39"/>
      <c r="AE164" s="39"/>
      <c r="AF164" s="39"/>
      <c r="AG164" s="39"/>
      <c r="AH164" s="39"/>
      <c r="AI164" s="39"/>
      <c r="AJ164" s="39"/>
      <c r="AK164" s="39"/>
      <c r="AL164" s="39"/>
      <c r="AM164" s="39"/>
      <c r="AN164" s="39"/>
      <c r="AO164" s="39"/>
      <c r="AP164" s="39"/>
      <c r="AQ164" s="39"/>
      <c r="AR164" s="39"/>
      <c r="AS164" s="39"/>
      <c r="AT164" s="39"/>
      <c r="AU164" s="39"/>
      <c r="AV164" s="39"/>
      <c r="AW164" s="39"/>
      <c r="AX164" s="39"/>
      <c r="AY164" s="39"/>
      <c r="AZ164" s="39"/>
      <c r="BA164" s="39"/>
      <c r="BB164" s="39"/>
      <c r="BC164" s="39"/>
      <c r="BD164" s="39"/>
      <c r="BE164" s="39"/>
      <c r="BG164" s="39"/>
      <c r="BH164" s="39"/>
      <c r="BI164" s="39"/>
      <c r="BJ164" s="39"/>
      <c r="BK164" s="39"/>
      <c r="BL164" s="39"/>
      <c r="BM164" s="39"/>
    </row>
    <row r="165" spans="1:66">
      <c r="F165" s="18"/>
      <c r="G165" s="17"/>
    </row>
    <row r="166" spans="1:66" ht="16">
      <c r="A166" s="24"/>
      <c r="B166" s="24"/>
      <c r="C166" s="24"/>
      <c r="D166" s="24">
        <v>4</v>
      </c>
      <c r="E166" s="24" t="s">
        <v>282</v>
      </c>
      <c r="F166" s="24"/>
      <c r="G166" s="24"/>
      <c r="H166" s="24"/>
      <c r="I166" s="24"/>
      <c r="J166" s="24"/>
      <c r="K166" s="24"/>
      <c r="L166" s="24"/>
      <c r="M166" s="24"/>
      <c r="N166" s="24"/>
      <c r="O166" s="24"/>
      <c r="P166" s="24"/>
      <c r="Q166" s="24"/>
      <c r="R166" s="24"/>
      <c r="S166" s="24"/>
      <c r="T166" s="24"/>
      <c r="U166" s="24"/>
      <c r="V166" s="24"/>
      <c r="W166" s="24"/>
      <c r="X166" s="24"/>
      <c r="Y166" s="24"/>
      <c r="Z166" s="24"/>
      <c r="AA166" s="24"/>
      <c r="AB166" s="24"/>
      <c r="AC166" s="24"/>
      <c r="AD166" s="24"/>
      <c r="AE166" s="24"/>
      <c r="AF166" s="24"/>
      <c r="AG166" s="24"/>
      <c r="AH166" s="24"/>
      <c r="AI166" s="24"/>
      <c r="AJ166" s="24"/>
      <c r="AK166" s="24"/>
      <c r="AL166" s="24"/>
      <c r="AM166" s="24"/>
      <c r="AN166" s="24"/>
      <c r="AO166" s="24"/>
      <c r="AP166" s="24"/>
      <c r="AQ166" s="24"/>
      <c r="AR166" s="24"/>
      <c r="AS166" s="24"/>
      <c r="AT166" s="24"/>
      <c r="AU166" s="24"/>
      <c r="AV166" s="24"/>
      <c r="AW166" s="24"/>
      <c r="AX166" s="24"/>
      <c r="AY166" s="24"/>
      <c r="AZ166" s="24"/>
      <c r="BA166" s="24"/>
      <c r="BB166" s="24"/>
      <c r="BC166" s="24"/>
      <c r="BD166" s="24"/>
      <c r="BE166" s="24"/>
      <c r="BF166" s="24"/>
      <c r="BG166" s="24"/>
      <c r="BH166" s="24"/>
      <c r="BI166" s="24"/>
      <c r="BJ166" s="24"/>
      <c r="BK166" s="24"/>
      <c r="BL166" s="24"/>
      <c r="BM166" s="24"/>
      <c r="BN166" s="24"/>
    </row>
    <row r="167" spans="1:66">
      <c r="F167" s="18"/>
      <c r="G167" s="17"/>
    </row>
    <row r="168" spans="1:66" ht="14" thickBot="1">
      <c r="A168" s="25"/>
      <c r="B168" s="25"/>
      <c r="C168" s="25"/>
      <c r="D168" s="25"/>
      <c r="E168" s="25" t="s">
        <v>391</v>
      </c>
      <c r="F168" s="25" t="s">
        <v>281</v>
      </c>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25"/>
      <c r="AG168" s="25"/>
      <c r="AH168" s="25"/>
      <c r="AI168" s="25"/>
      <c r="AJ168" s="25"/>
      <c r="AK168" s="25"/>
      <c r="AL168" s="25"/>
      <c r="AM168" s="25"/>
      <c r="AN168" s="25"/>
      <c r="AO168" s="25"/>
      <c r="AP168" s="25"/>
      <c r="AQ168" s="25"/>
      <c r="AR168" s="25"/>
      <c r="AS168" s="25"/>
      <c r="AT168" s="25"/>
      <c r="AU168" s="25"/>
      <c r="AV168" s="25"/>
      <c r="AW168" s="25"/>
      <c r="AX168" s="25"/>
      <c r="AY168" s="25"/>
      <c r="AZ168" s="25"/>
      <c r="BA168" s="25"/>
      <c r="BB168" s="25"/>
      <c r="BC168" s="25"/>
      <c r="BD168" s="25"/>
      <c r="BE168" s="25"/>
      <c r="BF168" s="25"/>
      <c r="BG168" s="25"/>
      <c r="BH168" s="25"/>
      <c r="BI168" s="25"/>
      <c r="BJ168" s="25"/>
      <c r="BK168" s="25"/>
      <c r="BL168" s="25"/>
      <c r="BM168" s="25"/>
      <c r="BN168" s="25"/>
    </row>
    <row r="169" spans="1:66">
      <c r="F169" s="18"/>
      <c r="G169" s="17"/>
    </row>
    <row r="170" spans="1:66" ht="13">
      <c r="F170" s="26" t="s">
        <v>251</v>
      </c>
      <c r="G170" s="17"/>
    </row>
    <row r="171" spans="1:66">
      <c r="F171" s="18"/>
      <c r="G171" s="17"/>
    </row>
    <row r="172" spans="1:66">
      <c r="F172" s="81" t="s">
        <v>252</v>
      </c>
      <c r="G172" s="17" t="str">
        <f>cstConstantUnit</f>
        <v>£ 2022/23</v>
      </c>
      <c r="I172" s="47">
        <f>cOutputs!I157</f>
        <v>49904643.652402788</v>
      </c>
      <c r="AA172" s="39"/>
      <c r="AB172" s="39"/>
      <c r="AC172" s="39"/>
      <c r="AD172" s="39"/>
      <c r="AE172" s="39"/>
      <c r="AF172" s="39"/>
      <c r="AG172" s="39"/>
      <c r="AH172" s="39"/>
      <c r="AI172" s="39"/>
      <c r="AJ172" s="39"/>
      <c r="AK172" s="39"/>
      <c r="AL172" s="39"/>
      <c r="AM172" s="39"/>
      <c r="AN172" s="39"/>
      <c r="AO172" s="39"/>
      <c r="AP172" s="39"/>
      <c r="AQ172" s="39"/>
      <c r="AR172" s="39"/>
      <c r="AS172" s="39"/>
      <c r="AT172" s="39"/>
      <c r="AU172" s="39"/>
      <c r="AV172" s="39"/>
      <c r="AW172" s="39"/>
      <c r="AX172" s="39"/>
      <c r="AY172" s="39"/>
      <c r="AZ172" s="39"/>
      <c r="BA172" s="39"/>
      <c r="BB172" s="39"/>
      <c r="BC172" s="39"/>
      <c r="BD172" s="39"/>
      <c r="BE172" s="39"/>
      <c r="BG172" s="39"/>
      <c r="BH172" s="39"/>
      <c r="BI172" s="39"/>
      <c r="BJ172" s="39"/>
      <c r="BK172" s="39"/>
      <c r="BL172" s="39"/>
      <c r="BM172" s="39"/>
    </row>
    <row r="174" spans="1:66">
      <c r="F174" s="81" t="s">
        <v>253</v>
      </c>
      <c r="G174" s="17" t="str">
        <f>cstConstantUnit</f>
        <v>£ 2022/23</v>
      </c>
      <c r="I174" s="47">
        <f>cOutputs!I159</f>
        <v>47253500.669181302</v>
      </c>
      <c r="AA174" s="39"/>
      <c r="AB174" s="39"/>
      <c r="AC174" s="39"/>
      <c r="AD174" s="39"/>
      <c r="AE174" s="39"/>
      <c r="AF174" s="39"/>
      <c r="AG174" s="39"/>
      <c r="AH174" s="39"/>
      <c r="AI174" s="39"/>
      <c r="AJ174" s="39"/>
      <c r="AK174" s="39"/>
      <c r="AL174" s="39"/>
      <c r="AM174" s="39"/>
      <c r="AN174" s="39"/>
      <c r="AO174" s="39"/>
      <c r="AP174" s="39"/>
      <c r="AQ174" s="39"/>
      <c r="AR174" s="39"/>
      <c r="AS174" s="39"/>
      <c r="AT174" s="39"/>
      <c r="AU174" s="39"/>
      <c r="AV174" s="39"/>
      <c r="AW174" s="39"/>
      <c r="AX174" s="39"/>
      <c r="AY174" s="39"/>
      <c r="AZ174" s="39"/>
      <c r="BA174" s="39"/>
      <c r="BB174" s="39"/>
      <c r="BC174" s="39"/>
      <c r="BD174" s="39"/>
      <c r="BE174" s="39"/>
      <c r="BG174" s="39"/>
      <c r="BH174" s="39"/>
      <c r="BI174" s="39"/>
      <c r="BJ174" s="39"/>
      <c r="BK174" s="39"/>
      <c r="BL174" s="39"/>
      <c r="BM174" s="39"/>
    </row>
    <row r="176" spans="1:66">
      <c r="F176" s="81" t="s">
        <v>255</v>
      </c>
      <c r="G176" s="17" t="str">
        <f>cstConstantUnit</f>
        <v>£ 2022/23</v>
      </c>
      <c r="I176" s="47">
        <f>cOutputs!I161</f>
        <v>57204944.464090474</v>
      </c>
      <c r="AA176" s="39"/>
      <c r="AB176" s="39"/>
      <c r="AC176" s="39"/>
      <c r="AD176" s="39"/>
      <c r="AE176" s="39"/>
      <c r="AF176" s="39"/>
      <c r="AG176" s="39"/>
      <c r="AH176" s="39"/>
      <c r="AI176" s="39"/>
      <c r="AJ176" s="39"/>
      <c r="AK176" s="39"/>
      <c r="AL176" s="39"/>
      <c r="AM176" s="39"/>
      <c r="AN176" s="39"/>
      <c r="AO176" s="39"/>
      <c r="AP176" s="39"/>
      <c r="AQ176" s="39"/>
      <c r="AR176" s="39"/>
      <c r="AS176" s="39"/>
      <c r="AT176" s="39"/>
      <c r="AU176" s="39"/>
      <c r="AV176" s="39"/>
      <c r="AW176" s="39"/>
      <c r="AX176" s="39"/>
      <c r="AY176" s="39"/>
      <c r="AZ176" s="39"/>
      <c r="BA176" s="39"/>
      <c r="BB176" s="39"/>
      <c r="BC176" s="39"/>
      <c r="BD176" s="39"/>
      <c r="BE176" s="39"/>
      <c r="BG176" s="39"/>
      <c r="BH176" s="39"/>
      <c r="BI176" s="39"/>
      <c r="BJ176" s="39"/>
      <c r="BK176" s="39"/>
      <c r="BL176" s="39"/>
      <c r="BM176" s="39"/>
    </row>
    <row r="177" spans="1:66">
      <c r="D177" s="18"/>
      <c r="E177" s="18"/>
      <c r="F177" s="18"/>
      <c r="G177" s="17"/>
    </row>
    <row r="178" spans="1:66" ht="16">
      <c r="A178" s="24"/>
      <c r="B178" s="24"/>
      <c r="C178" s="24"/>
      <c r="D178" s="24" t="s">
        <v>8</v>
      </c>
      <c r="E178" s="24"/>
      <c r="F178" s="24"/>
      <c r="G178" s="24"/>
      <c r="H178" s="24"/>
      <c r="I178" s="24"/>
      <c r="J178" s="24"/>
      <c r="K178" s="24"/>
      <c r="L178" s="24"/>
      <c r="M178" s="24"/>
      <c r="N178" s="24"/>
      <c r="O178" s="24"/>
      <c r="P178" s="24"/>
      <c r="Q178" s="24"/>
      <c r="R178" s="24"/>
      <c r="S178" s="24"/>
      <c r="T178" s="24"/>
      <c r="U178" s="24"/>
      <c r="V178" s="24"/>
      <c r="W178" s="24"/>
      <c r="X178" s="24"/>
      <c r="Y178" s="24"/>
      <c r="Z178" s="24"/>
      <c r="AA178" s="24"/>
      <c r="AB178" s="24"/>
      <c r="AC178" s="24"/>
      <c r="AD178" s="24"/>
      <c r="AE178" s="24"/>
      <c r="AF178" s="24"/>
      <c r="AG178" s="24"/>
      <c r="AH178" s="24"/>
      <c r="AI178" s="24"/>
      <c r="AJ178" s="24"/>
      <c r="AK178" s="24"/>
      <c r="AL178" s="24"/>
      <c r="AM178" s="24"/>
      <c r="AN178" s="24"/>
      <c r="AO178" s="24"/>
      <c r="AP178" s="24"/>
      <c r="AQ178" s="24"/>
      <c r="AR178" s="24"/>
      <c r="AS178" s="24"/>
      <c r="AT178" s="24"/>
      <c r="AU178" s="24"/>
      <c r="AV178" s="24"/>
      <c r="AW178" s="24"/>
      <c r="AX178" s="24"/>
      <c r="AY178" s="24"/>
      <c r="AZ178" s="24"/>
      <c r="BA178" s="24"/>
      <c r="BB178" s="24"/>
      <c r="BC178" s="24"/>
      <c r="BD178" s="24"/>
      <c r="BE178" s="24"/>
      <c r="BF178" s="24"/>
      <c r="BG178" s="24"/>
      <c r="BH178" s="24"/>
      <c r="BI178" s="24"/>
      <c r="BJ178" s="24"/>
      <c r="BK178" s="24"/>
      <c r="BL178" s="24"/>
      <c r="BM178" s="24"/>
      <c r="BN178" s="24"/>
    </row>
  </sheetData>
  <sheetProtection algorithmName="SHA-512" hashValue="PgjovCwylX+En2B6EIEwIuFNw3bhlzGm0/8aD1eaNdlX6QB8CVs8MwNd+UumF2EjbJ6WIENtLL2mad423wLtnQ==" saltValue="pqSNBjb9RepveQbVj1cRAg==" spinCount="100000" sheet="1" formatColumns="0" formatRows="0"/>
  <conditionalFormatting sqref="C5:F5">
    <cfRule type="expression" dxfId="11" priority="1">
      <formula>IF(AND(sysChk=0,sysWarn=0),1,0)</formula>
    </cfRule>
    <cfRule type="expression" dxfId="10" priority="2">
      <formula>IF(AND(sysChk=0,sysWarn&lt;&gt;0),1,0)</formula>
    </cfRule>
    <cfRule type="expression" dxfId="9" priority="3">
      <formula>IF(sysChk&lt;&gt;0,1,0)</formula>
    </cfRule>
  </conditionalFormatting>
  <pageMargins left="0.70866141732283472" right="0.70866141732283472" top="0.74803149606299213" bottom="0.74803149606299213" header="0.31496062992125984" footer="0.31496062992125984"/>
  <pageSetup paperSize="9" scale="24" orientation="landscape" r:id="rId1"/>
  <headerFooter>
    <oddFooter>&amp;F</oddFooter>
  </headerFooter>
  <cellWatches>
    <cellWatch r="I172"/>
    <cellWatch r="I174"/>
    <cellWatch r="I176"/>
  </cellWatches>
  <drawing r:id="rId2"/>
  <legacyDrawing r:id="rId3"/>
  <mc:AlternateContent xmlns:mc="http://schemas.openxmlformats.org/markup-compatibility/2006">
    <mc:Choice Requires="x14">
      <controls>
        <mc:AlternateContent xmlns:mc="http://schemas.openxmlformats.org/markup-compatibility/2006">
          <mc:Choice Requires="x14">
            <control shapeId="25601" r:id="rId4" name="Drop Down 1">
              <controlPr defaultSize="0" autoLine="0" autoPict="0">
                <anchor moveWithCells="1">
                  <from>
                    <xdr:col>7</xdr:col>
                    <xdr:colOff>139700</xdr:colOff>
                    <xdr:row>13</xdr:row>
                    <xdr:rowOff>0</xdr:rowOff>
                  </from>
                  <to>
                    <xdr:col>10</xdr:col>
                    <xdr:colOff>304800</xdr:colOff>
                    <xdr:row>14</xdr:row>
                    <xdr:rowOff>12700</xdr:rowOff>
                  </to>
                </anchor>
              </controlPr>
            </control>
          </mc:Choice>
        </mc:AlternateContent>
        <mc:AlternateContent xmlns:mc="http://schemas.openxmlformats.org/markup-compatibility/2006">
          <mc:Choice Requires="x14">
            <control shapeId="25602" r:id="rId5" name="Drop Down 2">
              <controlPr defaultSize="0" autoLine="0" autoPict="0">
                <anchor moveWithCells="1">
                  <from>
                    <xdr:col>7</xdr:col>
                    <xdr:colOff>139700</xdr:colOff>
                    <xdr:row>15</xdr:row>
                    <xdr:rowOff>12700</xdr:rowOff>
                  </from>
                  <to>
                    <xdr:col>10</xdr:col>
                    <xdr:colOff>304800</xdr:colOff>
                    <xdr:row>16</xdr:row>
                    <xdr:rowOff>25400</xdr:rowOff>
                  </to>
                </anchor>
              </controlPr>
            </control>
          </mc:Choice>
        </mc:AlternateContent>
      </controls>
    </mc:Choice>
  </mc:AlternateConten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B75B3-4DFC-40C1-B88A-E584977FA5BF}">
  <sheetPr codeName="Sheet20">
    <tabColor rgb="FF002060"/>
    <pageSetUpPr fitToPage="1"/>
  </sheetPr>
  <dimension ref="A1:BP38"/>
  <sheetViews>
    <sheetView showGridLines="0" zoomScale="80" zoomScaleNormal="80" workbookViewId="0">
      <pane ySplit="9" topLeftCell="A10" activePane="bottomLeft" state="frozen"/>
      <selection pane="bottomLeft"/>
    </sheetView>
  </sheetViews>
  <sheetFormatPr baseColWidth="10" defaultColWidth="0" defaultRowHeight="12"/>
  <cols>
    <col min="1" max="2" width="5.796875" style="40" customWidth="1"/>
    <col min="3" max="3" width="2.19921875" style="40" bestFit="1" customWidth="1"/>
    <col min="4" max="5" width="3.59765625" style="40" customWidth="1"/>
    <col min="6" max="6" width="27.796875" style="40" bestFit="1" customWidth="1"/>
    <col min="7" max="26" width="8.796875" style="40" customWidth="1"/>
    <col min="27" max="16384" width="8.796875" style="40" hidden="1"/>
  </cols>
  <sheetData>
    <row r="1" spans="1:68">
      <c r="A1" s="95"/>
      <c r="B1" s="95"/>
      <c r="C1" s="96" t="s">
        <v>436</v>
      </c>
      <c r="D1" s="95"/>
      <c r="E1" s="95"/>
      <c r="F1" s="95"/>
      <c r="G1" s="95"/>
      <c r="H1" s="95"/>
      <c r="I1" s="95"/>
      <c r="J1" s="95"/>
      <c r="K1" s="95"/>
      <c r="L1" s="95"/>
      <c r="M1" s="95"/>
      <c r="N1" s="95"/>
      <c r="O1" s="95"/>
      <c r="P1" s="95"/>
      <c r="Q1" s="95"/>
      <c r="R1" s="95"/>
      <c r="S1" s="95"/>
      <c r="T1" s="95"/>
      <c r="U1" s="95"/>
      <c r="V1" s="95"/>
      <c r="W1" s="95"/>
      <c r="X1" s="95"/>
      <c r="Y1" s="95"/>
      <c r="Z1" s="95"/>
    </row>
    <row r="2" spans="1:68" ht="13">
      <c r="A2" s="95"/>
      <c r="B2" s="95"/>
      <c r="C2" s="98" t="str">
        <f>cstProjectName</f>
        <v>Should Cost Modelling Case Study - Illustrative SCM</v>
      </c>
      <c r="D2" s="95"/>
      <c r="E2" s="95"/>
      <c r="F2" s="95"/>
      <c r="G2" s="95"/>
      <c r="H2" s="95"/>
      <c r="I2" s="95"/>
      <c r="J2" s="95"/>
      <c r="K2" s="95"/>
      <c r="L2" s="95"/>
      <c r="M2" s="95"/>
      <c r="N2" s="95"/>
      <c r="O2" s="95"/>
      <c r="P2" s="95"/>
      <c r="Q2" s="95"/>
      <c r="R2" s="95"/>
      <c r="S2" s="95"/>
      <c r="T2" s="95"/>
      <c r="U2" s="95"/>
      <c r="V2" s="95"/>
      <c r="W2" s="95"/>
      <c r="X2" s="95"/>
      <c r="Y2" s="95"/>
      <c r="Z2" s="95"/>
    </row>
    <row r="3" spans="1:68" ht="13">
      <c r="A3" s="95"/>
      <c r="B3" s="95"/>
      <c r="C3" s="100" t="str">
        <f ca="1">MID(CELL("filename",A1),FIND("]",CELL("filename",A1))+1,256)&amp;" Sheet"</f>
        <v>oDashboard Sheet</v>
      </c>
      <c r="D3" s="95"/>
      <c r="E3" s="95"/>
      <c r="F3" s="95"/>
      <c r="G3" s="95"/>
      <c r="H3" s="95"/>
      <c r="I3" s="95"/>
      <c r="J3" s="95"/>
      <c r="K3" s="95"/>
      <c r="L3" s="95"/>
      <c r="M3" s="95"/>
      <c r="N3" s="95"/>
      <c r="O3" s="95"/>
      <c r="P3" s="95"/>
      <c r="Q3" s="95"/>
      <c r="R3" s="95"/>
      <c r="S3" s="95"/>
      <c r="T3" s="95"/>
      <c r="U3" s="95"/>
      <c r="V3" s="95"/>
      <c r="W3" s="95"/>
      <c r="X3" s="95"/>
      <c r="Y3" s="95"/>
      <c r="Z3" s="95"/>
    </row>
    <row r="4" spans="1:68">
      <c r="A4" s="95"/>
      <c r="B4" s="95"/>
      <c r="C4" s="96" t="str">
        <f>IF(ISBLANK(cstProtectiveMarking),"",cstProtectiveMarking)</f>
        <v>Not Protectively Marked</v>
      </c>
      <c r="D4" s="95"/>
      <c r="E4" s="95"/>
      <c r="F4" s="95"/>
      <c r="G4" s="95"/>
      <c r="H4" s="95"/>
      <c r="I4" s="95"/>
      <c r="J4" s="95"/>
      <c r="K4" s="95"/>
      <c r="L4" s="95"/>
      <c r="M4" s="95"/>
      <c r="N4" s="95"/>
      <c r="O4" s="95"/>
      <c r="P4" s="95"/>
      <c r="Q4" s="95"/>
      <c r="R4" s="95"/>
      <c r="S4" s="95"/>
      <c r="T4" s="95"/>
      <c r="U4" s="95"/>
      <c r="V4" s="95"/>
      <c r="W4" s="95"/>
      <c r="X4" s="95"/>
      <c r="Y4" s="95"/>
      <c r="Z4" s="95"/>
    </row>
    <row r="5" spans="1:68">
      <c r="A5" s="95"/>
      <c r="B5" s="95"/>
      <c r="C5" s="101" t="str">
        <f>HYPERLINK("#'Contents'!A1",sysChkWord)</f>
        <v>All Checks OK</v>
      </c>
      <c r="D5" s="101"/>
      <c r="E5" s="101"/>
      <c r="F5" s="101"/>
      <c r="G5" s="95"/>
      <c r="H5" s="95"/>
      <c r="I5" s="95"/>
      <c r="J5" s="95"/>
      <c r="K5" s="95"/>
      <c r="L5" s="95"/>
      <c r="M5" s="95"/>
      <c r="N5" s="95"/>
      <c r="O5" s="95"/>
      <c r="P5" s="95"/>
      <c r="Q5" s="95"/>
      <c r="R5" s="95"/>
      <c r="S5" s="95"/>
      <c r="T5" s="95"/>
      <c r="U5" s="95"/>
      <c r="V5" s="95"/>
      <c r="W5" s="95"/>
      <c r="X5" s="95"/>
      <c r="Y5" s="95"/>
      <c r="Z5" s="95"/>
    </row>
    <row r="6" spans="1:68" ht="13">
      <c r="A6" s="95"/>
      <c r="B6" s="102"/>
      <c r="C6" s="103" t="str">
        <f>HYPERLINK("#'Contents'!A1","Click for Contents")</f>
        <v>Click for Contents</v>
      </c>
      <c r="D6" s="101"/>
      <c r="E6" s="101"/>
      <c r="F6" s="101"/>
      <c r="G6" s="95"/>
      <c r="H6" s="95"/>
      <c r="I6" s="95"/>
      <c r="J6" s="95"/>
      <c r="K6" s="95"/>
      <c r="L6" s="95"/>
      <c r="M6" s="95"/>
      <c r="N6" s="95"/>
      <c r="O6" s="95"/>
      <c r="P6" s="95"/>
      <c r="Q6" s="95"/>
      <c r="R6" s="95"/>
      <c r="S6" s="95"/>
      <c r="T6" s="95"/>
      <c r="U6" s="95"/>
      <c r="V6" s="95"/>
      <c r="W6" s="95"/>
      <c r="X6" s="95"/>
      <c r="Y6" s="95"/>
      <c r="Z6" s="95"/>
    </row>
    <row r="7" spans="1:68">
      <c r="A7" s="95"/>
      <c r="B7" s="95"/>
      <c r="C7" s="95"/>
      <c r="D7" s="95"/>
      <c r="E7" s="95"/>
      <c r="F7" s="95"/>
      <c r="G7" s="95"/>
      <c r="H7" s="95"/>
      <c r="I7" s="95"/>
      <c r="J7" s="95"/>
      <c r="K7" s="95"/>
      <c r="L7" s="95"/>
      <c r="M7" s="95"/>
      <c r="N7" s="95"/>
      <c r="O7" s="95"/>
      <c r="P7" s="95"/>
      <c r="Q7" s="95"/>
      <c r="R7" s="95"/>
      <c r="S7" s="95"/>
      <c r="T7" s="95"/>
      <c r="U7" s="95"/>
      <c r="V7" s="95"/>
      <c r="W7" s="95"/>
      <c r="X7" s="95"/>
      <c r="Y7" s="95"/>
      <c r="Z7" s="95"/>
    </row>
    <row r="8" spans="1:68">
      <c r="A8" s="97">
        <f>SUM(A9:A38)</f>
        <v>0</v>
      </c>
      <c r="B8" s="99">
        <f>SUM(B9:B38)</f>
        <v>0</v>
      </c>
      <c r="C8" s="104"/>
      <c r="D8" s="104"/>
      <c r="E8" s="104"/>
      <c r="F8" s="104"/>
      <c r="G8" s="104"/>
      <c r="H8" s="104"/>
      <c r="I8" s="95"/>
      <c r="J8" s="95"/>
      <c r="K8" s="95"/>
      <c r="L8" s="95"/>
      <c r="M8" s="95"/>
      <c r="N8" s="95"/>
      <c r="O8" s="95"/>
      <c r="P8" s="95"/>
      <c r="Q8" s="95"/>
      <c r="R8" s="95"/>
      <c r="S8" s="95"/>
      <c r="T8" s="95"/>
      <c r="U8" s="95"/>
      <c r="V8" s="95"/>
      <c r="W8" s="95"/>
      <c r="X8" s="95"/>
      <c r="Y8" s="95"/>
      <c r="Z8" s="95"/>
    </row>
    <row r="10" spans="1:68" ht="16">
      <c r="A10" s="24"/>
      <c r="B10" s="24"/>
      <c r="C10" s="24"/>
      <c r="D10" s="24">
        <v>1</v>
      </c>
      <c r="E10" s="24" t="s">
        <v>212</v>
      </c>
      <c r="F10" s="24"/>
      <c r="G10" s="24"/>
      <c r="H10" s="24"/>
      <c r="I10" s="24"/>
      <c r="J10" s="24"/>
      <c r="K10" s="24"/>
      <c r="L10" s="24"/>
      <c r="M10" s="24"/>
      <c r="N10" s="24"/>
      <c r="O10" s="24"/>
      <c r="P10" s="24"/>
      <c r="Q10" s="24"/>
      <c r="R10" s="24"/>
      <c r="S10" s="24"/>
      <c r="T10" s="24"/>
      <c r="U10" s="24"/>
      <c r="V10" s="24"/>
      <c r="W10" s="24"/>
      <c r="X10" s="24"/>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c r="BM10" s="24"/>
      <c r="BN10" s="24"/>
      <c r="BO10" s="24"/>
      <c r="BP10" s="24"/>
    </row>
    <row r="11" spans="1:68">
      <c r="F11" s="18"/>
      <c r="G11" s="17"/>
    </row>
    <row r="12" spans="1:68" ht="14" thickBot="1">
      <c r="A12" s="25"/>
      <c r="B12" s="25"/>
      <c r="C12" s="25"/>
      <c r="D12" s="25"/>
      <c r="E12" s="25" t="s">
        <v>387</v>
      </c>
      <c r="F12" s="25" t="s">
        <v>211</v>
      </c>
      <c r="G12" s="25"/>
      <c r="H12" s="25"/>
      <c r="I12" s="25"/>
      <c r="J12" s="25"/>
      <c r="K12" s="25"/>
      <c r="L12" s="25"/>
      <c r="M12" s="25"/>
      <c r="N12" s="25"/>
      <c r="O12" s="25"/>
      <c r="P12" s="25"/>
      <c r="Q12" s="25"/>
      <c r="R12" s="25"/>
      <c r="S12" s="25"/>
      <c r="T12" s="25"/>
      <c r="U12" s="25"/>
      <c r="V12" s="25"/>
      <c r="W12" s="25"/>
      <c r="X12" s="25"/>
      <c r="Y12" s="25"/>
      <c r="Z12" s="25"/>
      <c r="AA12" s="25"/>
      <c r="AB12" s="25"/>
      <c r="AC12" s="25"/>
      <c r="AD12" s="25"/>
      <c r="AE12" s="25"/>
      <c r="AF12" s="25"/>
      <c r="AG12" s="25"/>
      <c r="AH12" s="25"/>
      <c r="AI12" s="25"/>
      <c r="AJ12" s="25"/>
      <c r="AK12" s="25"/>
      <c r="AL12" s="25"/>
      <c r="AM12" s="25"/>
      <c r="AN12" s="25"/>
      <c r="AO12" s="25"/>
      <c r="AP12" s="25"/>
      <c r="AQ12" s="25"/>
      <c r="AR12" s="25"/>
      <c r="AS12" s="25"/>
      <c r="AT12" s="25"/>
      <c r="AU12" s="25"/>
      <c r="AV12" s="25"/>
      <c r="AW12" s="25"/>
      <c r="AX12" s="25"/>
      <c r="AY12" s="25"/>
      <c r="AZ12" s="25"/>
      <c r="BA12" s="25"/>
      <c r="BB12" s="25"/>
      <c r="BC12" s="25"/>
      <c r="BD12" s="25"/>
      <c r="BE12" s="25"/>
      <c r="BF12" s="25"/>
      <c r="BG12" s="25"/>
      <c r="BH12" s="25"/>
      <c r="BI12" s="25"/>
      <c r="BJ12" s="25"/>
      <c r="BK12" s="25"/>
      <c r="BL12" s="25"/>
      <c r="BM12" s="25"/>
      <c r="BN12" s="25"/>
      <c r="BO12" s="25"/>
      <c r="BP12" s="25"/>
    </row>
    <row r="13" spans="1:68">
      <c r="F13" s="18"/>
      <c r="G13" s="17"/>
    </row>
    <row r="14" spans="1:68">
      <c r="F14" s="18" t="s">
        <v>176</v>
      </c>
      <c r="G14" s="17"/>
      <c r="H14"/>
    </row>
    <row r="15" spans="1:68">
      <c r="F15" s="18"/>
      <c r="G15" s="17"/>
    </row>
    <row r="16" spans="1:68">
      <c r="F16" s="18" t="s">
        <v>213</v>
      </c>
      <c r="G16" s="17"/>
      <c r="H16"/>
    </row>
    <row r="17" spans="1:26">
      <c r="F17" s="18"/>
      <c r="G17" s="17"/>
    </row>
    <row r="18" spans="1:26" ht="16">
      <c r="A18" s="24"/>
      <c r="B18" s="24"/>
      <c r="C18" s="24"/>
      <c r="D18" s="24">
        <v>2</v>
      </c>
      <c r="E18" s="24" t="s">
        <v>300</v>
      </c>
      <c r="F18" s="24"/>
      <c r="G18" s="24"/>
      <c r="H18" s="24"/>
      <c r="I18" s="24"/>
      <c r="J18" s="24"/>
      <c r="K18" s="24"/>
      <c r="L18" s="24"/>
      <c r="M18" s="24"/>
      <c r="N18" s="24"/>
      <c r="O18" s="24"/>
      <c r="P18" s="24"/>
      <c r="Q18" s="24"/>
      <c r="R18" s="24"/>
      <c r="S18" s="24"/>
      <c r="T18" s="24"/>
      <c r="U18" s="24"/>
      <c r="V18" s="24"/>
      <c r="W18" s="24"/>
      <c r="X18" s="24"/>
      <c r="Y18" s="24"/>
      <c r="Z18" s="24"/>
    </row>
    <row r="19" spans="1:26">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spans="1:26" customFormat="1" ht="24" customHeight="1">
      <c r="D20" s="130" t="str">
        <f>"NPV by Option (£m) - "&amp;cOutputs!I195</f>
        <v>NPV by Option (£m) - Scenario A - Base Case</v>
      </c>
      <c r="E20" s="130"/>
      <c r="F20" s="130"/>
      <c r="G20" s="130"/>
      <c r="H20" s="130"/>
      <c r="I20" s="130"/>
      <c r="J20" s="130" t="str">
        <f>"Total Nominal Cost by Option (£m) - "&amp;cOutputs!I195</f>
        <v>Total Nominal Cost by Option (£m) - Scenario A - Base Case</v>
      </c>
      <c r="K20" s="130"/>
      <c r="L20" s="130"/>
      <c r="M20" s="130"/>
      <c r="N20" s="130"/>
      <c r="O20" s="127"/>
      <c r="P20" s="127"/>
      <c r="Q20" s="130" t="str">
        <f>"Nominal Costs by Option over time (£m) - "&amp;cOutputs!I195</f>
        <v>Nominal Costs by Option over time (£m) - Scenario A - Base Case</v>
      </c>
      <c r="R20" s="130"/>
      <c r="S20" s="130"/>
      <c r="T20" s="130"/>
      <c r="U20" s="130"/>
      <c r="V20" s="130"/>
      <c r="W20" s="130"/>
    </row>
    <row r="21" spans="1:26" customFormat="1">
      <c r="K21" s="40"/>
      <c r="L21" s="40"/>
      <c r="M21" s="40"/>
      <c r="N21" s="40"/>
      <c r="O21" s="40"/>
      <c r="P21" s="40"/>
    </row>
    <row r="22" spans="1:26" customFormat="1">
      <c r="K22" s="40"/>
      <c r="L22" s="40"/>
      <c r="M22" s="40"/>
      <c r="N22" s="40"/>
      <c r="O22" s="40"/>
      <c r="P22" s="40"/>
    </row>
    <row r="23" spans="1:26" customFormat="1">
      <c r="K23" s="40"/>
      <c r="L23" s="40"/>
      <c r="M23" s="40"/>
      <c r="N23" s="40"/>
      <c r="O23" s="40"/>
      <c r="P23" s="40"/>
    </row>
    <row r="24" spans="1:26" customFormat="1">
      <c r="K24" s="40"/>
      <c r="L24" s="40"/>
      <c r="M24" s="40"/>
      <c r="N24" s="40"/>
      <c r="O24" s="40"/>
      <c r="P24" s="40"/>
    </row>
    <row r="25" spans="1:26" customFormat="1">
      <c r="K25" s="40"/>
      <c r="L25" s="40"/>
      <c r="M25" s="40"/>
      <c r="N25" s="40"/>
      <c r="O25" s="40"/>
      <c r="P25" s="40"/>
    </row>
    <row r="26" spans="1:26" customFormat="1">
      <c r="K26" s="40"/>
      <c r="L26" s="40"/>
      <c r="M26" s="40"/>
      <c r="N26" s="40"/>
      <c r="O26" s="40"/>
      <c r="P26" s="40"/>
    </row>
    <row r="27" spans="1:26" customFormat="1">
      <c r="K27" s="40"/>
      <c r="L27" s="40"/>
      <c r="M27" s="40"/>
      <c r="N27" s="40"/>
      <c r="O27" s="40"/>
      <c r="P27" s="40"/>
    </row>
    <row r="28" spans="1:26" customFormat="1">
      <c r="K28" s="40"/>
      <c r="L28" s="40"/>
      <c r="M28" s="40"/>
      <c r="N28" s="40"/>
      <c r="O28" s="40"/>
      <c r="P28" s="40"/>
    </row>
    <row r="29" spans="1:26" customFormat="1">
      <c r="K29" s="40"/>
      <c r="L29" s="40"/>
      <c r="M29" s="40"/>
      <c r="N29" s="40"/>
      <c r="O29" s="40"/>
      <c r="P29" s="40"/>
    </row>
    <row r="30" spans="1:26" customFormat="1">
      <c r="K30" s="40"/>
      <c r="L30" s="40"/>
      <c r="M30" s="40"/>
      <c r="N30" s="40"/>
      <c r="O30" s="40"/>
      <c r="P30" s="40"/>
    </row>
    <row r="31" spans="1:26" customFormat="1">
      <c r="K31" s="40"/>
      <c r="L31" s="40"/>
      <c r="M31" s="40"/>
      <c r="N31" s="40"/>
      <c r="O31" s="40"/>
      <c r="P31" s="40"/>
    </row>
    <row r="32" spans="1:26" customFormat="1">
      <c r="K32" s="40"/>
      <c r="L32" s="40"/>
      <c r="M32" s="40"/>
      <c r="N32" s="40"/>
      <c r="O32" s="40"/>
      <c r="P32" s="40"/>
    </row>
    <row r="33" spans="1:26" customFormat="1">
      <c r="K33" s="40"/>
      <c r="L33" s="40"/>
      <c r="M33" s="40"/>
      <c r="N33" s="40"/>
      <c r="O33" s="40"/>
      <c r="P33" s="40"/>
    </row>
    <row r="34" spans="1:26" customFormat="1">
      <c r="K34" s="40"/>
      <c r="L34" s="40"/>
      <c r="M34" s="40"/>
      <c r="N34" s="40"/>
      <c r="O34" s="40"/>
      <c r="P34" s="40"/>
    </row>
    <row r="35" spans="1:26">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spans="1:26">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spans="1:26">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spans="1:26" ht="16">
      <c r="A38" s="24"/>
      <c r="B38" s="24"/>
      <c r="C38" s="24"/>
      <c r="D38" s="24" t="s">
        <v>8</v>
      </c>
      <c r="E38" s="24"/>
      <c r="F38" s="24"/>
      <c r="G38" s="24"/>
      <c r="H38" s="24"/>
      <c r="I38" s="24"/>
      <c r="J38" s="24"/>
      <c r="K38" s="24"/>
      <c r="L38" s="24"/>
      <c r="M38" s="24"/>
      <c r="N38" s="24"/>
      <c r="O38" s="24"/>
      <c r="P38" s="24"/>
      <c r="Q38" s="24"/>
      <c r="R38" s="24"/>
      <c r="S38" s="24"/>
      <c r="T38" s="24"/>
      <c r="U38" s="24"/>
      <c r="V38" s="24"/>
      <c r="W38" s="24"/>
      <c r="X38" s="24"/>
      <c r="Y38" s="24"/>
      <c r="Z38" s="24"/>
    </row>
  </sheetData>
  <sheetProtection algorithmName="SHA-512" hashValue="x6ar7wpW90KPvCNvQQE50tF9XqGBLYhCF4EodLQWXU/U5zP3HCWXSzBNkH5zTT/b/IvAa+GcVJScbot0IwNQmA==" saltValue="YTSg4jKR275c8GaAd6GDiA==" spinCount="100000" sheet="1" objects="1" scenarios="1" formatColumns="0" formatRows="0"/>
  <mergeCells count="3">
    <mergeCell ref="D20:I20"/>
    <mergeCell ref="Q20:W20"/>
    <mergeCell ref="J20:N20"/>
  </mergeCells>
  <conditionalFormatting sqref="C5:F5">
    <cfRule type="expression" dxfId="8" priority="1">
      <formula>IF(AND(sysChk=0,sysWarn=0),1,0)</formula>
    </cfRule>
    <cfRule type="expression" dxfId="7" priority="2">
      <formula>IF(AND(sysChk=0,sysWarn&lt;&gt;0),1,0)</formula>
    </cfRule>
    <cfRule type="expression" dxfId="6" priority="3">
      <formula>IF(sysChk&lt;&gt;0,1,0)</formula>
    </cfRule>
  </conditionalFormatting>
  <pageMargins left="0.70866141732283472" right="0.70866141732283472" top="0.74803149606299213" bottom="0.74803149606299213" header="0.31496062992125984" footer="0.31496062992125984"/>
  <pageSetup paperSize="9" scale="64" orientation="landscape" r:id="rId1"/>
  <headerFooter>
    <oddFooter>&amp;F</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28673" r:id="rId4" name="Drop Down 1">
              <controlPr defaultSize="0" autoLine="0" autoPict="0">
                <anchor moveWithCells="1">
                  <from>
                    <xdr:col>6</xdr:col>
                    <xdr:colOff>558800</xdr:colOff>
                    <xdr:row>12</xdr:row>
                    <xdr:rowOff>139700</xdr:rowOff>
                  </from>
                  <to>
                    <xdr:col>9</xdr:col>
                    <xdr:colOff>241300</xdr:colOff>
                    <xdr:row>14</xdr:row>
                    <xdr:rowOff>0</xdr:rowOff>
                  </to>
                </anchor>
              </controlPr>
            </control>
          </mc:Choice>
        </mc:AlternateContent>
        <mc:AlternateContent xmlns:mc="http://schemas.openxmlformats.org/markup-compatibility/2006">
          <mc:Choice Requires="x14">
            <control shapeId="28674" r:id="rId5" name="Drop Down 2">
              <controlPr defaultSize="0" autoLine="0" autoPict="0">
                <anchor moveWithCells="1">
                  <from>
                    <xdr:col>6</xdr:col>
                    <xdr:colOff>571500</xdr:colOff>
                    <xdr:row>14</xdr:row>
                    <xdr:rowOff>139700</xdr:rowOff>
                  </from>
                  <to>
                    <xdr:col>9</xdr:col>
                    <xdr:colOff>254000</xdr:colOff>
                    <xdr:row>15</xdr:row>
                    <xdr:rowOff>139700</xdr:rowOff>
                  </to>
                </anchor>
              </controlPr>
            </control>
          </mc:Choice>
        </mc:AlternateContent>
      </controls>
    </mc:Choice>
  </mc:AlternateConten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21">
    <tabColor rgb="FF5F5F5F"/>
    <pageSetUpPr fitToPage="1"/>
  </sheetPr>
  <dimension ref="A1:B8"/>
  <sheetViews>
    <sheetView showGridLines="0" topLeftCell="XFD1048576" workbookViewId="0">
      <selection activeCell="I177" sqref="I177"/>
    </sheetView>
  </sheetViews>
  <sheetFormatPr baseColWidth="10" defaultColWidth="0" defaultRowHeight="0" customHeight="1" zeroHeight="1"/>
  <cols>
    <col min="1" max="2" width="5.796875" style="40" customWidth="1"/>
    <col min="3" max="16384" width="8.796875" style="40" hidden="1"/>
  </cols>
  <sheetData>
    <row r="1" ht="12" hidden="1"/>
    <row r="2" ht="0" hidden="1" customHeight="1"/>
    <row r="3" ht="0" hidden="1" customHeight="1"/>
    <row r="4" ht="0" hidden="1" customHeight="1"/>
    <row r="5" ht="0" hidden="1" customHeight="1"/>
    <row r="6" ht="0" hidden="1" customHeight="1"/>
    <row r="7" ht="0" hidden="1" customHeight="1"/>
    <row r="8" ht="0" hidden="1" customHeight="1"/>
  </sheetData>
  <sheetProtection algorithmName="SHA-512" hashValue="st/Lm0oUhgOpjbuI9r9c6HSFRVLR9wYwZMRqmO2KtzlwbHK8JBVyRA5JhOyMBE/DDUdTfvqN/9LNRlDPeiAGAg==" saltValue="P82BarNIUPDwwGAzkvx1yQ==" spinCount="100000" sheet="1" objects="1" scenarios="1"/>
  <pageMargins left="0.70866141732283472" right="0.70866141732283472" top="0.74803149606299213" bottom="0.74803149606299213" header="0.31496062992125984" footer="0.31496062992125984"/>
  <pageSetup paperSize="9" orientation="landscape" r:id="rId1"/>
  <headerFooter>
    <oddFooter>&amp;F</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7">
    <tabColor rgb="FF5F5F5F"/>
    <pageSetUpPr fitToPage="1"/>
  </sheetPr>
  <dimension ref="A1:Y105"/>
  <sheetViews>
    <sheetView showGridLines="0" zoomScale="80" zoomScaleNormal="80" workbookViewId="0">
      <pane ySplit="9" topLeftCell="A10" activePane="bottomLeft" state="frozen"/>
      <selection pane="bottomLeft"/>
    </sheetView>
  </sheetViews>
  <sheetFormatPr baseColWidth="10" defaultColWidth="0" defaultRowHeight="12"/>
  <cols>
    <col min="1" max="2" width="5.796875" style="40" customWidth="1"/>
    <col min="3" max="3" width="2.19921875" style="40" bestFit="1" customWidth="1"/>
    <col min="4" max="4" width="2.59765625" style="40" bestFit="1" customWidth="1"/>
    <col min="5" max="5" width="3.19921875" style="40" customWidth="1"/>
    <col min="6" max="6" width="53.3984375" style="40" customWidth="1"/>
    <col min="7" max="7" width="48.796875" style="40" customWidth="1"/>
    <col min="8" max="8" width="50.59765625" style="40" bestFit="1" customWidth="1"/>
    <col min="9" max="23" width="8.796875" style="40" customWidth="1"/>
    <col min="24" max="16384" width="8.796875" style="40" hidden="1"/>
  </cols>
  <sheetData>
    <row r="1" spans="1:25">
      <c r="A1" s="95"/>
      <c r="B1" s="95"/>
      <c r="C1" s="96" t="s">
        <v>436</v>
      </c>
      <c r="D1" s="95"/>
      <c r="E1" s="95"/>
      <c r="F1" s="95"/>
      <c r="G1" s="95"/>
      <c r="H1" s="95"/>
      <c r="I1" s="95"/>
      <c r="J1" s="95"/>
      <c r="K1" s="95"/>
      <c r="L1" s="95"/>
      <c r="M1" s="95"/>
      <c r="N1" s="95"/>
      <c r="O1" s="95"/>
      <c r="P1" s="95"/>
      <c r="Q1" s="95"/>
      <c r="R1" s="95"/>
      <c r="S1" s="95"/>
      <c r="T1" s="95"/>
      <c r="U1" s="95"/>
      <c r="V1" s="95"/>
      <c r="W1" s="95"/>
    </row>
    <row r="2" spans="1:25" ht="13">
      <c r="A2" s="95"/>
      <c r="B2" s="95"/>
      <c r="C2" s="98" t="str">
        <f>cstProjectName</f>
        <v>Should Cost Modelling Case Study - Illustrative SCM</v>
      </c>
      <c r="D2" s="95"/>
      <c r="E2" s="95"/>
      <c r="F2" s="95"/>
      <c r="G2" s="95"/>
      <c r="H2" s="95"/>
      <c r="I2" s="95"/>
      <c r="J2" s="95"/>
      <c r="K2" s="95"/>
      <c r="L2" s="95"/>
      <c r="M2" s="95"/>
      <c r="N2" s="95"/>
      <c r="O2" s="95"/>
      <c r="P2" s="95"/>
      <c r="Q2" s="95"/>
      <c r="R2" s="95"/>
      <c r="S2" s="95"/>
      <c r="T2" s="95"/>
      <c r="U2" s="95"/>
      <c r="V2" s="95"/>
      <c r="W2" s="95"/>
    </row>
    <row r="3" spans="1:25" ht="13">
      <c r="A3" s="95"/>
      <c r="B3" s="95"/>
      <c r="C3" s="100" t="str">
        <f ca="1">MID(CELL("filename",A1),FIND("]",CELL("filename",A1))+1,256)&amp;" Sheet"</f>
        <v>SysConfig Sheet</v>
      </c>
      <c r="D3" s="95"/>
      <c r="E3" s="95"/>
      <c r="F3" s="95"/>
      <c r="G3" s="95"/>
      <c r="H3" s="95"/>
      <c r="I3" s="95"/>
      <c r="J3" s="95"/>
      <c r="K3" s="95"/>
      <c r="L3" s="95"/>
      <c r="M3" s="95"/>
      <c r="N3" s="95"/>
      <c r="O3" s="95"/>
      <c r="P3" s="95"/>
      <c r="Q3" s="95"/>
      <c r="R3" s="95"/>
      <c r="S3" s="95"/>
      <c r="T3" s="95"/>
      <c r="U3" s="95"/>
      <c r="V3" s="95"/>
      <c r="W3" s="95"/>
    </row>
    <row r="4" spans="1:25">
      <c r="A4" s="95"/>
      <c r="B4" s="95"/>
      <c r="C4" s="96" t="str">
        <f>IF(ISBLANK(cstProtectiveMarking),"",cstProtectiveMarking)</f>
        <v>Not Protectively Marked</v>
      </c>
      <c r="D4" s="95"/>
      <c r="E4" s="95"/>
      <c r="F4" s="95"/>
      <c r="G4" s="95"/>
      <c r="H4" s="95"/>
      <c r="I4" s="95"/>
      <c r="J4" s="95"/>
      <c r="K4" s="95"/>
      <c r="L4" s="95"/>
      <c r="M4" s="95"/>
      <c r="N4" s="95"/>
      <c r="O4" s="95"/>
      <c r="P4" s="95"/>
      <c r="Q4" s="95"/>
      <c r="R4" s="95"/>
      <c r="S4" s="95"/>
      <c r="T4" s="95"/>
      <c r="U4" s="95"/>
      <c r="V4" s="95"/>
      <c r="W4" s="95"/>
    </row>
    <row r="5" spans="1:25">
      <c r="A5" s="95"/>
      <c r="B5" s="95"/>
      <c r="C5" s="101" t="str">
        <f>HYPERLINK("#'Contents'!A1",sysChkWord)</f>
        <v>All Checks OK</v>
      </c>
      <c r="D5" s="101"/>
      <c r="E5" s="101"/>
      <c r="F5" s="101"/>
      <c r="G5" s="95"/>
      <c r="H5" s="95"/>
      <c r="I5" s="95"/>
      <c r="J5" s="95"/>
      <c r="K5" s="95"/>
      <c r="L5" s="95"/>
      <c r="M5" s="95"/>
      <c r="N5" s="95"/>
      <c r="O5" s="95"/>
      <c r="P5" s="95"/>
      <c r="Q5" s="95"/>
      <c r="R5" s="95"/>
      <c r="S5" s="95"/>
      <c r="T5" s="95"/>
      <c r="U5" s="95"/>
      <c r="V5" s="95"/>
      <c r="W5" s="95"/>
    </row>
    <row r="6" spans="1:25" ht="13">
      <c r="A6" s="95"/>
      <c r="B6" s="102"/>
      <c r="C6" s="103" t="str">
        <f>HYPERLINK("#'Contents'!A1","Click for Contents")</f>
        <v>Click for Contents</v>
      </c>
      <c r="D6" s="101"/>
      <c r="E6" s="101"/>
      <c r="F6" s="101"/>
      <c r="G6" s="95"/>
      <c r="H6" s="95"/>
      <c r="I6" s="95"/>
      <c r="J6" s="95"/>
      <c r="K6" s="95"/>
      <c r="L6" s="95"/>
      <c r="M6" s="95"/>
      <c r="N6" s="95"/>
      <c r="O6" s="95"/>
      <c r="P6" s="95"/>
      <c r="Q6" s="95"/>
      <c r="R6" s="95"/>
      <c r="S6" s="95"/>
      <c r="T6" s="95"/>
      <c r="U6" s="95"/>
      <c r="V6" s="95"/>
      <c r="W6" s="95"/>
    </row>
    <row r="7" spans="1:25">
      <c r="A7" s="95"/>
      <c r="B7" s="95"/>
      <c r="C7" s="95"/>
      <c r="D7" s="95"/>
      <c r="E7" s="95"/>
      <c r="F7" s="95"/>
      <c r="G7" s="95"/>
      <c r="H7" s="95"/>
      <c r="I7" s="95"/>
      <c r="J7" s="95"/>
      <c r="K7" s="95"/>
      <c r="L7" s="95"/>
      <c r="M7" s="95"/>
      <c r="N7" s="95"/>
      <c r="O7" s="95"/>
      <c r="P7" s="95"/>
      <c r="Q7" s="95"/>
      <c r="R7" s="95"/>
      <c r="S7" s="95"/>
      <c r="T7" s="95"/>
      <c r="U7" s="95"/>
      <c r="V7" s="95"/>
      <c r="W7" s="95"/>
    </row>
    <row r="8" spans="1:25">
      <c r="A8" s="97">
        <f>SUM(A9:A105)</f>
        <v>0</v>
      </c>
      <c r="B8" s="99">
        <f>SUM(B9:B105)</f>
        <v>0</v>
      </c>
      <c r="C8" s="104"/>
      <c r="D8" s="104"/>
      <c r="E8" s="104"/>
      <c r="F8" s="104"/>
      <c r="G8" s="104"/>
      <c r="H8" s="104"/>
      <c r="I8" s="95"/>
      <c r="J8" s="95"/>
      <c r="K8" s="95"/>
      <c r="L8" s="95"/>
      <c r="M8" s="95"/>
      <c r="N8" s="95"/>
      <c r="O8" s="95"/>
      <c r="P8" s="95"/>
      <c r="Q8" s="95"/>
      <c r="R8" s="95"/>
      <c r="S8" s="95"/>
      <c r="T8" s="95"/>
      <c r="U8" s="95"/>
      <c r="V8" s="95"/>
      <c r="W8" s="95"/>
    </row>
    <row r="10" spans="1:25" ht="16">
      <c r="A10" s="24"/>
      <c r="B10" s="24"/>
      <c r="C10" s="24"/>
      <c r="D10" s="24">
        <v>1</v>
      </c>
      <c r="E10" s="24" t="s">
        <v>68</v>
      </c>
      <c r="F10" s="24"/>
      <c r="G10" s="24"/>
      <c r="H10" s="24"/>
      <c r="I10" s="24"/>
      <c r="J10" s="24"/>
      <c r="K10" s="24"/>
      <c r="L10" s="24"/>
      <c r="M10" s="24"/>
      <c r="N10" s="24"/>
      <c r="O10" s="24"/>
      <c r="P10" s="24"/>
      <c r="Q10" s="24"/>
      <c r="R10" s="24"/>
      <c r="S10" s="24"/>
      <c r="T10" s="24"/>
      <c r="U10" s="24"/>
      <c r="V10" s="24"/>
      <c r="W10" s="24"/>
      <c r="X10" s="24"/>
      <c r="Y10" s="24"/>
    </row>
    <row r="11" spans="1:25">
      <c r="A11" s="23"/>
      <c r="B11" s="23"/>
      <c r="C11" s="38"/>
      <c r="D11" s="23"/>
      <c r="E11" s="23"/>
      <c r="F11" s="23"/>
      <c r="G11" s="23"/>
      <c r="H11" s="23"/>
      <c r="I11" s="23"/>
      <c r="J11" s="23"/>
      <c r="K11" s="23"/>
      <c r="L11" s="23"/>
      <c r="M11" s="23"/>
      <c r="N11" s="23"/>
      <c r="O11" s="23"/>
      <c r="P11" s="23"/>
      <c r="Q11" s="23"/>
      <c r="R11" s="23"/>
      <c r="S11" s="23"/>
      <c r="T11" s="23"/>
      <c r="U11" s="23"/>
      <c r="V11" s="23"/>
      <c r="W11" s="23"/>
      <c r="X11" s="23"/>
      <c r="Y11" s="23"/>
    </row>
    <row r="12" spans="1:25" ht="13">
      <c r="A12" s="23"/>
      <c r="B12" s="23"/>
      <c r="C12" s="38"/>
      <c r="D12" s="23"/>
      <c r="F12" s="18" t="s">
        <v>3</v>
      </c>
      <c r="G12" s="83" t="s">
        <v>419</v>
      </c>
      <c r="H12" s="2"/>
      <c r="I12" s="23"/>
      <c r="J12" s="23"/>
      <c r="K12" s="23"/>
      <c r="L12" s="23"/>
      <c r="M12" s="23"/>
      <c r="N12" s="23"/>
      <c r="O12" s="23"/>
      <c r="P12" s="23"/>
      <c r="Q12" s="23"/>
      <c r="R12" s="23"/>
      <c r="S12" s="23"/>
      <c r="T12" s="23"/>
      <c r="U12" s="23"/>
      <c r="V12" s="23"/>
      <c r="W12" s="23"/>
      <c r="X12" s="23"/>
      <c r="Y12" s="23"/>
    </row>
    <row r="13" spans="1:25">
      <c r="F13" s="27" t="s">
        <v>76</v>
      </c>
      <c r="G13" s="51" t="s">
        <v>368</v>
      </c>
      <c r="H13" s="2"/>
    </row>
    <row r="14" spans="1:25">
      <c r="F14" s="27" t="s">
        <v>67</v>
      </c>
      <c r="G14" s="3" t="s">
        <v>312</v>
      </c>
      <c r="H14" s="2"/>
    </row>
    <row r="15" spans="1:25">
      <c r="F15" s="27" t="s">
        <v>47</v>
      </c>
      <c r="G15" s="5" t="s">
        <v>318</v>
      </c>
      <c r="H15" s="2"/>
    </row>
    <row r="16" spans="1:25">
      <c r="F16" s="27" t="s">
        <v>69</v>
      </c>
      <c r="G16" s="79" t="s">
        <v>319</v>
      </c>
      <c r="H16" s="2"/>
    </row>
    <row r="17" spans="1:25">
      <c r="A17" s="23"/>
      <c r="B17" s="23"/>
      <c r="C17" s="38"/>
      <c r="D17" s="23"/>
      <c r="F17" s="18" t="s">
        <v>4</v>
      </c>
      <c r="G17" s="5" t="s">
        <v>317</v>
      </c>
      <c r="H17" s="23"/>
      <c r="L17" s="23"/>
      <c r="M17" s="23"/>
      <c r="N17" s="23"/>
      <c r="O17" s="23"/>
      <c r="P17" s="23"/>
      <c r="Q17" s="23"/>
      <c r="R17" s="23"/>
      <c r="S17" s="23"/>
      <c r="T17" s="23"/>
      <c r="U17" s="23"/>
      <c r="V17" s="23"/>
      <c r="W17" s="23"/>
      <c r="X17" s="23"/>
      <c r="Y17" s="23"/>
    </row>
    <row r="18" spans="1:25">
      <c r="F18" s="27" t="s">
        <v>70</v>
      </c>
      <c r="G18" s="52" t="s">
        <v>283</v>
      </c>
    </row>
    <row r="19" spans="1:25">
      <c r="A19" s="23"/>
      <c r="B19" s="23"/>
      <c r="C19" s="38"/>
      <c r="D19" s="23"/>
      <c r="E19" s="23"/>
      <c r="F19" s="23"/>
      <c r="G19" s="2"/>
      <c r="H19" s="2"/>
      <c r="I19" s="2"/>
      <c r="J19" s="2"/>
      <c r="K19" s="2"/>
      <c r="L19" s="23"/>
      <c r="M19" s="23"/>
      <c r="N19" s="23"/>
      <c r="O19" s="23"/>
      <c r="P19" s="23"/>
      <c r="Q19" s="23"/>
      <c r="R19" s="23"/>
      <c r="S19" s="23"/>
      <c r="T19" s="23"/>
      <c r="U19" s="23"/>
      <c r="V19" s="23"/>
      <c r="W19" s="23"/>
      <c r="X19" s="23"/>
      <c r="Y19" s="23"/>
    </row>
    <row r="20" spans="1:25" ht="16">
      <c r="A20" s="24"/>
      <c r="B20" s="24"/>
      <c r="C20" s="24"/>
      <c r="D20" s="24">
        <v>2</v>
      </c>
      <c r="E20" s="24" t="s">
        <v>179</v>
      </c>
      <c r="F20" s="24"/>
      <c r="G20" s="24"/>
      <c r="H20" s="24"/>
      <c r="I20" s="24"/>
      <c r="J20" s="24"/>
      <c r="K20" s="24"/>
      <c r="L20" s="24"/>
      <c r="M20" s="24"/>
      <c r="N20" s="24"/>
      <c r="O20" s="24"/>
      <c r="P20" s="24"/>
      <c r="Q20" s="24"/>
      <c r="R20" s="24"/>
      <c r="S20" s="24"/>
      <c r="T20" s="24"/>
      <c r="U20" s="24"/>
      <c r="V20" s="24"/>
      <c r="W20" s="24"/>
      <c r="X20" s="24"/>
      <c r="Y20" s="24"/>
    </row>
    <row r="21" spans="1:25">
      <c r="A21" s="23"/>
      <c r="B21" s="23"/>
      <c r="C21" s="38"/>
      <c r="D21" s="23"/>
      <c r="E21" s="18"/>
      <c r="F21" s="23"/>
      <c r="G21" s="23"/>
      <c r="H21" s="23"/>
      <c r="L21" s="23"/>
      <c r="M21" s="23"/>
      <c r="N21" s="23"/>
      <c r="O21" s="23"/>
      <c r="P21" s="23"/>
      <c r="Q21" s="23"/>
      <c r="R21" s="23"/>
      <c r="S21" s="23"/>
      <c r="T21" s="23"/>
      <c r="U21" s="23"/>
      <c r="V21" s="23"/>
      <c r="W21" s="23"/>
      <c r="X21" s="23"/>
      <c r="Y21" s="23"/>
    </row>
    <row r="22" spans="1:25">
      <c r="A22" s="23"/>
      <c r="B22" s="23"/>
      <c r="C22" s="38"/>
      <c r="D22" s="23"/>
      <c r="F22" s="27" t="s">
        <v>74</v>
      </c>
      <c r="G22" s="4">
        <v>44652</v>
      </c>
      <c r="H22" s="23"/>
      <c r="I22" s="23"/>
      <c r="J22" s="23"/>
      <c r="K22" s="23"/>
      <c r="L22" s="23"/>
      <c r="M22" s="23"/>
      <c r="N22" s="23"/>
      <c r="O22" s="23"/>
      <c r="P22" s="23"/>
      <c r="Q22" s="23"/>
      <c r="R22" s="23"/>
      <c r="S22" s="23"/>
      <c r="T22" s="23"/>
      <c r="U22" s="23"/>
      <c r="V22" s="23"/>
      <c r="W22" s="23"/>
      <c r="X22" s="23"/>
      <c r="Y22" s="23"/>
    </row>
    <row r="23" spans="1:25">
      <c r="F23" s="27" t="s">
        <v>248</v>
      </c>
      <c r="G23" s="1">
        <v>5</v>
      </c>
    </row>
    <row r="24" spans="1:25">
      <c r="A24" s="23"/>
      <c r="B24" s="23"/>
      <c r="C24" s="38"/>
      <c r="D24" s="23"/>
      <c r="E24" s="18"/>
      <c r="F24" t="s">
        <v>333</v>
      </c>
      <c r="G24" s="106">
        <v>45017</v>
      </c>
      <c r="H24" s="23"/>
      <c r="I24" s="23"/>
      <c r="J24" s="23"/>
      <c r="K24" s="23"/>
      <c r="L24" s="23"/>
      <c r="M24" s="23"/>
      <c r="N24" s="23"/>
      <c r="O24" s="23"/>
      <c r="P24" s="23"/>
      <c r="Q24" s="23"/>
      <c r="R24" s="23"/>
      <c r="S24" s="23"/>
      <c r="T24" s="23"/>
      <c r="U24" s="23"/>
      <c r="V24" s="23"/>
      <c r="W24" s="23"/>
      <c r="X24" s="23"/>
      <c r="Y24" s="23"/>
    </row>
    <row r="25" spans="1:25" customFormat="1"/>
    <row r="26" spans="1:25" ht="16">
      <c r="A26" s="24"/>
      <c r="B26" s="24"/>
      <c r="C26" s="24"/>
      <c r="D26" s="24">
        <v>3</v>
      </c>
      <c r="E26" s="24" t="s">
        <v>192</v>
      </c>
      <c r="F26" s="24"/>
      <c r="G26" s="24"/>
      <c r="H26" s="24"/>
      <c r="I26" s="24"/>
      <c r="J26" s="24"/>
      <c r="K26" s="24"/>
      <c r="L26" s="24"/>
      <c r="M26" s="24"/>
      <c r="N26" s="24"/>
      <c r="O26" s="24"/>
      <c r="P26" s="24"/>
      <c r="Q26" s="24"/>
      <c r="R26" s="24"/>
      <c r="S26" s="24"/>
      <c r="T26" s="24"/>
      <c r="U26" s="24"/>
      <c r="V26" s="24"/>
      <c r="W26" s="24"/>
      <c r="X26" s="24"/>
      <c r="Y26" s="24"/>
    </row>
    <row r="27" spans="1:25">
      <c r="A27" s="29"/>
      <c r="B27" s="29"/>
      <c r="C27" s="29"/>
      <c r="D27" s="29"/>
      <c r="E27" s="29"/>
      <c r="F27" s="29"/>
      <c r="G27" s="29"/>
      <c r="H27" s="29"/>
      <c r="I27" s="29"/>
      <c r="J27" s="29"/>
      <c r="K27" s="38"/>
      <c r="L27" s="38"/>
      <c r="M27" s="38"/>
      <c r="N27" s="38"/>
      <c r="O27" s="38"/>
      <c r="P27" s="38"/>
      <c r="Q27" s="29"/>
      <c r="R27" s="29"/>
      <c r="S27" s="29"/>
      <c r="T27" s="29"/>
      <c r="U27" s="29"/>
      <c r="V27" s="29"/>
      <c r="W27" s="29"/>
      <c r="X27" s="29"/>
      <c r="Y27" s="29"/>
    </row>
    <row r="28" spans="1:25">
      <c r="A28"/>
      <c r="B28"/>
      <c r="C28"/>
      <c r="D28"/>
      <c r="F28" s="18" t="s">
        <v>17</v>
      </c>
      <c r="G28" s="53">
        <v>1000</v>
      </c>
      <c r="H28" s="23"/>
      <c r="I28"/>
      <c r="J28"/>
      <c r="K28" s="38"/>
      <c r="L28" s="38"/>
      <c r="M28" s="38"/>
      <c r="N28" s="38"/>
      <c r="O28" s="38"/>
      <c r="P28" s="38"/>
      <c r="Q28"/>
      <c r="R28"/>
      <c r="S28" s="29"/>
      <c r="T28" s="29"/>
      <c r="U28" s="29"/>
      <c r="V28" s="29"/>
      <c r="W28"/>
      <c r="X28"/>
      <c r="Y28"/>
    </row>
    <row r="29" spans="1:25">
      <c r="A29"/>
      <c r="B29"/>
      <c r="C29"/>
      <c r="D29"/>
      <c r="F29" s="18" t="s">
        <v>16</v>
      </c>
      <c r="G29" s="53">
        <v>1000000</v>
      </c>
      <c r="H29" s="23"/>
      <c r="I29"/>
      <c r="J29"/>
      <c r="K29" s="38"/>
      <c r="L29" s="38"/>
      <c r="M29" s="38"/>
      <c r="N29" s="38"/>
      <c r="O29" s="38"/>
      <c r="P29" s="38"/>
      <c r="Q29"/>
      <c r="R29"/>
      <c r="S29"/>
      <c r="T29"/>
      <c r="U29"/>
      <c r="V29"/>
      <c r="W29"/>
      <c r="X29"/>
      <c r="Y29"/>
    </row>
    <row r="30" spans="1:25">
      <c r="A30"/>
      <c r="B30"/>
      <c r="C30"/>
      <c r="D30"/>
      <c r="F30" s="18" t="s">
        <v>18</v>
      </c>
      <c r="G30" s="53">
        <v>7</v>
      </c>
      <c r="H30" s="23"/>
      <c r="I30"/>
      <c r="J30"/>
      <c r="K30" s="38"/>
      <c r="L30" s="38"/>
      <c r="M30" s="38"/>
      <c r="N30" s="38"/>
      <c r="O30" s="38"/>
      <c r="P30" s="38"/>
      <c r="Q30"/>
      <c r="R30"/>
      <c r="S30"/>
      <c r="T30"/>
      <c r="U30"/>
      <c r="V30"/>
      <c r="W30"/>
      <c r="X30"/>
      <c r="Y30"/>
    </row>
    <row r="31" spans="1:25">
      <c r="A31"/>
      <c r="B31"/>
      <c r="C31"/>
      <c r="D31"/>
      <c r="F31" s="18" t="s">
        <v>19</v>
      </c>
      <c r="G31" s="53">
        <v>52</v>
      </c>
      <c r="H31" s="23"/>
      <c r="I31"/>
      <c r="J31"/>
      <c r="K31" s="38"/>
      <c r="L31" s="38"/>
      <c r="M31" s="38"/>
      <c r="N31" s="38"/>
      <c r="O31" s="38"/>
      <c r="P31" s="38"/>
      <c r="Q31"/>
      <c r="R31"/>
      <c r="S31"/>
      <c r="T31"/>
      <c r="U31"/>
      <c r="V31"/>
      <c r="W31"/>
      <c r="X31"/>
      <c r="Y31"/>
    </row>
    <row r="32" spans="1:25">
      <c r="A32"/>
      <c r="B32"/>
      <c r="C32"/>
      <c r="D32"/>
      <c r="F32" s="18" t="s">
        <v>20</v>
      </c>
      <c r="G32" s="53">
        <v>3</v>
      </c>
      <c r="H32"/>
      <c r="I32"/>
      <c r="J32"/>
      <c r="K32" s="38"/>
      <c r="L32" s="38"/>
      <c r="M32" s="38"/>
      <c r="N32" s="38"/>
      <c r="O32" s="38"/>
      <c r="P32" s="38"/>
      <c r="Q32"/>
      <c r="R32"/>
      <c r="S32"/>
      <c r="T32"/>
      <c r="U32"/>
      <c r="V32"/>
      <c r="W32"/>
      <c r="X32"/>
      <c r="Y32"/>
    </row>
    <row r="33" spans="1:25">
      <c r="A33"/>
      <c r="B33"/>
      <c r="C33"/>
      <c r="D33"/>
      <c r="F33" s="18" t="s">
        <v>21</v>
      </c>
      <c r="G33" s="53">
        <v>12</v>
      </c>
      <c r="H33"/>
      <c r="I33"/>
      <c r="J33"/>
      <c r="K33" s="38"/>
      <c r="L33" s="38"/>
      <c r="M33" s="38"/>
      <c r="N33" s="38"/>
      <c r="O33" s="38"/>
      <c r="P33" s="38"/>
      <c r="Q33"/>
      <c r="R33"/>
      <c r="S33"/>
      <c r="T33"/>
      <c r="U33"/>
      <c r="V33"/>
      <c r="W33"/>
      <c r="X33"/>
      <c r="Y33"/>
    </row>
    <row r="34" spans="1:25">
      <c r="A34"/>
      <c r="B34"/>
      <c r="C34"/>
      <c r="D34"/>
      <c r="E34"/>
      <c r="F34"/>
      <c r="G34"/>
      <c r="H34"/>
      <c r="I34"/>
      <c r="J34"/>
      <c r="K34" s="38"/>
      <c r="L34" s="38"/>
      <c r="M34" s="38"/>
      <c r="N34" s="38"/>
      <c r="O34" s="38"/>
      <c r="P34" s="38"/>
      <c r="Q34"/>
      <c r="R34"/>
      <c r="S34"/>
      <c r="T34"/>
      <c r="U34"/>
      <c r="V34"/>
      <c r="W34"/>
      <c r="X34"/>
      <c r="Y34"/>
    </row>
    <row r="35" spans="1:25" ht="16">
      <c r="A35" s="24"/>
      <c r="B35" s="24"/>
      <c r="C35" s="24"/>
      <c r="D35" s="24">
        <v>4</v>
      </c>
      <c r="E35" s="24" t="s">
        <v>5</v>
      </c>
      <c r="F35" s="24"/>
      <c r="G35" s="24"/>
      <c r="H35" s="24"/>
      <c r="I35" s="24"/>
      <c r="J35" s="24"/>
      <c r="K35" s="24"/>
      <c r="L35" s="24"/>
      <c r="M35" s="24"/>
      <c r="N35" s="24"/>
      <c r="O35" s="24"/>
      <c r="P35" s="24"/>
      <c r="Q35" s="24"/>
      <c r="R35" s="24"/>
      <c r="S35" s="24"/>
      <c r="T35" s="24"/>
      <c r="U35" s="24"/>
      <c r="V35" s="24"/>
      <c r="W35" s="24"/>
      <c r="X35" s="24"/>
      <c r="Y35" s="24"/>
    </row>
    <row r="37" spans="1:25">
      <c r="F37" s="18" t="s">
        <v>289</v>
      </c>
      <c r="G37" s="52" t="s">
        <v>287</v>
      </c>
    </row>
    <row r="38" spans="1:25">
      <c r="F38" s="18" t="s">
        <v>288</v>
      </c>
      <c r="G38" s="52" t="s">
        <v>286</v>
      </c>
    </row>
    <row r="39" spans="1:25">
      <c r="F39" s="18" t="s">
        <v>185</v>
      </c>
      <c r="G39" s="52" t="s">
        <v>290</v>
      </c>
    </row>
    <row r="40" spans="1:25">
      <c r="F40" s="18" t="s">
        <v>187</v>
      </c>
      <c r="G40" s="52" t="s">
        <v>188</v>
      </c>
    </row>
    <row r="41" spans="1:25">
      <c r="F41" s="18" t="s">
        <v>189</v>
      </c>
      <c r="G41" s="52" t="s">
        <v>190</v>
      </c>
    </row>
    <row r="42" spans="1:25">
      <c r="F42" s="18" t="s">
        <v>183</v>
      </c>
      <c r="G42" s="52" t="s">
        <v>6</v>
      </c>
    </row>
    <row r="43" spans="1:25">
      <c r="F43" s="18" t="s">
        <v>184</v>
      </c>
      <c r="G43" s="52" t="s">
        <v>7</v>
      </c>
    </row>
    <row r="44" spans="1:25">
      <c r="F44" s="18" t="s">
        <v>186</v>
      </c>
      <c r="G44" s="52" t="s">
        <v>106</v>
      </c>
    </row>
    <row r="45" spans="1:25">
      <c r="F45" s="18" t="s">
        <v>182</v>
      </c>
      <c r="G45" s="52" t="s">
        <v>216</v>
      </c>
    </row>
    <row r="46" spans="1:25">
      <c r="F46" s="18" t="s">
        <v>304</v>
      </c>
      <c r="G46" s="52" t="s">
        <v>305</v>
      </c>
    </row>
    <row r="48" spans="1:25" ht="16">
      <c r="A48" s="24"/>
      <c r="B48" s="24"/>
      <c r="C48" s="24"/>
      <c r="D48" s="24">
        <v>5</v>
      </c>
      <c r="E48" s="24" t="s">
        <v>181</v>
      </c>
      <c r="F48" s="24"/>
      <c r="G48" s="24"/>
      <c r="H48" s="24"/>
      <c r="I48" s="24"/>
      <c r="J48" s="24"/>
      <c r="K48" s="24"/>
      <c r="L48" s="24"/>
      <c r="M48" s="24"/>
      <c r="N48" s="24"/>
      <c r="O48" s="24"/>
      <c r="P48" s="24"/>
      <c r="Q48" s="24"/>
      <c r="R48" s="24"/>
      <c r="S48" s="24"/>
      <c r="T48" s="24"/>
      <c r="U48" s="24"/>
      <c r="V48" s="24"/>
      <c r="W48" s="24"/>
      <c r="X48" s="24"/>
      <c r="Y48" s="24"/>
    </row>
    <row r="49" spans="1:25">
      <c r="A49"/>
      <c r="B49"/>
      <c r="C49"/>
      <c r="D49"/>
      <c r="E49"/>
      <c r="F49"/>
      <c r="G49"/>
      <c r="H49"/>
      <c r="I49"/>
      <c r="J49"/>
      <c r="K49"/>
      <c r="L49"/>
      <c r="M49"/>
      <c r="N49"/>
      <c r="O49"/>
      <c r="P49"/>
      <c r="Q49"/>
      <c r="R49"/>
      <c r="S49"/>
      <c r="T49"/>
      <c r="U49"/>
      <c r="V49"/>
      <c r="W49"/>
      <c r="X49"/>
      <c r="Y49"/>
    </row>
    <row r="50" spans="1:25">
      <c r="A50"/>
      <c r="B50" s="20">
        <f>IF(eTol="",1,0)</f>
        <v>0</v>
      </c>
      <c r="C50"/>
      <c r="D50"/>
      <c r="F50" s="27" t="s">
        <v>39</v>
      </c>
      <c r="G50" s="54">
        <v>1E-4</v>
      </c>
      <c r="H50" s="28"/>
      <c r="I50"/>
      <c r="J50"/>
      <c r="K50"/>
      <c r="L50"/>
      <c r="M50"/>
      <c r="N50"/>
      <c r="O50"/>
      <c r="P50"/>
      <c r="Q50"/>
      <c r="R50"/>
      <c r="S50"/>
      <c r="T50"/>
      <c r="U50"/>
      <c r="V50"/>
      <c r="W50"/>
      <c r="X50"/>
      <c r="Y50"/>
    </row>
    <row r="51" spans="1:25">
      <c r="F51"/>
      <c r="G51"/>
      <c r="H51" s="28"/>
    </row>
    <row r="52" spans="1:25">
      <c r="A52"/>
      <c r="B52"/>
      <c r="C52"/>
      <c r="D52"/>
      <c r="F52" s="27" t="s">
        <v>41</v>
      </c>
      <c r="G52" s="50" t="str">
        <f>IF(AND(sysChk=0,sysWarn=0),"All Checks OK",IF(sysChk&lt;&gt;0,sysChk&amp;" Error"&amp;IF(sysChk=1," ","s "),"")&amp;IF(sysWarn&lt;&gt;0,sysWarn&amp;" Warning"&amp;IF(sysWarn=1,"","s"),""))</f>
        <v>All Checks OK</v>
      </c>
      <c r="H52" s="28"/>
      <c r="I52" s="38"/>
      <c r="J52"/>
      <c r="K52"/>
      <c r="M52"/>
      <c r="N52"/>
      <c r="O52"/>
      <c r="P52"/>
      <c r="Q52"/>
      <c r="R52"/>
      <c r="S52"/>
      <c r="T52"/>
      <c r="U52"/>
      <c r="V52"/>
      <c r="W52"/>
      <c r="X52"/>
      <c r="Y52"/>
    </row>
    <row r="53" spans="1:25">
      <c r="F53" s="27"/>
      <c r="H53" s="28"/>
    </row>
    <row r="54" spans="1:25" ht="16">
      <c r="A54" s="24"/>
      <c r="B54" s="24"/>
      <c r="C54" s="24"/>
      <c r="D54" s="24">
        <v>6</v>
      </c>
      <c r="E54" s="24" t="s">
        <v>180</v>
      </c>
      <c r="F54" s="24"/>
      <c r="G54" s="24"/>
      <c r="H54" s="24"/>
      <c r="I54" s="24"/>
      <c r="J54" s="24"/>
      <c r="K54" s="24"/>
      <c r="L54" s="24"/>
      <c r="M54" s="24"/>
      <c r="N54" s="24"/>
      <c r="O54" s="24"/>
      <c r="P54" s="24"/>
      <c r="Q54" s="24"/>
      <c r="R54" s="24"/>
      <c r="S54" s="24"/>
      <c r="T54" s="24"/>
      <c r="U54" s="24"/>
      <c r="V54" s="24"/>
      <c r="W54" s="24"/>
      <c r="X54" s="24"/>
      <c r="Y54" s="24"/>
    </row>
    <row r="55" spans="1:25">
      <c r="A55"/>
      <c r="B55"/>
      <c r="C55"/>
      <c r="D55"/>
      <c r="E55"/>
      <c r="F55"/>
      <c r="G55"/>
      <c r="H55"/>
      <c r="I55"/>
      <c r="J55"/>
      <c r="K55"/>
      <c r="L55"/>
      <c r="M55"/>
      <c r="N55"/>
      <c r="O55"/>
      <c r="P55"/>
      <c r="Q55"/>
      <c r="R55"/>
      <c r="S55"/>
      <c r="T55"/>
      <c r="U55"/>
      <c r="V55"/>
      <c r="W55"/>
      <c r="X55"/>
      <c r="Y55"/>
    </row>
    <row r="56" spans="1:25">
      <c r="A56"/>
      <c r="B56"/>
      <c r="C56"/>
      <c r="D56"/>
      <c r="F56" s="69" t="s">
        <v>29</v>
      </c>
      <c r="G56" s="76" t="s">
        <v>48</v>
      </c>
      <c r="H56" s="70" t="s">
        <v>49</v>
      </c>
      <c r="I56"/>
      <c r="J56"/>
      <c r="K56"/>
      <c r="M56"/>
      <c r="N56"/>
      <c r="O56"/>
      <c r="P56"/>
      <c r="Q56"/>
      <c r="R56"/>
      <c r="S56"/>
      <c r="T56"/>
      <c r="U56"/>
      <c r="V56"/>
      <c r="W56"/>
      <c r="X56"/>
      <c r="Y56"/>
    </row>
    <row r="57" spans="1:25">
      <c r="F57" s="71" t="s">
        <v>320</v>
      </c>
      <c r="G57" s="75" t="s">
        <v>335</v>
      </c>
      <c r="H57" s="72" t="s">
        <v>349</v>
      </c>
    </row>
    <row r="58" spans="1:25">
      <c r="F58" s="71" t="s">
        <v>321</v>
      </c>
      <c r="G58" s="75" t="s">
        <v>336</v>
      </c>
      <c r="H58" s="72" t="s">
        <v>349</v>
      </c>
    </row>
    <row r="59" spans="1:25">
      <c r="F59" s="71" t="s">
        <v>187</v>
      </c>
      <c r="G59" s="75" t="s">
        <v>266</v>
      </c>
      <c r="H59" s="72" t="s">
        <v>350</v>
      </c>
    </row>
    <row r="60" spans="1:25">
      <c r="F60" s="71" t="s">
        <v>289</v>
      </c>
      <c r="G60" s="75" t="s">
        <v>270</v>
      </c>
      <c r="H60" s="72" t="s">
        <v>350</v>
      </c>
    </row>
    <row r="61" spans="1:25">
      <c r="F61" s="71" t="s">
        <v>18</v>
      </c>
      <c r="G61" s="75" t="s">
        <v>271</v>
      </c>
      <c r="H61" s="72" t="s">
        <v>386</v>
      </c>
    </row>
    <row r="62" spans="1:25">
      <c r="F62" s="71" t="s">
        <v>304</v>
      </c>
      <c r="G62" s="75" t="s">
        <v>337</v>
      </c>
      <c r="H62" s="72" t="s">
        <v>350</v>
      </c>
    </row>
    <row r="63" spans="1:25">
      <c r="F63" s="71" t="s">
        <v>189</v>
      </c>
      <c r="G63" s="75" t="s">
        <v>267</v>
      </c>
      <c r="H63" s="72" t="s">
        <v>350</v>
      </c>
    </row>
    <row r="64" spans="1:25">
      <c r="F64" s="71" t="s">
        <v>182</v>
      </c>
      <c r="G64" s="75" t="s">
        <v>338</v>
      </c>
      <c r="H64" s="72" t="s">
        <v>350</v>
      </c>
    </row>
    <row r="65" spans="6:8">
      <c r="F65" s="71" t="s">
        <v>16</v>
      </c>
      <c r="G65" s="75" t="s">
        <v>260</v>
      </c>
      <c r="H65" s="72" t="s">
        <v>50</v>
      </c>
    </row>
    <row r="66" spans="6:8">
      <c r="F66" s="71" t="s">
        <v>20</v>
      </c>
      <c r="G66" s="75" t="s">
        <v>265</v>
      </c>
      <c r="H66" s="72" t="s">
        <v>51</v>
      </c>
    </row>
    <row r="67" spans="6:8">
      <c r="F67" s="71" t="s">
        <v>21</v>
      </c>
      <c r="G67" s="75" t="s">
        <v>339</v>
      </c>
      <c r="H67" s="72" t="s">
        <v>52</v>
      </c>
    </row>
    <row r="68" spans="6:8">
      <c r="F68" s="71" t="s">
        <v>288</v>
      </c>
      <c r="G68" s="75" t="s">
        <v>259</v>
      </c>
      <c r="H68" s="72" t="s">
        <v>350</v>
      </c>
    </row>
    <row r="69" spans="6:8">
      <c r="F69" s="71" t="s">
        <v>183</v>
      </c>
      <c r="G69" s="75" t="s">
        <v>272</v>
      </c>
      <c r="H69" s="72" t="s">
        <v>350</v>
      </c>
    </row>
    <row r="70" spans="6:8">
      <c r="F70" s="71" t="s">
        <v>184</v>
      </c>
      <c r="G70" s="75" t="s">
        <v>262</v>
      </c>
      <c r="H70" s="72" t="s">
        <v>350</v>
      </c>
    </row>
    <row r="71" spans="6:8">
      <c r="F71" s="71" t="s">
        <v>28</v>
      </c>
      <c r="G71" s="75" t="s">
        <v>268</v>
      </c>
      <c r="H71" s="72" t="s">
        <v>53</v>
      </c>
    </row>
    <row r="72" spans="6:8">
      <c r="F72" s="71" t="s">
        <v>71</v>
      </c>
      <c r="G72" s="75" t="s">
        <v>269</v>
      </c>
      <c r="H72" s="72" t="s">
        <v>72</v>
      </c>
    </row>
    <row r="73" spans="6:8">
      <c r="F73" s="71" t="s">
        <v>185</v>
      </c>
      <c r="G73" s="75" t="s">
        <v>261</v>
      </c>
      <c r="H73" s="72" t="s">
        <v>350</v>
      </c>
    </row>
    <row r="74" spans="6:8">
      <c r="F74" s="71" t="s">
        <v>17</v>
      </c>
      <c r="G74" s="75" t="s">
        <v>263</v>
      </c>
      <c r="H74" s="72" t="s">
        <v>54</v>
      </c>
    </row>
    <row r="75" spans="6:8">
      <c r="F75" s="71" t="s">
        <v>19</v>
      </c>
      <c r="G75" s="75" t="s">
        <v>264</v>
      </c>
      <c r="H75" s="72" t="s">
        <v>55</v>
      </c>
    </row>
    <row r="76" spans="6:8">
      <c r="F76" s="71" t="s">
        <v>186</v>
      </c>
      <c r="G76" s="75" t="s">
        <v>340</v>
      </c>
      <c r="H76" s="72" t="s">
        <v>350</v>
      </c>
    </row>
    <row r="77" spans="6:8">
      <c r="F77" s="71" t="s">
        <v>40</v>
      </c>
      <c r="G77" s="75" t="s">
        <v>341</v>
      </c>
      <c r="H77" s="72" t="s">
        <v>56</v>
      </c>
    </row>
    <row r="78" spans="6:8">
      <c r="F78" s="71" t="s">
        <v>273</v>
      </c>
      <c r="G78" s="75" t="s">
        <v>342</v>
      </c>
      <c r="H78" s="72" t="s">
        <v>351</v>
      </c>
    </row>
    <row r="79" spans="6:8">
      <c r="F79" s="71" t="s">
        <v>274</v>
      </c>
      <c r="G79" s="75" t="s">
        <v>383</v>
      </c>
      <c r="H79" s="72" t="s">
        <v>352</v>
      </c>
    </row>
    <row r="80" spans="6:8">
      <c r="F80" s="71" t="s">
        <v>275</v>
      </c>
      <c r="G80" s="75" t="s">
        <v>384</v>
      </c>
      <c r="H80" s="72" t="s">
        <v>352</v>
      </c>
    </row>
    <row r="81" spans="1:25">
      <c r="F81" s="71" t="s">
        <v>65</v>
      </c>
      <c r="G81" s="78" t="s">
        <v>343</v>
      </c>
      <c r="H81" s="72" t="s">
        <v>73</v>
      </c>
    </row>
    <row r="82" spans="1:25">
      <c r="F82" s="71" t="s">
        <v>43</v>
      </c>
      <c r="G82" s="78" t="s">
        <v>344</v>
      </c>
      <c r="H82" s="72" t="s">
        <v>57</v>
      </c>
    </row>
    <row r="83" spans="1:25">
      <c r="F83" s="71" t="s">
        <v>38</v>
      </c>
      <c r="G83" s="78" t="s">
        <v>345</v>
      </c>
      <c r="H83" s="72" t="s">
        <v>58</v>
      </c>
    </row>
    <row r="84" spans="1:25">
      <c r="F84" s="71" t="s">
        <v>30</v>
      </c>
      <c r="G84" s="78" t="s">
        <v>385</v>
      </c>
      <c r="H84" s="72" t="s">
        <v>59</v>
      </c>
    </row>
    <row r="85" spans="1:25">
      <c r="F85" s="71" t="s">
        <v>44</v>
      </c>
      <c r="G85" s="78" t="s">
        <v>346</v>
      </c>
      <c r="H85" s="72" t="s">
        <v>60</v>
      </c>
    </row>
    <row r="86" spans="1:25">
      <c r="F86" s="71" t="s">
        <v>31</v>
      </c>
      <c r="G86" s="78" t="s">
        <v>347</v>
      </c>
      <c r="H86" s="72" t="s">
        <v>61</v>
      </c>
    </row>
    <row r="87" spans="1:25">
      <c r="F87" s="71" t="s">
        <v>27</v>
      </c>
      <c r="G87" s="78" t="s">
        <v>276</v>
      </c>
      <c r="H87" s="72" t="s">
        <v>62</v>
      </c>
    </row>
    <row r="88" spans="1:25">
      <c r="F88" s="71" t="s">
        <v>32</v>
      </c>
      <c r="G88" s="78" t="s">
        <v>348</v>
      </c>
      <c r="H88" s="72" t="s">
        <v>63</v>
      </c>
    </row>
    <row r="89" spans="1:25">
      <c r="A89"/>
      <c r="B89"/>
      <c r="C89"/>
      <c r="D89"/>
      <c r="F89" s="73" t="s">
        <v>37</v>
      </c>
      <c r="G89" s="77"/>
      <c r="H89" s="109"/>
      <c r="I89"/>
      <c r="J89"/>
      <c r="K89"/>
      <c r="L89"/>
      <c r="M89"/>
      <c r="N89"/>
      <c r="O89"/>
      <c r="P89"/>
      <c r="Q89"/>
      <c r="R89"/>
      <c r="S89"/>
      <c r="T89"/>
      <c r="U89"/>
      <c r="V89"/>
      <c r="W89"/>
      <c r="X89"/>
      <c r="Y89"/>
    </row>
    <row r="90" spans="1:25">
      <c r="A90"/>
      <c r="B90"/>
      <c r="C90"/>
      <c r="D90"/>
      <c r="E90"/>
      <c r="F90"/>
      <c r="I90"/>
      <c r="J90"/>
      <c r="K90"/>
      <c r="L90"/>
      <c r="M90"/>
      <c r="N90"/>
      <c r="O90"/>
      <c r="P90"/>
      <c r="Q90"/>
      <c r="R90"/>
      <c r="S90"/>
      <c r="T90"/>
      <c r="U90"/>
      <c r="V90"/>
      <c r="W90"/>
      <c r="X90"/>
      <c r="Y90"/>
    </row>
    <row r="91" spans="1:25" ht="16">
      <c r="A91" s="24"/>
      <c r="B91" s="24"/>
      <c r="C91" s="24"/>
      <c r="D91" s="24">
        <v>7</v>
      </c>
      <c r="E91" s="24" t="s">
        <v>191</v>
      </c>
      <c r="F91" s="24"/>
      <c r="G91" s="24"/>
      <c r="H91" s="24"/>
      <c r="I91" s="24"/>
      <c r="J91" s="24"/>
      <c r="K91" s="24"/>
      <c r="L91" s="24"/>
      <c r="M91" s="24"/>
      <c r="N91" s="24"/>
      <c r="O91" s="24"/>
      <c r="P91" s="24"/>
      <c r="Q91" s="24"/>
      <c r="R91" s="24"/>
      <c r="S91" s="24"/>
      <c r="T91" s="24"/>
      <c r="U91" s="24"/>
      <c r="V91" s="24"/>
      <c r="W91" s="24"/>
      <c r="X91" s="24"/>
      <c r="Y91" s="24"/>
    </row>
    <row r="93" spans="1:25" s="25" customFormat="1" ht="14" thickBot="1">
      <c r="E93" s="25" t="s">
        <v>406</v>
      </c>
      <c r="F93" s="25" t="s">
        <v>193</v>
      </c>
    </row>
    <row r="95" spans="1:25">
      <c r="F95" s="121" t="s">
        <v>78</v>
      </c>
    </row>
    <row r="96" spans="1:25">
      <c r="F96" s="122" t="s">
        <v>79</v>
      </c>
    </row>
    <row r="97" spans="1:25">
      <c r="F97" s="123" t="s">
        <v>80</v>
      </c>
    </row>
    <row r="99" spans="1:25" s="25" customFormat="1" ht="14" thickBot="1">
      <c r="E99" s="25" t="s">
        <v>414</v>
      </c>
      <c r="F99" s="25" t="s">
        <v>194</v>
      </c>
    </row>
    <row r="101" spans="1:25">
      <c r="F101" s="121" t="s">
        <v>197</v>
      </c>
    </row>
    <row r="102" spans="1:25">
      <c r="F102" s="122" t="s">
        <v>196</v>
      </c>
    </row>
    <row r="103" spans="1:25">
      <c r="F103" s="123" t="s">
        <v>195</v>
      </c>
    </row>
    <row r="105" spans="1:25" ht="16">
      <c r="A105" s="24"/>
      <c r="B105" s="24"/>
      <c r="C105" s="24"/>
      <c r="D105" s="24" t="s">
        <v>8</v>
      </c>
      <c r="E105" s="24"/>
      <c r="F105" s="24"/>
      <c r="G105" s="24"/>
      <c r="H105" s="24"/>
      <c r="I105" s="24"/>
      <c r="J105" s="24"/>
      <c r="K105" s="24"/>
      <c r="L105" s="24"/>
      <c r="M105" s="24"/>
      <c r="N105" s="24"/>
      <c r="O105" s="24"/>
      <c r="P105" s="24"/>
      <c r="Q105" s="24"/>
      <c r="R105" s="24"/>
      <c r="S105" s="24"/>
      <c r="T105" s="24"/>
      <c r="U105" s="24"/>
      <c r="V105" s="24"/>
      <c r="W105" s="24"/>
      <c r="X105" s="24"/>
      <c r="Y105" s="24"/>
    </row>
  </sheetData>
  <sheetProtection algorithmName="SHA-512" hashValue="QaMrZZ4WuE2LsnXFOoQQk1edkOj5TpOV9fhU7Cwx7KKscrRT96QPdDnulUvs30QVs/LF6g09DYdbFDiOF+mahw==" saltValue="H77zszpHRxUVYNbyXPKDnw==" spinCount="100000" sheet="1" objects="1" scenarios="1"/>
  <phoneticPr fontId="40" type="noConversion"/>
  <conditionalFormatting sqref="C5:F5">
    <cfRule type="expression" dxfId="5" priority="1">
      <formula>IF(AND(sysChk=0,sysWarn=0),1,0)</formula>
    </cfRule>
    <cfRule type="expression" dxfId="4" priority="2">
      <formula>IF(AND(sysChk=0,sysWarn&lt;&gt;0),1,0)</formula>
    </cfRule>
    <cfRule type="expression" dxfId="3" priority="3">
      <formula>IF(sysChk&lt;&gt;0,1,0)</formula>
    </cfRule>
  </conditionalFormatting>
  <dataValidations count="3">
    <dataValidation type="date" allowBlank="1" showInputMessage="1" showErrorMessage="1" prompt="Note, if this is changed this will update the timeline on timebound sheets - this may require input assumptions to be updated" sqref="G22" xr:uid="{00000000-0002-0000-1000-000002000000}">
      <formula1>1</formula1>
      <formula2>402133</formula2>
    </dataValidation>
    <dataValidation type="list" allowBlank="1" showInputMessage="1" showErrorMessage="1" sqref="G14" xr:uid="{00000000-0002-0000-1000-000004000000}">
      <formula1>"Low,Medium,High"</formula1>
    </dataValidation>
    <dataValidation type="date" allowBlank="1" showInputMessage="1" showErrorMessage="1" sqref="G23" xr:uid="{35839F7F-4DD8-4EC1-AFCF-C1FCDFC0A4F0}">
      <formula1>1</formula1>
      <formula2>402133</formula2>
    </dataValidation>
  </dataValidations>
  <hyperlinks>
    <hyperlink ref="G16" r:id="rId1" xr:uid="{3C2B7980-146D-4824-8DA3-F290A2E7EBB3}"/>
  </hyperlinks>
  <pageMargins left="0.70866141732283472" right="0.70866141732283472" top="0.74803149606299213" bottom="0.74803149606299213" header="0.31496062992125984" footer="0.31496062992125984"/>
  <pageSetup paperSize="9" scale="39" orientation="landscape" r:id="rId2"/>
  <headerFooter>
    <oddFooter>&amp;F</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3">
    <tabColor rgb="FF5F5F5F"/>
    <pageSetUpPr fitToPage="1"/>
  </sheetPr>
  <dimension ref="A1:BR41"/>
  <sheetViews>
    <sheetView showGridLines="0" zoomScale="80" zoomScaleNormal="80" workbookViewId="0">
      <pane xSplit="26" ySplit="9" topLeftCell="AA10" activePane="bottomRight" state="frozen"/>
      <selection pane="topRight"/>
      <selection pane="bottomLeft"/>
      <selection pane="bottomRight"/>
    </sheetView>
  </sheetViews>
  <sheetFormatPr baseColWidth="10" defaultColWidth="0" defaultRowHeight="12"/>
  <cols>
    <col min="1" max="2" width="5.796875" style="23" customWidth="1"/>
    <col min="3" max="3" width="2.19921875" style="23" customWidth="1"/>
    <col min="4" max="4" width="2.3984375" style="23" customWidth="1"/>
    <col min="5" max="5" width="3.796875" style="23" customWidth="1"/>
    <col min="6" max="6" width="27.796875" style="23" customWidth="1"/>
    <col min="7" max="7" width="4.796875" style="23" bestFit="1" customWidth="1"/>
    <col min="8" max="8" width="2.19921875" style="36" customWidth="1"/>
    <col min="9" max="9" width="2.19921875" style="23" customWidth="1"/>
    <col min="10" max="10" width="0.796875" style="40" customWidth="1"/>
    <col min="11" max="11" width="10.19921875" style="40" customWidth="1"/>
    <col min="12" max="25" width="0.796875" style="40" customWidth="1"/>
    <col min="26" max="26" width="12.796875" style="23" bestFit="1" customWidth="1"/>
    <col min="27" max="28" width="10" style="23" bestFit="1" customWidth="1"/>
    <col min="29" max="29" width="9.796875" style="23" bestFit="1" customWidth="1"/>
    <col min="30" max="31" width="10" style="23" bestFit="1" customWidth="1"/>
    <col min="32" max="37" width="9.796875" style="23" bestFit="1" customWidth="1"/>
    <col min="38" max="38" width="9.59765625" style="23" bestFit="1" customWidth="1"/>
    <col min="39" max="39" width="9.796875" style="23" bestFit="1" customWidth="1"/>
    <col min="40" max="45" width="10" style="23" bestFit="1" customWidth="1"/>
    <col min="46" max="46" width="9.796875" style="23" bestFit="1" customWidth="1"/>
    <col min="47" max="48" width="10" style="23" bestFit="1" customWidth="1"/>
    <col min="49" max="52" width="9.796875" style="23" bestFit="1" customWidth="1"/>
    <col min="53" max="57" width="9.796875" style="40" bestFit="1" customWidth="1"/>
    <col min="58" max="58" width="8" style="45" customWidth="1"/>
    <col min="59" max="59" width="9.796875" style="40" bestFit="1" customWidth="1"/>
    <col min="60" max="63" width="9.796875" style="40" customWidth="1"/>
    <col min="64" max="65" width="9.796875" style="40" bestFit="1" customWidth="1"/>
    <col min="66" max="66" width="8.796875" hidden="1" customWidth="1"/>
    <col min="67" max="70" width="0" hidden="1" customWidth="1"/>
    <col min="71" max="16384" width="8.796875" hidden="1"/>
  </cols>
  <sheetData>
    <row r="1" spans="1:66">
      <c r="A1" s="95"/>
      <c r="B1" s="95"/>
      <c r="C1" s="96" t="s">
        <v>436</v>
      </c>
      <c r="D1" s="95"/>
      <c r="E1" s="95"/>
      <c r="F1" s="95"/>
      <c r="G1" s="95"/>
      <c r="H1" s="95"/>
      <c r="I1" s="95"/>
      <c r="J1" s="95"/>
      <c r="K1" s="95"/>
      <c r="L1" s="95"/>
      <c r="M1" s="95"/>
      <c r="N1" s="95"/>
      <c r="O1" s="95"/>
      <c r="P1" s="95"/>
      <c r="Q1" s="95"/>
      <c r="R1" s="95"/>
      <c r="S1" s="95"/>
      <c r="T1" s="95"/>
      <c r="U1" s="95"/>
      <c r="V1" s="95"/>
      <c r="W1" s="95"/>
      <c r="X1" s="95"/>
      <c r="Y1" s="95"/>
      <c r="Z1" s="95"/>
      <c r="AA1" s="95"/>
      <c r="AB1" s="95"/>
      <c r="AC1" s="95"/>
      <c r="AD1" s="95"/>
      <c r="AE1" s="95"/>
      <c r="AF1" s="95"/>
      <c r="AG1" s="95"/>
      <c r="AH1" s="95"/>
      <c r="AI1" s="95"/>
      <c r="AJ1" s="95"/>
      <c r="AK1" s="95"/>
      <c r="AL1" s="95"/>
      <c r="AM1" s="95"/>
      <c r="AN1" s="95"/>
      <c r="AO1" s="95"/>
      <c r="AP1" s="95"/>
      <c r="AQ1" s="95"/>
      <c r="AR1" s="95"/>
      <c r="AS1" s="95"/>
      <c r="AT1" s="95"/>
      <c r="AU1" s="95"/>
      <c r="AV1" s="95"/>
      <c r="AW1" s="95"/>
      <c r="AX1" s="95"/>
      <c r="AY1" s="95"/>
      <c r="AZ1" s="95"/>
      <c r="BA1" s="95"/>
      <c r="BB1" s="95"/>
      <c r="BC1" s="95"/>
      <c r="BD1" s="95"/>
      <c r="BE1" s="95"/>
      <c r="BF1" s="95"/>
      <c r="BG1" s="95"/>
      <c r="BH1" s="95"/>
      <c r="BI1" s="95"/>
      <c r="BJ1" s="95"/>
      <c r="BK1" s="95"/>
      <c r="BL1" s="95"/>
      <c r="BM1" s="95"/>
      <c r="BN1" s="21"/>
    </row>
    <row r="2" spans="1:66" ht="13">
      <c r="A2" s="95"/>
      <c r="B2" s="95"/>
      <c r="C2" s="98" t="str">
        <f>cstProjectName</f>
        <v>Should Cost Modelling Case Study - Illustrative SCM</v>
      </c>
      <c r="D2" s="95"/>
      <c r="E2" s="95"/>
      <c r="F2" s="95"/>
      <c r="G2" s="95"/>
      <c r="H2" s="95"/>
      <c r="I2" s="95"/>
      <c r="J2" s="95"/>
      <c r="K2" s="95"/>
      <c r="L2" s="95"/>
      <c r="M2" s="95"/>
      <c r="N2" s="95"/>
      <c r="O2" s="95"/>
      <c r="P2" s="95"/>
      <c r="Q2" s="95"/>
      <c r="R2" s="95"/>
      <c r="S2" s="95"/>
      <c r="T2" s="95"/>
      <c r="U2" s="95"/>
      <c r="V2" s="95"/>
      <c r="W2" s="95"/>
      <c r="X2" s="95"/>
      <c r="Y2" s="95"/>
      <c r="Z2" s="105" t="s">
        <v>14</v>
      </c>
      <c r="AA2" s="66">
        <f>IF(COLUMN()=COLUMN($AA:$AA),SysConfig!$G$22,Z3+1)</f>
        <v>44652</v>
      </c>
      <c r="AB2" s="66">
        <f>IF(COLUMN()=COLUMN($AA:$AA),SysConfig!$G$22,AA3+1)</f>
        <v>45017</v>
      </c>
      <c r="AC2" s="66">
        <f>IF(COLUMN()=COLUMN($AA:$AA),SysConfig!$G$22,AB3+1)</f>
        <v>45383</v>
      </c>
      <c r="AD2" s="66">
        <f>IF(COLUMN()=COLUMN($AA:$AA),SysConfig!$G$22,AC3+1)</f>
        <v>45748</v>
      </c>
      <c r="AE2" s="66">
        <f>IF(COLUMN()=COLUMN($AA:$AA),SysConfig!$G$22,AD3+1)</f>
        <v>46113</v>
      </c>
      <c r="AF2" s="66">
        <f>IF(COLUMN()=COLUMN($AA:$AA),SysConfig!$G$22,AE3+1)</f>
        <v>46478</v>
      </c>
      <c r="AG2" s="66">
        <f>IF(COLUMN()=COLUMN($AA:$AA),SysConfig!$G$22,AF3+1)</f>
        <v>46844</v>
      </c>
      <c r="AH2" s="66">
        <f>IF(COLUMN()=COLUMN($AA:$AA),SysConfig!$G$22,AG3+1)</f>
        <v>47209</v>
      </c>
      <c r="AI2" s="66">
        <f>IF(COLUMN()=COLUMN($AA:$AA),SysConfig!$G$22,AH3+1)</f>
        <v>47574</v>
      </c>
      <c r="AJ2" s="66">
        <f>IF(COLUMN()=COLUMN($AA:$AA),SysConfig!$G$22,AI3+1)</f>
        <v>47939</v>
      </c>
      <c r="AK2" s="66">
        <f>IF(COLUMN()=COLUMN($AA:$AA),SysConfig!$G$22,AJ3+1)</f>
        <v>48305</v>
      </c>
      <c r="AL2" s="66">
        <f>IF(COLUMN()=COLUMN($AA:$AA),SysConfig!$G$22,AK3+1)</f>
        <v>48670</v>
      </c>
      <c r="AM2" s="66">
        <f>IF(COLUMN()=COLUMN($AA:$AA),SysConfig!$G$22,AL3+1)</f>
        <v>49035</v>
      </c>
      <c r="AN2" s="66">
        <f>IF(COLUMN()=COLUMN($AA:$AA),SysConfig!$G$22,AM3+1)</f>
        <v>49400</v>
      </c>
      <c r="AO2" s="66">
        <f>IF(COLUMN()=COLUMN($AA:$AA),SysConfig!$G$22,AN3+1)</f>
        <v>49766</v>
      </c>
      <c r="AP2" s="66">
        <f>IF(COLUMN()=COLUMN($AA:$AA),SysConfig!$G$22,AO3+1)</f>
        <v>50131</v>
      </c>
      <c r="AQ2" s="66">
        <f>IF(COLUMN()=COLUMN($AA:$AA),SysConfig!$G$22,AP3+1)</f>
        <v>50496</v>
      </c>
      <c r="AR2" s="66">
        <f>IF(COLUMN()=COLUMN($AA:$AA),SysConfig!$G$22,AQ3+1)</f>
        <v>50861</v>
      </c>
      <c r="AS2" s="66">
        <f>IF(COLUMN()=COLUMN($AA:$AA),SysConfig!$G$22,AR3+1)</f>
        <v>51227</v>
      </c>
      <c r="AT2" s="66">
        <f>IF(COLUMN()=COLUMN($AA:$AA),SysConfig!$G$22,AS3+1)</f>
        <v>51592</v>
      </c>
      <c r="AU2" s="66">
        <f>IF(COLUMN()=COLUMN($AA:$AA),SysConfig!$G$22,AT3+1)</f>
        <v>51957</v>
      </c>
      <c r="AV2" s="66">
        <f>IF(COLUMN()=COLUMN($AA:$AA),SysConfig!$G$22,AU3+1)</f>
        <v>52322</v>
      </c>
      <c r="AW2" s="66">
        <f>IF(COLUMN()=COLUMN($AA:$AA),SysConfig!$G$22,AV3+1)</f>
        <v>52688</v>
      </c>
      <c r="AX2" s="66">
        <f>IF(COLUMN()=COLUMN($AA:$AA),SysConfig!$G$22,AW3+1)</f>
        <v>53053</v>
      </c>
      <c r="AY2" s="66">
        <f>IF(COLUMN()=COLUMN($AA:$AA),SysConfig!$G$22,AX3+1)</f>
        <v>53418</v>
      </c>
      <c r="AZ2" s="66">
        <f>IF(COLUMN()=COLUMN($AA:$AA),SysConfig!$G$22,AY3+1)</f>
        <v>53783</v>
      </c>
      <c r="BA2" s="66">
        <f>IF(COLUMN()=COLUMN($AA:$AA),SysConfig!$G$22,AZ3+1)</f>
        <v>54149</v>
      </c>
      <c r="BB2" s="66">
        <f>IF(COLUMN()=COLUMN($AA:$AA),SysConfig!$G$22,BA3+1)</f>
        <v>54514</v>
      </c>
      <c r="BC2" s="66">
        <f>IF(COLUMN()=COLUMN($AA:$AA),SysConfig!$G$22,BB3+1)</f>
        <v>54879</v>
      </c>
      <c r="BD2" s="66">
        <f>IF(COLUMN()=COLUMN($AA:$AA),SysConfig!$G$22,BC3+1)</f>
        <v>55244</v>
      </c>
      <c r="BE2" s="66">
        <f>IF(COLUMN()=COLUMN($AA:$AA),SysConfig!$G$22,BD3+1)</f>
        <v>55610</v>
      </c>
      <c r="BF2" s="58"/>
      <c r="BG2" s="66">
        <f>IF(COLUMN()=COLUMN($BG:$BG),SysConfig!$G$22,BF3+1)</f>
        <v>44652</v>
      </c>
      <c r="BH2" s="66">
        <f>IF(COLUMN()=COLUMN($BG:$BG),SysConfig!$G$22,BG3+1)</f>
        <v>45017</v>
      </c>
      <c r="BI2" s="66">
        <f>IF(COLUMN()=COLUMN($BG:$BG),SysConfig!$G$22,BH3+1)</f>
        <v>46844</v>
      </c>
      <c r="BJ2" s="66">
        <f>IF(COLUMN()=COLUMN($BG:$BG),SysConfig!$G$22,BI3+1)</f>
        <v>48670</v>
      </c>
      <c r="BK2" s="66">
        <f>IF(COLUMN()=COLUMN($BG:$BG),SysConfig!$G$22,BJ3+1)</f>
        <v>50496</v>
      </c>
      <c r="BL2" s="66">
        <f>IF(COLUMN()=COLUMN($BG:$BG),SysConfig!$G$22,BK3+1)</f>
        <v>52322</v>
      </c>
      <c r="BM2" s="66">
        <f>IF(COLUMN()=COLUMN($BG:$BG),SysConfig!$G$22,BL3+1)</f>
        <v>54149</v>
      </c>
      <c r="BN2" s="40"/>
    </row>
    <row r="3" spans="1:66" ht="13">
      <c r="A3" s="95"/>
      <c r="B3" s="95"/>
      <c r="C3" s="100" t="str">
        <f ca="1">MID(CELL("filename",A1),FIND("]",CELL("filename",A1))+1,256)&amp;" Sheet"</f>
        <v>SysTime Sheet</v>
      </c>
      <c r="D3" s="95"/>
      <c r="E3" s="95"/>
      <c r="F3" s="95"/>
      <c r="G3" s="95"/>
      <c r="H3" s="95"/>
      <c r="I3" s="95"/>
      <c r="J3" s="95"/>
      <c r="K3" s="95"/>
      <c r="L3" s="95"/>
      <c r="M3" s="95"/>
      <c r="N3" s="95"/>
      <c r="O3" s="95"/>
      <c r="P3" s="95"/>
      <c r="Q3" s="95"/>
      <c r="R3" s="95"/>
      <c r="S3" s="95"/>
      <c r="T3" s="95"/>
      <c r="U3" s="95"/>
      <c r="V3" s="95"/>
      <c r="W3" s="95"/>
      <c r="X3" s="95"/>
      <c r="Y3" s="95"/>
      <c r="Z3" s="105" t="s">
        <v>15</v>
      </c>
      <c r="AA3" s="66">
        <f t="shared" ref="AA3:BE3" si="0">EDATE(AA2,cstMonthsInYr)-1</f>
        <v>45016</v>
      </c>
      <c r="AB3" s="66">
        <f t="shared" si="0"/>
        <v>45382</v>
      </c>
      <c r="AC3" s="66">
        <f t="shared" si="0"/>
        <v>45747</v>
      </c>
      <c r="AD3" s="66">
        <f t="shared" si="0"/>
        <v>46112</v>
      </c>
      <c r="AE3" s="66">
        <f t="shared" si="0"/>
        <v>46477</v>
      </c>
      <c r="AF3" s="66">
        <f t="shared" si="0"/>
        <v>46843</v>
      </c>
      <c r="AG3" s="66">
        <f t="shared" si="0"/>
        <v>47208</v>
      </c>
      <c r="AH3" s="66">
        <f t="shared" si="0"/>
        <v>47573</v>
      </c>
      <c r="AI3" s="66">
        <f t="shared" si="0"/>
        <v>47938</v>
      </c>
      <c r="AJ3" s="66">
        <f t="shared" si="0"/>
        <v>48304</v>
      </c>
      <c r="AK3" s="66">
        <f t="shared" si="0"/>
        <v>48669</v>
      </c>
      <c r="AL3" s="66">
        <f t="shared" si="0"/>
        <v>49034</v>
      </c>
      <c r="AM3" s="66">
        <f t="shared" si="0"/>
        <v>49399</v>
      </c>
      <c r="AN3" s="66">
        <f t="shared" si="0"/>
        <v>49765</v>
      </c>
      <c r="AO3" s="66">
        <f t="shared" si="0"/>
        <v>50130</v>
      </c>
      <c r="AP3" s="66">
        <f t="shared" si="0"/>
        <v>50495</v>
      </c>
      <c r="AQ3" s="66">
        <f t="shared" si="0"/>
        <v>50860</v>
      </c>
      <c r="AR3" s="66">
        <f t="shared" si="0"/>
        <v>51226</v>
      </c>
      <c r="AS3" s="66">
        <f t="shared" si="0"/>
        <v>51591</v>
      </c>
      <c r="AT3" s="66">
        <f t="shared" si="0"/>
        <v>51956</v>
      </c>
      <c r="AU3" s="66">
        <f t="shared" si="0"/>
        <v>52321</v>
      </c>
      <c r="AV3" s="66">
        <f t="shared" si="0"/>
        <v>52687</v>
      </c>
      <c r="AW3" s="66">
        <f t="shared" si="0"/>
        <v>53052</v>
      </c>
      <c r="AX3" s="66">
        <f t="shared" si="0"/>
        <v>53417</v>
      </c>
      <c r="AY3" s="66">
        <f t="shared" si="0"/>
        <v>53782</v>
      </c>
      <c r="AZ3" s="66">
        <f t="shared" si="0"/>
        <v>54148</v>
      </c>
      <c r="BA3" s="66">
        <f t="shared" si="0"/>
        <v>54513</v>
      </c>
      <c r="BB3" s="66">
        <f t="shared" si="0"/>
        <v>54878</v>
      </c>
      <c r="BC3" s="66">
        <f t="shared" si="0"/>
        <v>55243</v>
      </c>
      <c r="BD3" s="66">
        <f t="shared" si="0"/>
        <v>55609</v>
      </c>
      <c r="BE3" s="66">
        <f t="shared" si="0"/>
        <v>55974</v>
      </c>
      <c r="BF3" s="58"/>
      <c r="BG3" s="66">
        <f>IF(COLUMN()=COLUMN($BG:$BG),EDATE(BG2,cstMonthsInYr)-1,EDATE(BG2,cstMonthsInYr*SysConfig!$G$23)-1)</f>
        <v>45016</v>
      </c>
      <c r="BH3" s="66">
        <f>IF(COLUMN()=COLUMN($BG:$BG),EDATE(BH2,cstMonthsInYr)-1,EDATE(BH2,cstMonthsInYr*SysConfig!$G$23)-1)</f>
        <v>46843</v>
      </c>
      <c r="BI3" s="66">
        <f>IF(COLUMN()=COLUMN($BG:$BG),EDATE(BI2,cstMonthsInYr)-1,EDATE(BI2,cstMonthsInYr*SysConfig!$G$23)-1)</f>
        <v>48669</v>
      </c>
      <c r="BJ3" s="66">
        <f>IF(COLUMN()=COLUMN($BG:$BG),EDATE(BJ2,cstMonthsInYr)-1,EDATE(BJ2,cstMonthsInYr*SysConfig!$G$23)-1)</f>
        <v>50495</v>
      </c>
      <c r="BK3" s="66">
        <f>IF(COLUMN()=COLUMN($BG:$BG),EDATE(BK2,cstMonthsInYr)-1,EDATE(BK2,cstMonthsInYr*SysConfig!$G$23)-1)</f>
        <v>52321</v>
      </c>
      <c r="BL3" s="66">
        <f>IF(COLUMN()=COLUMN($BG:$BG),EDATE(BL2,cstMonthsInYr)-1,EDATE(BL2,cstMonthsInYr*SysConfig!$G$23)-1)</f>
        <v>54148</v>
      </c>
      <c r="BM3" s="66">
        <f>IF(COLUMN()=COLUMN($BG:$BG),EDATE(BM2,cstMonthsInYr)-1,EDATE(BM2,cstMonthsInYr*SysConfig!$G$23)-1)</f>
        <v>55974</v>
      </c>
      <c r="BN3" s="40"/>
    </row>
    <row r="4" spans="1:66">
      <c r="A4" s="95"/>
      <c r="B4" s="95"/>
      <c r="C4" s="96" t="str">
        <f>IF(ISBLANK(cstProtectiveMarking),"",cstProtectiveMarking)</f>
        <v>Not Protectively Marked</v>
      </c>
      <c r="D4" s="95"/>
      <c r="E4" s="95"/>
      <c r="F4" s="95"/>
      <c r="G4" s="95"/>
      <c r="H4" s="95"/>
      <c r="I4" s="95"/>
      <c r="J4" s="95"/>
      <c r="K4" s="95"/>
      <c r="L4" s="95"/>
      <c r="M4" s="95"/>
      <c r="N4" s="95"/>
      <c r="O4" s="95"/>
      <c r="P4" s="95"/>
      <c r="Q4" s="95"/>
      <c r="R4" s="95"/>
      <c r="S4" s="95"/>
      <c r="T4" s="95"/>
      <c r="U4" s="95"/>
      <c r="V4" s="95"/>
      <c r="W4" s="95"/>
      <c r="X4" s="95"/>
      <c r="Y4" s="95"/>
      <c r="Z4" s="105" t="s">
        <v>9</v>
      </c>
      <c r="AA4" s="67" t="s">
        <v>10</v>
      </c>
      <c r="AB4" s="67" t="s">
        <v>10</v>
      </c>
      <c r="AC4" s="67" t="s">
        <v>10</v>
      </c>
      <c r="AD4" s="67" t="s">
        <v>10</v>
      </c>
      <c r="AE4" s="67" t="s">
        <v>10</v>
      </c>
      <c r="AF4" s="67" t="s">
        <v>10</v>
      </c>
      <c r="AG4" s="67" t="s">
        <v>10</v>
      </c>
      <c r="AH4" s="67" t="s">
        <v>10</v>
      </c>
      <c r="AI4" s="67" t="s">
        <v>10</v>
      </c>
      <c r="AJ4" s="67" t="s">
        <v>10</v>
      </c>
      <c r="AK4" s="67" t="s">
        <v>10</v>
      </c>
      <c r="AL4" s="67" t="s">
        <v>10</v>
      </c>
      <c r="AM4" s="67" t="s">
        <v>10</v>
      </c>
      <c r="AN4" s="67" t="s">
        <v>10</v>
      </c>
      <c r="AO4" s="67" t="s">
        <v>10</v>
      </c>
      <c r="AP4" s="67" t="s">
        <v>10</v>
      </c>
      <c r="AQ4" s="67" t="s">
        <v>10</v>
      </c>
      <c r="AR4" s="67" t="s">
        <v>10</v>
      </c>
      <c r="AS4" s="67" t="s">
        <v>10</v>
      </c>
      <c r="AT4" s="67" t="s">
        <v>10</v>
      </c>
      <c r="AU4" s="67" t="s">
        <v>10</v>
      </c>
      <c r="AV4" s="67" t="s">
        <v>10</v>
      </c>
      <c r="AW4" s="67" t="s">
        <v>10</v>
      </c>
      <c r="AX4" s="67" t="s">
        <v>10</v>
      </c>
      <c r="AY4" s="67" t="s">
        <v>10</v>
      </c>
      <c r="AZ4" s="67" t="s">
        <v>10</v>
      </c>
      <c r="BA4" s="67" t="s">
        <v>10</v>
      </c>
      <c r="BB4" s="67" t="s">
        <v>10</v>
      </c>
      <c r="BC4" s="67" t="s">
        <v>10</v>
      </c>
      <c r="BD4" s="67" t="s">
        <v>10</v>
      </c>
      <c r="BE4" s="67" t="s">
        <v>10</v>
      </c>
      <c r="BF4" s="61"/>
      <c r="BG4" s="67" t="s">
        <v>10</v>
      </c>
      <c r="BH4" s="67" t="str">
        <f>SysConfig!$G$23&amp;" Yearly"</f>
        <v>5 Yearly</v>
      </c>
      <c r="BI4" s="67" t="str">
        <f>SysConfig!$G$23&amp;" Yearly"</f>
        <v>5 Yearly</v>
      </c>
      <c r="BJ4" s="67" t="str">
        <f>SysConfig!$G$23&amp;" Yearly"</f>
        <v>5 Yearly</v>
      </c>
      <c r="BK4" s="67" t="str">
        <f>SysConfig!$G$23&amp;" Yearly"</f>
        <v>5 Yearly</v>
      </c>
      <c r="BL4" s="67" t="str">
        <f>SysConfig!$G$23&amp;" Yearly"</f>
        <v>5 Yearly</v>
      </c>
      <c r="BM4" s="67" t="str">
        <f>SysConfig!$G$23&amp;" Yearly"</f>
        <v>5 Yearly</v>
      </c>
      <c r="BN4" s="40"/>
    </row>
    <row r="5" spans="1:66">
      <c r="A5" s="95"/>
      <c r="B5" s="95"/>
      <c r="C5" s="101" t="str">
        <f>HYPERLINK("#'Contents'!A1",sysChkWord)</f>
        <v>All Checks OK</v>
      </c>
      <c r="D5" s="101"/>
      <c r="E5" s="101"/>
      <c r="F5" s="101"/>
      <c r="G5" s="95"/>
      <c r="H5" s="95"/>
      <c r="I5" s="95"/>
      <c r="J5" s="95"/>
      <c r="K5" s="95"/>
      <c r="L5" s="95"/>
      <c r="M5" s="95"/>
      <c r="N5" s="95"/>
      <c r="O5" s="95"/>
      <c r="P5" s="95"/>
      <c r="Q5" s="95"/>
      <c r="R5" s="95"/>
      <c r="S5" s="95"/>
      <c r="T5" s="95"/>
      <c r="U5" s="95"/>
      <c r="V5" s="95"/>
      <c r="W5" s="95"/>
      <c r="X5" s="95"/>
      <c r="Y5" s="95"/>
      <c r="Z5" s="105" t="s">
        <v>13</v>
      </c>
      <c r="AA5" s="68">
        <f t="shared" ref="AA5:BE5" si="1">IF(COLUMN()=COLUMN($AA:$AA),1,Z5+1)</f>
        <v>1</v>
      </c>
      <c r="AB5" s="68">
        <f t="shared" si="1"/>
        <v>2</v>
      </c>
      <c r="AC5" s="68">
        <f t="shared" si="1"/>
        <v>3</v>
      </c>
      <c r="AD5" s="68">
        <f t="shared" si="1"/>
        <v>4</v>
      </c>
      <c r="AE5" s="68">
        <f t="shared" si="1"/>
        <v>5</v>
      </c>
      <c r="AF5" s="68">
        <f t="shared" si="1"/>
        <v>6</v>
      </c>
      <c r="AG5" s="68">
        <f t="shared" si="1"/>
        <v>7</v>
      </c>
      <c r="AH5" s="68">
        <f t="shared" si="1"/>
        <v>8</v>
      </c>
      <c r="AI5" s="68">
        <f t="shared" si="1"/>
        <v>9</v>
      </c>
      <c r="AJ5" s="68">
        <f t="shared" si="1"/>
        <v>10</v>
      </c>
      <c r="AK5" s="68">
        <f t="shared" si="1"/>
        <v>11</v>
      </c>
      <c r="AL5" s="68">
        <f t="shared" si="1"/>
        <v>12</v>
      </c>
      <c r="AM5" s="68">
        <f t="shared" si="1"/>
        <v>13</v>
      </c>
      <c r="AN5" s="68">
        <f t="shared" si="1"/>
        <v>14</v>
      </c>
      <c r="AO5" s="68">
        <f t="shared" si="1"/>
        <v>15</v>
      </c>
      <c r="AP5" s="68">
        <f t="shared" si="1"/>
        <v>16</v>
      </c>
      <c r="AQ5" s="68">
        <f t="shared" si="1"/>
        <v>17</v>
      </c>
      <c r="AR5" s="68">
        <f t="shared" si="1"/>
        <v>18</v>
      </c>
      <c r="AS5" s="68">
        <f t="shared" si="1"/>
        <v>19</v>
      </c>
      <c r="AT5" s="68">
        <f t="shared" si="1"/>
        <v>20</v>
      </c>
      <c r="AU5" s="68">
        <f t="shared" si="1"/>
        <v>21</v>
      </c>
      <c r="AV5" s="68">
        <f t="shared" si="1"/>
        <v>22</v>
      </c>
      <c r="AW5" s="68">
        <f t="shared" si="1"/>
        <v>23</v>
      </c>
      <c r="AX5" s="68">
        <f t="shared" si="1"/>
        <v>24</v>
      </c>
      <c r="AY5" s="68">
        <f t="shared" si="1"/>
        <v>25</v>
      </c>
      <c r="AZ5" s="68">
        <f t="shared" si="1"/>
        <v>26</v>
      </c>
      <c r="BA5" s="68">
        <f t="shared" si="1"/>
        <v>27</v>
      </c>
      <c r="BB5" s="68">
        <f t="shared" si="1"/>
        <v>28</v>
      </c>
      <c r="BC5" s="68">
        <f t="shared" si="1"/>
        <v>29</v>
      </c>
      <c r="BD5" s="68">
        <f t="shared" si="1"/>
        <v>30</v>
      </c>
      <c r="BE5" s="68">
        <f t="shared" si="1"/>
        <v>31</v>
      </c>
      <c r="BF5" s="64"/>
      <c r="BG5" s="68">
        <f t="shared" ref="BG5:BM5" si="2">IF(COLUMN()=COLUMN($BG:$BG),1,BF5+1)</f>
        <v>1</v>
      </c>
      <c r="BH5" s="68">
        <f t="shared" si="2"/>
        <v>2</v>
      </c>
      <c r="BI5" s="68">
        <f t="shared" si="2"/>
        <v>3</v>
      </c>
      <c r="BJ5" s="68">
        <f t="shared" si="2"/>
        <v>4</v>
      </c>
      <c r="BK5" s="68">
        <f t="shared" si="2"/>
        <v>5</v>
      </c>
      <c r="BL5" s="68">
        <f t="shared" si="2"/>
        <v>6</v>
      </c>
      <c r="BM5" s="68">
        <f t="shared" si="2"/>
        <v>7</v>
      </c>
      <c r="BN5" s="40"/>
    </row>
    <row r="6" spans="1:66" ht="13">
      <c r="A6" s="95"/>
      <c r="B6" s="102"/>
      <c r="C6" s="103" t="str">
        <f>HYPERLINK("#'Contents'!A1","Click for Contents")</f>
        <v>Click for Contents</v>
      </c>
      <c r="D6" s="101"/>
      <c r="E6" s="101"/>
      <c r="F6" s="101"/>
      <c r="G6" s="95"/>
      <c r="H6" s="95"/>
      <c r="I6" s="95"/>
      <c r="J6" s="95"/>
      <c r="K6" s="95"/>
      <c r="L6" s="95"/>
      <c r="M6" s="95"/>
      <c r="N6" s="95"/>
      <c r="O6" s="95"/>
      <c r="P6" s="95"/>
      <c r="Q6" s="95"/>
      <c r="R6" s="95"/>
      <c r="S6" s="95"/>
      <c r="T6" s="95"/>
      <c r="U6" s="95"/>
      <c r="V6" s="95"/>
      <c r="W6" s="95"/>
      <c r="X6" s="95"/>
      <c r="Y6" s="95"/>
      <c r="Z6" s="105" t="s">
        <v>11</v>
      </c>
      <c r="AA6" s="68">
        <f t="shared" ref="AA6:BE6" si="3">IF(COLUMN()=COLUMN($AA:$AA),1,Z6+1)</f>
        <v>1</v>
      </c>
      <c r="AB6" s="68">
        <f t="shared" si="3"/>
        <v>2</v>
      </c>
      <c r="AC6" s="68">
        <f t="shared" si="3"/>
        <v>3</v>
      </c>
      <c r="AD6" s="68">
        <f t="shared" si="3"/>
        <v>4</v>
      </c>
      <c r="AE6" s="68">
        <f t="shared" si="3"/>
        <v>5</v>
      </c>
      <c r="AF6" s="68">
        <f t="shared" si="3"/>
        <v>6</v>
      </c>
      <c r="AG6" s="68">
        <f t="shared" si="3"/>
        <v>7</v>
      </c>
      <c r="AH6" s="68">
        <f t="shared" si="3"/>
        <v>8</v>
      </c>
      <c r="AI6" s="68">
        <f t="shared" si="3"/>
        <v>9</v>
      </c>
      <c r="AJ6" s="68">
        <f t="shared" si="3"/>
        <v>10</v>
      </c>
      <c r="AK6" s="68">
        <f t="shared" si="3"/>
        <v>11</v>
      </c>
      <c r="AL6" s="68">
        <f t="shared" si="3"/>
        <v>12</v>
      </c>
      <c r="AM6" s="68">
        <f t="shared" si="3"/>
        <v>13</v>
      </c>
      <c r="AN6" s="68">
        <f t="shared" si="3"/>
        <v>14</v>
      </c>
      <c r="AO6" s="68">
        <f t="shared" si="3"/>
        <v>15</v>
      </c>
      <c r="AP6" s="68">
        <f t="shared" si="3"/>
        <v>16</v>
      </c>
      <c r="AQ6" s="68">
        <f t="shared" si="3"/>
        <v>17</v>
      </c>
      <c r="AR6" s="68">
        <f t="shared" si="3"/>
        <v>18</v>
      </c>
      <c r="AS6" s="68">
        <f t="shared" si="3"/>
        <v>19</v>
      </c>
      <c r="AT6" s="68">
        <f t="shared" si="3"/>
        <v>20</v>
      </c>
      <c r="AU6" s="68">
        <f t="shared" si="3"/>
        <v>21</v>
      </c>
      <c r="AV6" s="68">
        <f t="shared" si="3"/>
        <v>22</v>
      </c>
      <c r="AW6" s="68">
        <f t="shared" si="3"/>
        <v>23</v>
      </c>
      <c r="AX6" s="68">
        <f t="shared" si="3"/>
        <v>24</v>
      </c>
      <c r="AY6" s="68">
        <f t="shared" si="3"/>
        <v>25</v>
      </c>
      <c r="AZ6" s="68">
        <f t="shared" si="3"/>
        <v>26</v>
      </c>
      <c r="BA6" s="68">
        <f t="shared" si="3"/>
        <v>27</v>
      </c>
      <c r="BB6" s="68">
        <f t="shared" si="3"/>
        <v>28</v>
      </c>
      <c r="BC6" s="68">
        <f t="shared" si="3"/>
        <v>29</v>
      </c>
      <c r="BD6" s="68">
        <f t="shared" si="3"/>
        <v>30</v>
      </c>
      <c r="BE6" s="68">
        <f t="shared" si="3"/>
        <v>31</v>
      </c>
      <c r="BF6" s="64"/>
      <c r="BG6" s="68"/>
      <c r="BH6" s="68"/>
      <c r="BI6" s="68"/>
      <c r="BJ6" s="68"/>
      <c r="BK6" s="68"/>
      <c r="BL6" s="68"/>
      <c r="BM6" s="68"/>
      <c r="BN6" s="40"/>
    </row>
    <row r="7" spans="1:66">
      <c r="A7" s="95"/>
      <c r="B7" s="95"/>
      <c r="C7" s="95"/>
      <c r="D7" s="95"/>
      <c r="E7" s="95"/>
      <c r="F7" s="95"/>
      <c r="G7" s="95"/>
      <c r="H7" s="95"/>
      <c r="I7" s="95"/>
      <c r="J7" s="95"/>
      <c r="K7" s="95"/>
      <c r="L7" s="95"/>
      <c r="M7" s="95"/>
      <c r="N7" s="95"/>
      <c r="O7" s="95"/>
      <c r="P7" s="95"/>
      <c r="Q7" s="95"/>
      <c r="R7" s="95"/>
      <c r="S7" s="95"/>
      <c r="T7" s="95"/>
      <c r="U7" s="95"/>
      <c r="V7" s="95"/>
      <c r="W7" s="95"/>
      <c r="X7" s="95"/>
      <c r="Y7" s="95"/>
      <c r="Z7" s="105" t="s">
        <v>12</v>
      </c>
      <c r="AA7" s="68">
        <f t="shared" ref="AA7:BE7" si="4">IF(COLUMN()=COLUMN($AA:$AA),1,Z7+1)</f>
        <v>1</v>
      </c>
      <c r="AB7" s="68">
        <f t="shared" si="4"/>
        <v>2</v>
      </c>
      <c r="AC7" s="68">
        <f t="shared" si="4"/>
        <v>3</v>
      </c>
      <c r="AD7" s="68">
        <f t="shared" si="4"/>
        <v>4</v>
      </c>
      <c r="AE7" s="68">
        <f t="shared" si="4"/>
        <v>5</v>
      </c>
      <c r="AF7" s="68">
        <f t="shared" si="4"/>
        <v>6</v>
      </c>
      <c r="AG7" s="68">
        <f t="shared" si="4"/>
        <v>7</v>
      </c>
      <c r="AH7" s="68">
        <f t="shared" si="4"/>
        <v>8</v>
      </c>
      <c r="AI7" s="68">
        <f t="shared" si="4"/>
        <v>9</v>
      </c>
      <c r="AJ7" s="68">
        <f t="shared" si="4"/>
        <v>10</v>
      </c>
      <c r="AK7" s="68">
        <f t="shared" si="4"/>
        <v>11</v>
      </c>
      <c r="AL7" s="68">
        <f t="shared" si="4"/>
        <v>12</v>
      </c>
      <c r="AM7" s="68">
        <f t="shared" si="4"/>
        <v>13</v>
      </c>
      <c r="AN7" s="68">
        <f t="shared" si="4"/>
        <v>14</v>
      </c>
      <c r="AO7" s="68">
        <f t="shared" si="4"/>
        <v>15</v>
      </c>
      <c r="AP7" s="68">
        <f t="shared" si="4"/>
        <v>16</v>
      </c>
      <c r="AQ7" s="68">
        <f t="shared" si="4"/>
        <v>17</v>
      </c>
      <c r="AR7" s="68">
        <f t="shared" si="4"/>
        <v>18</v>
      </c>
      <c r="AS7" s="68">
        <f t="shared" si="4"/>
        <v>19</v>
      </c>
      <c r="AT7" s="68">
        <f t="shared" si="4"/>
        <v>20</v>
      </c>
      <c r="AU7" s="68">
        <f t="shared" si="4"/>
        <v>21</v>
      </c>
      <c r="AV7" s="68">
        <f t="shared" si="4"/>
        <v>22</v>
      </c>
      <c r="AW7" s="68">
        <f t="shared" si="4"/>
        <v>23</v>
      </c>
      <c r="AX7" s="68">
        <f t="shared" si="4"/>
        <v>24</v>
      </c>
      <c r="AY7" s="68">
        <f t="shared" si="4"/>
        <v>25</v>
      </c>
      <c r="AZ7" s="68">
        <f t="shared" si="4"/>
        <v>26</v>
      </c>
      <c r="BA7" s="68">
        <f t="shared" si="4"/>
        <v>27</v>
      </c>
      <c r="BB7" s="68">
        <f t="shared" si="4"/>
        <v>28</v>
      </c>
      <c r="BC7" s="68">
        <f t="shared" si="4"/>
        <v>29</v>
      </c>
      <c r="BD7" s="68">
        <f t="shared" si="4"/>
        <v>30</v>
      </c>
      <c r="BE7" s="68">
        <f t="shared" si="4"/>
        <v>31</v>
      </c>
      <c r="BF7" s="64"/>
      <c r="BG7" s="68">
        <f t="shared" ref="BG7:BM7" si="5">IF(COLUMN()=COLUMN($BG:$BG),1,BF7+1)</f>
        <v>1</v>
      </c>
      <c r="BH7" s="68">
        <f t="shared" si="5"/>
        <v>2</v>
      </c>
      <c r="BI7" s="68">
        <f t="shared" si="5"/>
        <v>3</v>
      </c>
      <c r="BJ7" s="68">
        <f t="shared" si="5"/>
        <v>4</v>
      </c>
      <c r="BK7" s="68">
        <f t="shared" si="5"/>
        <v>5</v>
      </c>
      <c r="BL7" s="68">
        <f t="shared" si="5"/>
        <v>6</v>
      </c>
      <c r="BM7" s="68">
        <f t="shared" si="5"/>
        <v>7</v>
      </c>
      <c r="BN7" s="40"/>
    </row>
    <row r="8" spans="1:66">
      <c r="A8" s="97">
        <f>SUM(A9:A30)</f>
        <v>0</v>
      </c>
      <c r="B8" s="99">
        <f>SUM(B9:B30)</f>
        <v>0</v>
      </c>
      <c r="C8" s="104"/>
      <c r="D8" s="104"/>
      <c r="E8" s="104"/>
      <c r="F8" s="104"/>
      <c r="G8" s="104"/>
      <c r="H8" s="104"/>
      <c r="I8" s="104"/>
      <c r="J8" s="95"/>
      <c r="K8" s="95"/>
      <c r="L8" s="95"/>
      <c r="M8" s="95"/>
      <c r="N8" s="95"/>
      <c r="O8" s="95"/>
      <c r="P8" s="95"/>
      <c r="Q8" s="95"/>
      <c r="R8" s="95"/>
      <c r="S8" s="95"/>
      <c r="T8" s="95"/>
      <c r="U8" s="95"/>
      <c r="V8" s="95"/>
      <c r="W8" s="95"/>
      <c r="X8" s="95"/>
      <c r="Y8" s="95"/>
      <c r="Z8" s="95"/>
      <c r="AA8" s="95"/>
      <c r="AB8" s="95"/>
      <c r="AC8" s="95"/>
      <c r="AD8" s="95"/>
      <c r="AE8" s="95"/>
      <c r="AF8" s="95"/>
      <c r="AG8" s="95"/>
      <c r="AH8" s="95"/>
      <c r="AI8" s="95"/>
      <c r="AJ8" s="95"/>
      <c r="AK8" s="95"/>
      <c r="AL8" s="95"/>
      <c r="AM8" s="95"/>
      <c r="AN8" s="95"/>
      <c r="AO8" s="95"/>
      <c r="AP8" s="95"/>
      <c r="AQ8" s="95"/>
      <c r="AR8" s="95"/>
      <c r="AS8" s="95"/>
      <c r="AT8" s="95"/>
      <c r="AU8" s="95"/>
      <c r="AV8" s="95"/>
      <c r="AW8" s="95"/>
      <c r="AX8" s="95"/>
      <c r="AY8" s="95"/>
      <c r="AZ8" s="95"/>
      <c r="BA8" s="95"/>
      <c r="BB8" s="95"/>
      <c r="BC8" s="95"/>
      <c r="BD8" s="95"/>
      <c r="BE8" s="95"/>
      <c r="BF8" s="95"/>
      <c r="BG8" s="95"/>
      <c r="BH8" s="95"/>
      <c r="BI8" s="95"/>
      <c r="BJ8" s="95"/>
      <c r="BK8" s="95"/>
      <c r="BL8" s="95"/>
      <c r="BM8" s="95"/>
      <c r="BN8" s="21"/>
    </row>
    <row r="9" spans="1:66">
      <c r="AP9" s="30"/>
      <c r="AQ9" s="30"/>
      <c r="AR9" s="30"/>
      <c r="AS9" s="30"/>
      <c r="AT9" s="30"/>
      <c r="AU9" s="30"/>
      <c r="AV9" s="30"/>
      <c r="AW9" s="30"/>
      <c r="AX9" s="30"/>
      <c r="AY9" s="30"/>
      <c r="AZ9" s="30"/>
      <c r="BN9" s="40"/>
    </row>
    <row r="10" spans="1:66" ht="12.5" customHeight="1">
      <c r="A10"/>
      <c r="B10"/>
      <c r="D10" s="41" t="s">
        <v>75</v>
      </c>
      <c r="E10" s="18"/>
      <c r="F10"/>
      <c r="G10"/>
      <c r="I10" s="29"/>
      <c r="BF10" s="40"/>
      <c r="BN10" s="40"/>
    </row>
    <row r="11" spans="1:66" s="40" customFormat="1" ht="12.5" customHeight="1">
      <c r="D11" s="41"/>
      <c r="E11" s="18"/>
    </row>
    <row r="12" spans="1:66" s="40" customFormat="1" ht="16">
      <c r="A12" s="24"/>
      <c r="B12" s="24"/>
      <c r="C12" s="24"/>
      <c r="D12" s="24">
        <v>1</v>
      </c>
      <c r="E12" s="24" t="s">
        <v>301</v>
      </c>
      <c r="F12" s="24"/>
      <c r="G12" s="24"/>
      <c r="H12" s="24"/>
      <c r="I12" s="24"/>
      <c r="J12" s="24"/>
      <c r="K12" s="24"/>
      <c r="L12" s="24"/>
      <c r="M12" s="24"/>
      <c r="N12" s="24"/>
      <c r="O12" s="24"/>
      <c r="P12" s="24"/>
      <c r="Q12" s="24"/>
      <c r="R12" s="24"/>
      <c r="S12" s="24"/>
      <c r="T12" s="24"/>
      <c r="U12" s="24"/>
      <c r="V12" s="24"/>
      <c r="W12" s="24"/>
      <c r="X12" s="24"/>
      <c r="Y12" s="24"/>
      <c r="Z12" s="24"/>
      <c r="AA12" s="24"/>
      <c r="AB12" s="24"/>
      <c r="AC12" s="24"/>
      <c r="AD12" s="24"/>
      <c r="AE12" s="24"/>
      <c r="AF12" s="24"/>
      <c r="AG12" s="24"/>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c r="BH12" s="24"/>
      <c r="BI12" s="24"/>
      <c r="BJ12" s="24"/>
      <c r="BK12" s="24"/>
      <c r="BL12" s="24"/>
      <c r="BM12" s="24"/>
    </row>
    <row r="13" spans="1:66" s="40" customFormat="1">
      <c r="F13" s="18"/>
      <c r="G13" s="17"/>
    </row>
    <row r="14" spans="1:66" s="25" customFormat="1" ht="14" thickBot="1">
      <c r="E14" s="25" t="s">
        <v>387</v>
      </c>
      <c r="F14" s="25" t="s">
        <v>301</v>
      </c>
    </row>
    <row r="15" spans="1:66" s="40" customFormat="1">
      <c r="D15" s="18"/>
      <c r="E15" s="18"/>
      <c r="F15" s="18"/>
      <c r="G15" s="17"/>
    </row>
    <row r="16" spans="1:66" s="40" customFormat="1" ht="13">
      <c r="F16" s="26" t="s">
        <v>174</v>
      </c>
      <c r="G16" s="17"/>
    </row>
    <row r="17" spans="1:66" s="40" customFormat="1" ht="13">
      <c r="F17" s="26"/>
      <c r="G17" s="17"/>
    </row>
    <row r="18" spans="1:66" s="40" customFormat="1">
      <c r="F18" s="18" t="str">
        <f>SysConfig!F24</f>
        <v>Operation Commencement Date</v>
      </c>
      <c r="G18" s="17" t="s">
        <v>0</v>
      </c>
      <c r="K18" s="13">
        <f>SysConfig!G24</f>
        <v>45017</v>
      </c>
    </row>
    <row r="19" spans="1:66" s="40" customFormat="1">
      <c r="F19" s="18"/>
      <c r="G19" s="17"/>
    </row>
    <row r="20" spans="1:66" s="40" customFormat="1" ht="13">
      <c r="F20" s="26" t="s">
        <v>1</v>
      </c>
      <c r="G20" s="17"/>
    </row>
    <row r="21" spans="1:66" s="40" customFormat="1" ht="13">
      <c r="F21" s="26"/>
      <c r="G21" s="17"/>
    </row>
    <row r="22" spans="1:66" s="40" customFormat="1">
      <c r="F22" s="27" t="s">
        <v>332</v>
      </c>
      <c r="G22" s="17" t="s">
        <v>305</v>
      </c>
      <c r="AA22" s="14">
        <f t="shared" ref="AA22:BE22" si="6">IF($K$18&lt;=AA2,1,0)</f>
        <v>0</v>
      </c>
      <c r="AB22" s="14">
        <f t="shared" si="6"/>
        <v>1</v>
      </c>
      <c r="AC22" s="14">
        <f t="shared" si="6"/>
        <v>1</v>
      </c>
      <c r="AD22" s="14">
        <f t="shared" si="6"/>
        <v>1</v>
      </c>
      <c r="AE22" s="14">
        <f t="shared" si="6"/>
        <v>1</v>
      </c>
      <c r="AF22" s="14">
        <f t="shared" si="6"/>
        <v>1</v>
      </c>
      <c r="AG22" s="14">
        <f t="shared" si="6"/>
        <v>1</v>
      </c>
      <c r="AH22" s="14">
        <f t="shared" si="6"/>
        <v>1</v>
      </c>
      <c r="AI22" s="14">
        <f t="shared" si="6"/>
        <v>1</v>
      </c>
      <c r="AJ22" s="14">
        <f t="shared" si="6"/>
        <v>1</v>
      </c>
      <c r="AK22" s="14">
        <f t="shared" si="6"/>
        <v>1</v>
      </c>
      <c r="AL22" s="14">
        <f t="shared" si="6"/>
        <v>1</v>
      </c>
      <c r="AM22" s="14">
        <f t="shared" si="6"/>
        <v>1</v>
      </c>
      <c r="AN22" s="14">
        <f t="shared" si="6"/>
        <v>1</v>
      </c>
      <c r="AO22" s="14">
        <f t="shared" si="6"/>
        <v>1</v>
      </c>
      <c r="AP22" s="14">
        <f t="shared" si="6"/>
        <v>1</v>
      </c>
      <c r="AQ22" s="14">
        <f t="shared" si="6"/>
        <v>1</v>
      </c>
      <c r="AR22" s="14">
        <f t="shared" si="6"/>
        <v>1</v>
      </c>
      <c r="AS22" s="14">
        <f t="shared" si="6"/>
        <v>1</v>
      </c>
      <c r="AT22" s="14">
        <f t="shared" si="6"/>
        <v>1</v>
      </c>
      <c r="AU22" s="14">
        <f t="shared" si="6"/>
        <v>1</v>
      </c>
      <c r="AV22" s="14">
        <f t="shared" si="6"/>
        <v>1</v>
      </c>
      <c r="AW22" s="14">
        <f t="shared" si="6"/>
        <v>1</v>
      </c>
      <c r="AX22" s="14">
        <f t="shared" si="6"/>
        <v>1</v>
      </c>
      <c r="AY22" s="14">
        <f t="shared" si="6"/>
        <v>1</v>
      </c>
      <c r="AZ22" s="14">
        <f t="shared" si="6"/>
        <v>1</v>
      </c>
      <c r="BA22" s="14">
        <f t="shared" si="6"/>
        <v>1</v>
      </c>
      <c r="BB22" s="14">
        <f t="shared" si="6"/>
        <v>1</v>
      </c>
      <c r="BC22" s="14">
        <f t="shared" si="6"/>
        <v>1</v>
      </c>
      <c r="BD22" s="14">
        <f t="shared" si="6"/>
        <v>1</v>
      </c>
      <c r="BE22" s="14">
        <f t="shared" si="6"/>
        <v>1</v>
      </c>
      <c r="BG22" s="39"/>
      <c r="BH22" s="39"/>
      <c r="BI22" s="39"/>
      <c r="BJ22" s="39"/>
      <c r="BK22" s="39"/>
      <c r="BL22" s="39"/>
      <c r="BM22" s="39"/>
    </row>
    <row r="23" spans="1:66" s="40" customFormat="1"/>
    <row r="24" spans="1:66" s="40" customFormat="1">
      <c r="F24" s="40" t="s">
        <v>369</v>
      </c>
      <c r="G24" s="17" t="s">
        <v>305</v>
      </c>
      <c r="AA24" s="14">
        <f t="shared" ref="AA24:BE24" si="7">IF(AND($K$18&gt;=AA2,$K$18&lt;=AA3),1,0)</f>
        <v>0</v>
      </c>
      <c r="AB24" s="14">
        <f t="shared" si="7"/>
        <v>1</v>
      </c>
      <c r="AC24" s="14">
        <f t="shared" si="7"/>
        <v>0</v>
      </c>
      <c r="AD24" s="14">
        <f t="shared" si="7"/>
        <v>0</v>
      </c>
      <c r="AE24" s="14">
        <f t="shared" si="7"/>
        <v>0</v>
      </c>
      <c r="AF24" s="14">
        <f t="shared" si="7"/>
        <v>0</v>
      </c>
      <c r="AG24" s="14">
        <f t="shared" si="7"/>
        <v>0</v>
      </c>
      <c r="AH24" s="14">
        <f t="shared" si="7"/>
        <v>0</v>
      </c>
      <c r="AI24" s="14">
        <f t="shared" si="7"/>
        <v>0</v>
      </c>
      <c r="AJ24" s="14">
        <f t="shared" si="7"/>
        <v>0</v>
      </c>
      <c r="AK24" s="14">
        <f t="shared" si="7"/>
        <v>0</v>
      </c>
      <c r="AL24" s="14">
        <f t="shared" si="7"/>
        <v>0</v>
      </c>
      <c r="AM24" s="14">
        <f t="shared" si="7"/>
        <v>0</v>
      </c>
      <c r="AN24" s="14">
        <f t="shared" si="7"/>
        <v>0</v>
      </c>
      <c r="AO24" s="14">
        <f t="shared" si="7"/>
        <v>0</v>
      </c>
      <c r="AP24" s="14">
        <f t="shared" si="7"/>
        <v>0</v>
      </c>
      <c r="AQ24" s="14">
        <f t="shared" si="7"/>
        <v>0</v>
      </c>
      <c r="AR24" s="14">
        <f t="shared" si="7"/>
        <v>0</v>
      </c>
      <c r="AS24" s="14">
        <f t="shared" si="7"/>
        <v>0</v>
      </c>
      <c r="AT24" s="14">
        <f t="shared" si="7"/>
        <v>0</v>
      </c>
      <c r="AU24" s="14">
        <f t="shared" si="7"/>
        <v>0</v>
      </c>
      <c r="AV24" s="14">
        <f t="shared" si="7"/>
        <v>0</v>
      </c>
      <c r="AW24" s="14">
        <f t="shared" si="7"/>
        <v>0</v>
      </c>
      <c r="AX24" s="14">
        <f t="shared" si="7"/>
        <v>0</v>
      </c>
      <c r="AY24" s="14">
        <f t="shared" si="7"/>
        <v>0</v>
      </c>
      <c r="AZ24" s="14">
        <f t="shared" si="7"/>
        <v>0</v>
      </c>
      <c r="BA24" s="14">
        <f t="shared" si="7"/>
        <v>0</v>
      </c>
      <c r="BB24" s="14">
        <f t="shared" si="7"/>
        <v>0</v>
      </c>
      <c r="BC24" s="14">
        <f t="shared" si="7"/>
        <v>0</v>
      </c>
      <c r="BD24" s="14">
        <f t="shared" si="7"/>
        <v>0</v>
      </c>
      <c r="BE24" s="14">
        <f t="shared" si="7"/>
        <v>0</v>
      </c>
      <c r="BG24" s="39"/>
      <c r="BH24" s="39"/>
      <c r="BI24" s="39"/>
      <c r="BJ24" s="39"/>
      <c r="BK24" s="39"/>
      <c r="BL24" s="39"/>
      <c r="BM24" s="39"/>
    </row>
    <row r="25" spans="1:66" s="40" customFormat="1">
      <c r="G25" s="17"/>
    </row>
    <row r="26" spans="1:66" s="40" customFormat="1">
      <c r="F26" s="40" t="s">
        <v>373</v>
      </c>
      <c r="G26" s="17" t="s">
        <v>6</v>
      </c>
      <c r="K26" s="14">
        <f>MATCH(1,AA24:BE24,0)</f>
        <v>2</v>
      </c>
      <c r="AA26" s="39"/>
      <c r="AB26" s="39"/>
      <c r="AC26" s="39"/>
      <c r="AD26" s="39"/>
      <c r="AE26" s="39"/>
      <c r="AF26" s="39"/>
      <c r="AG26" s="39"/>
      <c r="AH26" s="39"/>
      <c r="AI26" s="39"/>
      <c r="AJ26" s="39"/>
      <c r="AK26" s="39"/>
      <c r="AL26" s="39"/>
      <c r="AM26" s="39"/>
      <c r="AN26" s="39"/>
      <c r="AO26" s="39"/>
      <c r="AP26" s="39"/>
      <c r="AQ26" s="39"/>
      <c r="AR26" s="39"/>
      <c r="AS26" s="39"/>
      <c r="AT26" s="39"/>
      <c r="AU26" s="39"/>
      <c r="AV26" s="39"/>
      <c r="AW26" s="39"/>
      <c r="AX26" s="39"/>
      <c r="AY26" s="39"/>
      <c r="AZ26" s="39"/>
      <c r="BA26" s="39"/>
      <c r="BB26" s="39"/>
      <c r="BC26" s="39"/>
      <c r="BD26" s="39"/>
      <c r="BE26" s="39"/>
      <c r="BG26" s="39"/>
      <c r="BH26" s="39"/>
      <c r="BI26" s="39"/>
      <c r="BJ26" s="39"/>
      <c r="BK26" s="39"/>
      <c r="BL26" s="39"/>
      <c r="BM26" s="39"/>
    </row>
    <row r="27" spans="1:66" s="40" customFormat="1"/>
    <row r="28" spans="1:66" s="40" customFormat="1">
      <c r="D28" s="18"/>
      <c r="E28" s="18"/>
      <c r="F28" s="18" t="s">
        <v>302</v>
      </c>
      <c r="G28" s="17" t="str">
        <f>cstFlag</f>
        <v>Flag</v>
      </c>
      <c r="AA28" s="14">
        <f>IF(AA22=0,1,0)</f>
        <v>1</v>
      </c>
      <c r="AB28" s="14">
        <f t="shared" ref="AB28:BE28" si="8">IF(AB22=0,1,0)</f>
        <v>0</v>
      </c>
      <c r="AC28" s="14">
        <f t="shared" si="8"/>
        <v>0</v>
      </c>
      <c r="AD28" s="14">
        <f t="shared" si="8"/>
        <v>0</v>
      </c>
      <c r="AE28" s="14">
        <f t="shared" si="8"/>
        <v>0</v>
      </c>
      <c r="AF28" s="14">
        <f t="shared" si="8"/>
        <v>0</v>
      </c>
      <c r="AG28" s="14">
        <f t="shared" si="8"/>
        <v>0</v>
      </c>
      <c r="AH28" s="14">
        <f t="shared" si="8"/>
        <v>0</v>
      </c>
      <c r="AI28" s="14">
        <f t="shared" si="8"/>
        <v>0</v>
      </c>
      <c r="AJ28" s="14">
        <f t="shared" si="8"/>
        <v>0</v>
      </c>
      <c r="AK28" s="14">
        <f t="shared" si="8"/>
        <v>0</v>
      </c>
      <c r="AL28" s="14">
        <f t="shared" si="8"/>
        <v>0</v>
      </c>
      <c r="AM28" s="14">
        <f t="shared" si="8"/>
        <v>0</v>
      </c>
      <c r="AN28" s="14">
        <f t="shared" si="8"/>
        <v>0</v>
      </c>
      <c r="AO28" s="14">
        <f t="shared" si="8"/>
        <v>0</v>
      </c>
      <c r="AP28" s="14">
        <f t="shared" si="8"/>
        <v>0</v>
      </c>
      <c r="AQ28" s="14">
        <f t="shared" si="8"/>
        <v>0</v>
      </c>
      <c r="AR28" s="14">
        <f t="shared" si="8"/>
        <v>0</v>
      </c>
      <c r="AS28" s="14">
        <f t="shared" si="8"/>
        <v>0</v>
      </c>
      <c r="AT28" s="14">
        <f t="shared" si="8"/>
        <v>0</v>
      </c>
      <c r="AU28" s="14">
        <f t="shared" si="8"/>
        <v>0</v>
      </c>
      <c r="AV28" s="14">
        <f t="shared" si="8"/>
        <v>0</v>
      </c>
      <c r="AW28" s="14">
        <f t="shared" si="8"/>
        <v>0</v>
      </c>
      <c r="AX28" s="14">
        <f t="shared" si="8"/>
        <v>0</v>
      </c>
      <c r="AY28" s="14">
        <f t="shared" si="8"/>
        <v>0</v>
      </c>
      <c r="AZ28" s="14">
        <f t="shared" si="8"/>
        <v>0</v>
      </c>
      <c r="BA28" s="14">
        <f t="shared" si="8"/>
        <v>0</v>
      </c>
      <c r="BB28" s="14">
        <f t="shared" si="8"/>
        <v>0</v>
      </c>
      <c r="BC28" s="14">
        <f t="shared" si="8"/>
        <v>0</v>
      </c>
      <c r="BD28" s="14">
        <f t="shared" si="8"/>
        <v>0</v>
      </c>
      <c r="BE28" s="14">
        <f t="shared" si="8"/>
        <v>0</v>
      </c>
      <c r="BG28" s="39"/>
      <c r="BH28" s="39"/>
      <c r="BI28" s="39"/>
      <c r="BJ28" s="39"/>
      <c r="BK28" s="39"/>
      <c r="BL28" s="39"/>
      <c r="BM28" s="39"/>
    </row>
    <row r="29" spans="1:66" s="40" customFormat="1" ht="12.5" customHeight="1">
      <c r="D29" s="41"/>
      <c r="E29" s="18"/>
    </row>
    <row r="30" spans="1:66" ht="16">
      <c r="A30" s="24"/>
      <c r="B30" s="24"/>
      <c r="C30" s="24"/>
      <c r="D30" s="24" t="s">
        <v>8</v>
      </c>
      <c r="E30" s="24"/>
      <c r="F30" s="24"/>
      <c r="G30" s="24"/>
      <c r="H30" s="24"/>
      <c r="I30" s="24"/>
      <c r="J30" s="24"/>
      <c r="K30" s="24"/>
      <c r="L30" s="24"/>
      <c r="M30" s="24"/>
      <c r="N30" s="24"/>
      <c r="O30" s="24"/>
      <c r="P30" s="24"/>
      <c r="Q30" s="24"/>
      <c r="R30" s="24"/>
      <c r="S30" s="24"/>
      <c r="T30" s="24"/>
      <c r="U30" s="24"/>
      <c r="V30" s="24"/>
      <c r="W30" s="24"/>
      <c r="X30" s="24"/>
      <c r="Y30" s="24"/>
      <c r="Z30" s="24"/>
      <c r="AA30" s="24"/>
      <c r="AB30" s="24"/>
      <c r="AC30" s="24"/>
      <c r="AD30" s="24"/>
      <c r="AE30" s="24"/>
      <c r="AF30" s="24"/>
      <c r="AG30" s="24"/>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c r="BH30" s="24"/>
      <c r="BI30" s="24"/>
      <c r="BJ30" s="24"/>
      <c r="BK30" s="24"/>
      <c r="BL30" s="24"/>
      <c r="BM30" s="24"/>
      <c r="BN30" s="24"/>
    </row>
    <row r="31" spans="1:66">
      <c r="A31"/>
      <c r="B31"/>
      <c r="C31"/>
      <c r="D31"/>
      <c r="E31" s="18"/>
      <c r="F31"/>
      <c r="G31"/>
      <c r="I31"/>
      <c r="Z31"/>
      <c r="AA31"/>
      <c r="AB31"/>
      <c r="AC31"/>
      <c r="AD31"/>
      <c r="AE31"/>
      <c r="AF31"/>
      <c r="AG31"/>
      <c r="AH31"/>
      <c r="AI31"/>
      <c r="AJ31"/>
      <c r="AK31"/>
      <c r="AL31"/>
      <c r="AM31"/>
      <c r="AN31"/>
      <c r="AO31"/>
      <c r="AP31"/>
      <c r="AQ31"/>
      <c r="AR31"/>
      <c r="AS31"/>
      <c r="AT31"/>
      <c r="AU31"/>
      <c r="AV31"/>
      <c r="AW31"/>
      <c r="AX31"/>
      <c r="AY31"/>
      <c r="AZ31"/>
    </row>
    <row r="32" spans="1:66">
      <c r="A32"/>
      <c r="B32"/>
      <c r="C32"/>
      <c r="D32"/>
      <c r="E32" s="18"/>
      <c r="F32"/>
      <c r="G32"/>
      <c r="I32"/>
      <c r="Z32"/>
      <c r="AA32"/>
      <c r="AB32"/>
      <c r="AC32"/>
      <c r="AD32"/>
      <c r="AE32"/>
      <c r="AF32"/>
      <c r="AG32"/>
      <c r="AH32"/>
      <c r="AI32"/>
      <c r="AJ32"/>
      <c r="AK32"/>
      <c r="AL32"/>
      <c r="AM32"/>
      <c r="AN32"/>
      <c r="AO32"/>
      <c r="AP32"/>
      <c r="AQ32"/>
      <c r="AR32"/>
      <c r="AS32"/>
      <c r="AT32"/>
      <c r="AU32"/>
      <c r="AV32"/>
      <c r="AW32"/>
      <c r="AX32"/>
      <c r="AY32"/>
      <c r="AZ32"/>
    </row>
    <row r="33" spans="1:52">
      <c r="A33"/>
      <c r="B33"/>
      <c r="C33"/>
      <c r="D33"/>
      <c r="E33" s="18"/>
      <c r="F33"/>
      <c r="G33"/>
      <c r="I33"/>
      <c r="Z33"/>
      <c r="AA33" s="40"/>
      <c r="AB33" s="40"/>
      <c r="AC33" s="40"/>
      <c r="AD33" s="40"/>
      <c r="AE33" s="40"/>
      <c r="AF33" s="40"/>
      <c r="AG33" s="40"/>
      <c r="AH33" s="40"/>
      <c r="AI33" s="40"/>
      <c r="AJ33" s="40"/>
      <c r="AK33" s="40"/>
      <c r="AL33" s="40"/>
      <c r="AM33" s="40"/>
      <c r="AN33" s="40"/>
      <c r="AO33" s="40"/>
      <c r="AP33" s="40"/>
      <c r="AQ33"/>
      <c r="AR33"/>
      <c r="AS33"/>
      <c r="AT33"/>
      <c r="AU33"/>
      <c r="AV33"/>
      <c r="AW33"/>
      <c r="AX33"/>
      <c r="AY33"/>
      <c r="AZ33"/>
    </row>
    <row r="34" spans="1:52">
      <c r="A34"/>
      <c r="B34"/>
      <c r="C34"/>
      <c r="D34"/>
      <c r="E34" s="18"/>
      <c r="F34"/>
      <c r="G34"/>
      <c r="I34"/>
      <c r="Z34"/>
      <c r="AA34" s="40"/>
      <c r="AB34" s="40"/>
      <c r="AC34" s="40"/>
      <c r="AD34" s="40"/>
      <c r="AE34" s="40"/>
      <c r="AF34" s="40"/>
      <c r="AG34" s="40"/>
      <c r="AH34" s="40"/>
      <c r="AI34" s="40"/>
      <c r="AJ34" s="40"/>
      <c r="AK34" s="40"/>
      <c r="AL34" s="40"/>
      <c r="AM34" s="40"/>
      <c r="AN34" s="40"/>
      <c r="AO34" s="40"/>
      <c r="AP34" s="40"/>
      <c r="AQ34"/>
      <c r="AR34"/>
      <c r="AS34"/>
      <c r="AT34"/>
      <c r="AU34"/>
      <c r="AV34"/>
      <c r="AW34"/>
      <c r="AX34"/>
      <c r="AY34"/>
      <c r="AZ34"/>
    </row>
    <row r="35" spans="1:52">
      <c r="A35"/>
      <c r="B35"/>
      <c r="C35"/>
      <c r="D35"/>
      <c r="E35" s="18"/>
      <c r="F35"/>
      <c r="G35"/>
      <c r="I35"/>
      <c r="Z35"/>
      <c r="AA35" s="40"/>
      <c r="AB35" s="40"/>
      <c r="AC35" s="40"/>
      <c r="AD35" s="40"/>
      <c r="AE35" s="40"/>
      <c r="AF35" s="40"/>
      <c r="AG35" s="40"/>
      <c r="AH35" s="40"/>
      <c r="AI35" s="40"/>
      <c r="AJ35" s="40"/>
      <c r="AK35" s="40"/>
      <c r="AL35" s="40"/>
      <c r="AM35" s="40"/>
      <c r="AN35" s="40"/>
      <c r="AO35" s="40"/>
      <c r="AP35" s="40"/>
      <c r="AQ35"/>
      <c r="AR35"/>
      <c r="AS35"/>
      <c r="AT35"/>
      <c r="AU35"/>
      <c r="AV35"/>
      <c r="AW35"/>
      <c r="AX35"/>
      <c r="AY35"/>
      <c r="AZ35"/>
    </row>
    <row r="36" spans="1:52">
      <c r="A36"/>
      <c r="B36"/>
      <c r="C36"/>
      <c r="D36"/>
      <c r="E36" s="18"/>
      <c r="F36"/>
      <c r="G36"/>
      <c r="I36"/>
      <c r="Z36"/>
      <c r="AA36" s="40"/>
      <c r="AB36" s="40"/>
      <c r="AC36" s="40"/>
      <c r="AD36" s="40"/>
      <c r="AE36" s="40"/>
      <c r="AF36" s="40"/>
      <c r="AG36" s="40"/>
      <c r="AH36" s="40"/>
      <c r="AI36" s="40"/>
      <c r="AJ36" s="40"/>
      <c r="AK36" s="40"/>
      <c r="AL36" s="40"/>
      <c r="AM36" s="40"/>
      <c r="AN36" s="40"/>
      <c r="AO36" s="40"/>
      <c r="AP36" s="40"/>
      <c r="AQ36"/>
      <c r="AR36"/>
      <c r="AS36"/>
      <c r="AT36"/>
      <c r="AU36"/>
      <c r="AV36"/>
      <c r="AW36"/>
      <c r="AX36"/>
      <c r="AY36"/>
      <c r="AZ36"/>
    </row>
    <row r="37" spans="1:52">
      <c r="AA37" s="40"/>
      <c r="AB37" s="40"/>
      <c r="AC37" s="40"/>
      <c r="AD37" s="40"/>
      <c r="AE37" s="40"/>
      <c r="AF37" s="40"/>
      <c r="AG37" s="40"/>
      <c r="AH37" s="40"/>
      <c r="AI37" s="40"/>
      <c r="AJ37" s="40"/>
      <c r="AK37" s="40"/>
      <c r="AL37" s="40"/>
      <c r="AM37" s="40"/>
      <c r="AN37" s="40"/>
      <c r="AO37" s="40"/>
      <c r="AP37" s="40"/>
    </row>
    <row r="38" spans="1:52">
      <c r="AA38" s="40"/>
      <c r="AB38" s="40"/>
      <c r="AC38" s="40"/>
      <c r="AD38" s="40"/>
      <c r="AE38" s="40"/>
      <c r="AF38" s="40"/>
      <c r="AG38" s="40"/>
      <c r="AH38" s="40"/>
      <c r="AI38" s="40"/>
      <c r="AJ38" s="40"/>
      <c r="AK38" s="40"/>
      <c r="AL38" s="40"/>
      <c r="AM38" s="40"/>
      <c r="AN38" s="40"/>
      <c r="AO38" s="40"/>
      <c r="AP38" s="40"/>
    </row>
    <row r="39" spans="1:52">
      <c r="AA39" s="40"/>
      <c r="AB39" s="40"/>
      <c r="AC39" s="40"/>
      <c r="AD39" s="40"/>
      <c r="AE39" s="40"/>
      <c r="AF39" s="40"/>
      <c r="AG39" s="40"/>
      <c r="AH39" s="40"/>
      <c r="AI39" s="40"/>
      <c r="AJ39" s="40"/>
      <c r="AK39" s="40"/>
      <c r="AL39" s="40"/>
      <c r="AM39" s="40"/>
      <c r="AN39" s="40"/>
      <c r="AO39" s="40"/>
      <c r="AP39" s="40"/>
    </row>
    <row r="40" spans="1:52">
      <c r="AA40" s="40"/>
      <c r="AB40" s="40"/>
      <c r="AC40" s="40"/>
      <c r="AD40" s="40"/>
      <c r="AE40" s="40"/>
      <c r="AF40" s="40"/>
      <c r="AG40" s="40"/>
      <c r="AH40" s="40"/>
      <c r="AI40" s="40"/>
      <c r="AJ40" s="40"/>
      <c r="AK40" s="40"/>
      <c r="AL40" s="40"/>
      <c r="AM40" s="40"/>
      <c r="AN40" s="40"/>
      <c r="AO40" s="40"/>
      <c r="AP40" s="40"/>
    </row>
    <row r="41" spans="1:52">
      <c r="AA41" s="40"/>
      <c r="AB41" s="40"/>
      <c r="AC41" s="40"/>
      <c r="AD41" s="40"/>
      <c r="AE41" s="40"/>
      <c r="AF41" s="40"/>
      <c r="AG41" s="40"/>
      <c r="AH41" s="40"/>
      <c r="AI41" s="40"/>
      <c r="AJ41" s="40"/>
      <c r="AK41" s="40"/>
      <c r="AL41" s="40"/>
      <c r="AM41" s="40"/>
      <c r="AN41" s="40"/>
      <c r="AO41" s="40"/>
      <c r="AP41" s="40"/>
    </row>
  </sheetData>
  <sheetProtection algorithmName="SHA-512" hashValue="pUSDGHV3kTxoiUsoPAar8YLZNZ7BkSU7zWTlumtV/+mhLJC2bBjAOxkpiicR65+xlGoMeHRzpxCbv4UqxdlBUQ==" saltValue="ofjnYCrFR1peP3n6XbLyRw==" spinCount="100000" sheet="1" objects="1" scenarios="1"/>
  <conditionalFormatting sqref="C5:F5">
    <cfRule type="expression" dxfId="2" priority="1">
      <formula>IF(AND(sysChk=0,sysWarn=0),1,0)</formula>
    </cfRule>
    <cfRule type="expression" dxfId="1" priority="2">
      <formula>IF(AND(sysChk=0,sysWarn&lt;&gt;0),1,0)</formula>
    </cfRule>
    <cfRule type="expression" dxfId="0" priority="3">
      <formula>IF(sysChk&lt;&gt;0,1,0)</formula>
    </cfRule>
  </conditionalFormatting>
  <pageMargins left="0.70866141732283472" right="0.70866141732283472" top="0.74803149606299213" bottom="0.74803149606299213" header="0.31496062992125984" footer="0.31496062992125984"/>
  <pageSetup paperSize="9" scale="31" orientation="landscape" r:id="rId1"/>
  <headerFooter>
    <oddFooter>&amp;F</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E6F9F4506B9DD449C86F05E7F296849" ma:contentTypeVersion="9" ma:contentTypeDescription="Create a new document." ma:contentTypeScope="" ma:versionID="37d35eb678d024acf36cc3a2ffcd4e44">
  <xsd:schema xmlns:xsd="http://www.w3.org/2001/XMLSchema" xmlns:xs="http://www.w3.org/2001/XMLSchema" xmlns:p="http://schemas.microsoft.com/office/2006/metadata/properties" xmlns:ns3="a68b27cf-1735-45d1-a9f6-af31314770ac" targetNamespace="http://schemas.microsoft.com/office/2006/metadata/properties" ma:root="true" ma:fieldsID="d104ec2658609038e04791b6a464bc30" ns3:_="">
    <xsd:import namespace="a68b27cf-1735-45d1-a9f6-af31314770ac"/>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AutoTags" minOccurs="0"/>
                <xsd:element ref="ns3:MediaServiceGenerationTime" minOccurs="0"/>
                <xsd:element ref="ns3:MediaServiceEventHashCode" minOccurs="0"/>
                <xsd:element ref="ns3:MediaServiceOCR"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68b27cf-1735-45d1-a9f6-af31314770a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19B9846-E239-4C32-A4A5-4B1A03276C5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68b27cf-1735-45d1-a9f6-af31314770a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C32A400-87FA-4836-B43A-C051DF99F9D1}">
  <ds:schemaRefs>
    <ds:schemaRef ds:uri="http://schemas.microsoft.com/office/2006/metadata/properties"/>
    <ds:schemaRef ds:uri="http://purl.org/dc/terms/"/>
    <ds:schemaRef ds:uri="http://purl.org/dc/elements/1.1/"/>
    <ds:schemaRef ds:uri="http://www.w3.org/XML/1998/namespace"/>
    <ds:schemaRef ds:uri="http://purl.org/dc/dcmitype/"/>
    <ds:schemaRef ds:uri="a68b27cf-1735-45d1-a9f6-af31314770ac"/>
    <ds:schemaRef ds:uri="http://schemas.microsoft.com/office/2006/documentManagement/types"/>
    <ds:schemaRef ds:uri="http://schemas.microsoft.com/office/infopath/2007/PartnerControls"/>
    <ds:schemaRef ds:uri="http://schemas.openxmlformats.org/package/2006/metadata/core-properties"/>
  </ds:schemaRefs>
</ds:datastoreItem>
</file>

<file path=customXml/itemProps3.xml><?xml version="1.0" encoding="utf-8"?>
<ds:datastoreItem xmlns:ds="http://schemas.openxmlformats.org/officeDocument/2006/customXml" ds:itemID="{895636D7-BF44-4148-8558-80E353D9BDA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6" baseType="variant">
      <vt:variant>
        <vt:lpstr>Worksheets</vt:lpstr>
      </vt:variant>
      <vt:variant>
        <vt:i4>17</vt:i4>
      </vt:variant>
      <vt:variant>
        <vt:lpstr>Charts</vt:lpstr>
      </vt:variant>
      <vt:variant>
        <vt:i4>1</vt:i4>
      </vt:variant>
      <vt:variant>
        <vt:lpstr>Named Ranges</vt:lpstr>
      </vt:variant>
      <vt:variant>
        <vt:i4>53</vt:i4>
      </vt:variant>
    </vt:vector>
  </HeadingPairs>
  <TitlesOfParts>
    <vt:vector size="71" baseType="lpstr">
      <vt:lpstr>Introduction</vt:lpstr>
      <vt:lpstr>Contents</vt:lpstr>
      <vt:lpstr>Inputs&gt;&gt;</vt:lpstr>
      <vt:lpstr>iControl</vt:lpstr>
      <vt:lpstr>iOptions</vt:lpstr>
      <vt:lpstr>iIndices</vt:lpstr>
      <vt:lpstr>Calcs&gt;&gt;</vt:lpstr>
      <vt:lpstr>cFactors</vt:lpstr>
      <vt:lpstr>cVolumetrics</vt:lpstr>
      <vt:lpstr>cCosts</vt:lpstr>
      <vt:lpstr>cOutputs</vt:lpstr>
      <vt:lpstr>Output&gt;&gt;</vt:lpstr>
      <vt:lpstr>oFinancials</vt:lpstr>
      <vt:lpstr>oDashboard</vt:lpstr>
      <vt:lpstr>Admin&gt;&gt;</vt:lpstr>
      <vt:lpstr>SysConfig</vt:lpstr>
      <vt:lpstr>SysTime</vt:lpstr>
      <vt:lpstr>CoverPage</vt:lpstr>
      <vt:lpstr>ActiveCallVolumeScenarioIndex</vt:lpstr>
      <vt:lpstr>ActiveCostScenarioIndex</vt:lpstr>
      <vt:lpstr>cstArea</vt:lpstr>
      <vt:lpstr>cstConstantUnit</vt:lpstr>
      <vt:lpstr>cstDaysInWk</vt:lpstr>
      <vt:lpstr>cstFlag</vt:lpstr>
      <vt:lpstr>cstFTE</vt:lpstr>
      <vt:lpstr>cstHours</vt:lpstr>
      <vt:lpstr>cstMil</vt:lpstr>
      <vt:lpstr>cstMonthsInQtr</vt:lpstr>
      <vt:lpstr>cstMonthsInYr</vt:lpstr>
      <vt:lpstr>cstNominalUnit</vt:lpstr>
      <vt:lpstr>cstNum</vt:lpstr>
      <vt:lpstr>cstPercent</vt:lpstr>
      <vt:lpstr>cstProjectName</vt:lpstr>
      <vt:lpstr>cstProtectiveMarking</vt:lpstr>
      <vt:lpstr>cstRealUnit</vt:lpstr>
      <vt:lpstr>cstThou</vt:lpstr>
      <vt:lpstr>cstWeeksInYr</vt:lpstr>
      <vt:lpstr>cstYears</vt:lpstr>
      <vt:lpstr>eTol</vt:lpstr>
      <vt:lpstr>lstInflationRates</vt:lpstr>
      <vt:lpstr>lstScenariosCallVolume</vt:lpstr>
      <vt:lpstr>lstScenariosCost</vt:lpstr>
      <vt:lpstr>cCosts!Print_Area</vt:lpstr>
      <vt:lpstr>cFactors!Print_Area</vt:lpstr>
      <vt:lpstr>Contents!Print_Area</vt:lpstr>
      <vt:lpstr>cOutputs!Print_Area</vt:lpstr>
      <vt:lpstr>cVolumetrics!Print_Area</vt:lpstr>
      <vt:lpstr>iControl!Print_Area</vt:lpstr>
      <vt:lpstr>iIndices!Print_Area</vt:lpstr>
      <vt:lpstr>Introduction!Print_Area</vt:lpstr>
      <vt:lpstr>iOptions!Print_Area</vt:lpstr>
      <vt:lpstr>oDashboard!Print_Area</vt:lpstr>
      <vt:lpstr>oFinancials!Print_Area</vt:lpstr>
      <vt:lpstr>SysConfig!Print_Area</vt:lpstr>
      <vt:lpstr>cCosts!Print_Titles</vt:lpstr>
      <vt:lpstr>cFactors!Print_Titles</vt:lpstr>
      <vt:lpstr>Contents!Print_Titles</vt:lpstr>
      <vt:lpstr>cOutputs!Print_Titles</vt:lpstr>
      <vt:lpstr>cVolumetrics!Print_Titles</vt:lpstr>
      <vt:lpstr>iControl!Print_Titles</vt:lpstr>
      <vt:lpstr>iIndices!Print_Titles</vt:lpstr>
      <vt:lpstr>Introduction!Print_Titles</vt:lpstr>
      <vt:lpstr>iOptions!Print_Titles</vt:lpstr>
      <vt:lpstr>oDashboard!Print_Titles</vt:lpstr>
      <vt:lpstr>oFinancials!Print_Titles</vt:lpstr>
      <vt:lpstr>SysConfig!Print_Titles</vt:lpstr>
      <vt:lpstr>rngContents</vt:lpstr>
      <vt:lpstr>rngNamedRanges</vt:lpstr>
      <vt:lpstr>sysChk</vt:lpstr>
      <vt:lpstr>sysChkWord</vt:lpstr>
      <vt:lpstr>sysWarn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cp:lastPrinted>2021-03-30T10:59:16Z</cp:lastPrinted>
  <dcterms:created xsi:type="dcterms:W3CDTF">2020-05-12T13:01:21Z</dcterms:created>
  <dcterms:modified xsi:type="dcterms:W3CDTF">2021-05-19T10:55:55Z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0x010100DE6F9F4506B9DD449C86F05E7F296849</vt:lpwstr>
  </property>
  <property fmtid="{D5CDD505-2E9C-101B-9397-08002B2CF9AE}" pid="3" name="MSIP_Label_ea60d57e-af5b-4752-ac57-3e4f28ca11dc_Enabled">
    <vt:lpwstr>true</vt:lpwstr>
  </property>
  <property fmtid="{D5CDD505-2E9C-101B-9397-08002B2CF9AE}" pid="4" name="MSIP_Label_ea60d57e-af5b-4752-ac57-3e4f28ca11dc_SetDate">
    <vt:lpwstr>2021-05-13T17:46:01Z</vt:lpwstr>
  </property>
  <property fmtid="{D5CDD505-2E9C-101B-9397-08002B2CF9AE}" pid="5" name="MSIP_Label_ea60d57e-af5b-4752-ac57-3e4f28ca11dc_Method">
    <vt:lpwstr>Standard</vt:lpwstr>
  </property>
  <property fmtid="{D5CDD505-2E9C-101B-9397-08002B2CF9AE}" pid="6" name="MSIP_Label_ea60d57e-af5b-4752-ac57-3e4f28ca11dc_Name">
    <vt:lpwstr>ea60d57e-af5b-4752-ac57-3e4f28ca11dc</vt:lpwstr>
  </property>
  <property fmtid="{D5CDD505-2E9C-101B-9397-08002B2CF9AE}" pid="7" name="MSIP_Label_ea60d57e-af5b-4752-ac57-3e4f28ca11dc_SiteId">
    <vt:lpwstr>36da45f1-dd2c-4d1f-af13-5abe46b99921</vt:lpwstr>
  </property>
  <property fmtid="{D5CDD505-2E9C-101B-9397-08002B2CF9AE}" pid="8" name="MSIP_Label_ea60d57e-af5b-4752-ac57-3e4f28ca11dc_ActionId">
    <vt:lpwstr>4d9e201d-9dbd-4cf5-a4dd-1ca7fbe341ab</vt:lpwstr>
  </property>
  <property fmtid="{D5CDD505-2E9C-101B-9397-08002B2CF9AE}" pid="9" name="MSIP_Label_ea60d57e-af5b-4752-ac57-3e4f28ca11dc_ContentBits">
    <vt:lpwstr>0</vt:lpwstr>
  </property>
</Properties>
</file>