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beaumanoir.sharepoint.com/sites/Synvance-EtudeERP/Documents partages/Synvance - Etude ERP/2-Etude/1. Benchmark ERP/2. Réponses RFI/SAP/20250723 - Réponse budget planning références/"/>
    </mc:Choice>
  </mc:AlternateContent>
  <xr:revisionPtr revIDLastSave="1681" documentId="8_{EFE75C8C-486C-4A3F-8E26-86013CCF8B13}" xr6:coauthVersionLast="47" xr6:coauthVersionMax="47" xr10:uidLastSave="{CADEB622-CFC9-4ACA-ACB8-50CAEF6A6453}"/>
  <bookViews>
    <workbookView xWindow="28680" yWindow="-120" windowWidth="29040" windowHeight="15720" tabRatio="810" firstSheet="1" activeTab="2" xr2:uid="{34DB849C-6053-4B80-9809-3FC60A1BB98D}"/>
  </bookViews>
  <sheets>
    <sheet name="Introduction et instructions" sheetId="12" r:id="rId1"/>
    <sheet name="0. Informations générales" sheetId="14" r:id="rId2"/>
    <sheet name="1. Besoins fonctionnels " sheetId="22" r:id="rId3"/>
    <sheet name="Abaques besoins fonctionnels" sheetId="23" state="hidden" r:id="rId4"/>
    <sheet name="2. Interfaces " sheetId="19" r:id="rId5"/>
    <sheet name="3. Architecture et sécurité" sheetId="15" r:id="rId6"/>
    <sheet name="4. Volumétrie" sheetId="17" r:id="rId7"/>
    <sheet name="5. Support et disponibilité" sheetId="16" r:id="rId8"/>
    <sheet name="6. Références clients" sheetId="18" r:id="rId9"/>
    <sheet name="7. Partenaires et écosystème" sheetId="20" r:id="rId10"/>
    <sheet name="8. Estimations budgétaires" sheetId="21" r:id="rId11"/>
    <sheet name="LISTES" sheetId="13" state="hidden" r:id="rId12"/>
  </sheets>
  <definedNames>
    <definedName name="_xlnm._FilterDatabase" localSheetId="2" hidden="1">'1. Besoins fonctionnels '!$A$1:$H$456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19" l="1"/>
  <c r="F5" i="21"/>
  <c r="E8" i="21"/>
  <c r="E4" i="21"/>
  <c r="C12" i="21" l="1"/>
  <c r="G179" i="22" l="1"/>
  <c r="G178" i="22"/>
  <c r="F465" i="22"/>
  <c r="G453" i="22"/>
  <c r="G452" i="22"/>
  <c r="G451" i="22"/>
  <c r="G450" i="22"/>
  <c r="G449" i="22"/>
  <c r="G448" i="22"/>
  <c r="G447" i="22"/>
  <c r="G446" i="22"/>
  <c r="G445" i="22"/>
  <c r="G444" i="22"/>
  <c r="G443" i="22"/>
  <c r="G442" i="22"/>
  <c r="G441" i="22"/>
  <c r="G440" i="22"/>
  <c r="G439" i="22"/>
  <c r="G438" i="22"/>
  <c r="G437" i="22"/>
  <c r="G436" i="22"/>
  <c r="G435" i="22"/>
  <c r="G434" i="22"/>
  <c r="G433" i="22"/>
  <c r="G432" i="22"/>
  <c r="G431" i="22"/>
  <c r="G430" i="22"/>
  <c r="G429" i="22"/>
  <c r="G428" i="22"/>
  <c r="G427" i="22"/>
  <c r="G426" i="22"/>
  <c r="G425" i="22"/>
  <c r="G423" i="22"/>
  <c r="G422" i="22"/>
  <c r="G421" i="22"/>
  <c r="G420" i="22"/>
  <c r="G419" i="22"/>
  <c r="G418" i="22"/>
  <c r="G417" i="22"/>
  <c r="G416" i="22"/>
  <c r="G415" i="22"/>
  <c r="G414" i="22"/>
  <c r="G413" i="22"/>
  <c r="G412" i="22"/>
  <c r="G411" i="22"/>
  <c r="G410" i="22"/>
  <c r="G409" i="22"/>
  <c r="G407" i="22"/>
  <c r="G406" i="22"/>
  <c r="G405" i="22"/>
  <c r="G404" i="22"/>
  <c r="G403" i="22"/>
  <c r="G402" i="22"/>
  <c r="G401" i="22"/>
  <c r="G400" i="22"/>
  <c r="G399" i="22"/>
  <c r="G398" i="22"/>
  <c r="G397" i="22"/>
  <c r="G396" i="22"/>
  <c r="G395" i="22"/>
  <c r="G394" i="22"/>
  <c r="G393" i="22"/>
  <c r="G392" i="22"/>
  <c r="G391" i="22"/>
  <c r="G390" i="22"/>
  <c r="G389" i="22"/>
  <c r="G388" i="22"/>
  <c r="G387" i="22"/>
  <c r="G386" i="22"/>
  <c r="G385" i="22"/>
  <c r="G384" i="22"/>
  <c r="G383" i="22"/>
  <c r="G382" i="22"/>
  <c r="G381" i="22"/>
  <c r="G380" i="22"/>
  <c r="G379" i="22"/>
  <c r="G378" i="22"/>
  <c r="G377" i="22"/>
  <c r="G376" i="22"/>
  <c r="G375" i="22"/>
  <c r="G374" i="22"/>
  <c r="G373" i="22"/>
  <c r="G370" i="22"/>
  <c r="G369" i="22"/>
  <c r="G368" i="22"/>
  <c r="G367" i="22"/>
  <c r="G366" i="22"/>
  <c r="G365" i="22"/>
  <c r="G364" i="22"/>
  <c r="G363" i="22"/>
  <c r="G362" i="22"/>
  <c r="G361" i="22"/>
  <c r="G359" i="22"/>
  <c r="G358" i="22"/>
  <c r="G357" i="22"/>
  <c r="G356" i="22"/>
  <c r="G355" i="22"/>
  <c r="G354" i="22"/>
  <c r="G353" i="22"/>
  <c r="G352" i="22"/>
  <c r="G351" i="22"/>
  <c r="G350" i="22"/>
  <c r="G349" i="22"/>
  <c r="G348" i="22"/>
  <c r="G347" i="22"/>
  <c r="G346" i="22"/>
  <c r="G345" i="22"/>
  <c r="G344" i="22"/>
  <c r="G343" i="22"/>
  <c r="G342" i="22"/>
  <c r="G341" i="22"/>
  <c r="G340" i="22"/>
  <c r="G339" i="22"/>
  <c r="G338" i="22"/>
  <c r="G337" i="22"/>
  <c r="G336" i="22"/>
  <c r="G335" i="22"/>
  <c r="G334" i="22"/>
  <c r="G333" i="22"/>
  <c r="G330" i="22"/>
  <c r="G329" i="22"/>
  <c r="G328" i="22"/>
  <c r="G327" i="22"/>
  <c r="G326" i="22"/>
  <c r="G325" i="22"/>
  <c r="G324" i="22"/>
  <c r="G323" i="22"/>
  <c r="G322" i="22"/>
  <c r="G321" i="22"/>
  <c r="G319" i="22"/>
  <c r="G318" i="22"/>
  <c r="G316" i="22"/>
  <c r="G315" i="22"/>
  <c r="G314" i="22"/>
  <c r="G313" i="22"/>
  <c r="G312" i="22"/>
  <c r="G311" i="22"/>
  <c r="G310" i="22"/>
  <c r="G309" i="22"/>
  <c r="G308" i="22"/>
  <c r="G307" i="22"/>
  <c r="G306" i="22"/>
  <c r="G305" i="22"/>
  <c r="G304" i="22"/>
  <c r="G303" i="22"/>
  <c r="G302" i="22"/>
  <c r="G301" i="22"/>
  <c r="G300" i="22"/>
  <c r="G298" i="22"/>
  <c r="G297" i="22"/>
  <c r="G296" i="22"/>
  <c r="G295" i="22"/>
  <c r="G294" i="22"/>
  <c r="G293" i="22"/>
  <c r="G292" i="22"/>
  <c r="G291" i="22"/>
  <c r="G290" i="22"/>
  <c r="G289" i="22"/>
  <c r="G288" i="22"/>
  <c r="G287" i="22"/>
  <c r="G286" i="22"/>
  <c r="G285" i="22"/>
  <c r="G284" i="22"/>
  <c r="G283" i="22"/>
  <c r="G282" i="22"/>
  <c r="G281" i="22"/>
  <c r="G280" i="22"/>
  <c r="G279" i="22"/>
  <c r="G278" i="22"/>
  <c r="G277" i="22"/>
  <c r="G276" i="22"/>
  <c r="G275" i="22"/>
  <c r="G274" i="22"/>
  <c r="G273" i="22"/>
  <c r="G272" i="22"/>
  <c r="G271" i="22"/>
  <c r="G270" i="22"/>
  <c r="G269" i="22"/>
  <c r="G268" i="22"/>
  <c r="G267" i="22"/>
  <c r="G266" i="22"/>
  <c r="G265" i="22"/>
  <c r="G264" i="22"/>
  <c r="G263" i="22"/>
  <c r="G262" i="22"/>
  <c r="G261" i="22"/>
  <c r="G260" i="22"/>
  <c r="G259" i="22"/>
  <c r="G258" i="22"/>
  <c r="G257" i="22"/>
  <c r="G256" i="22"/>
  <c r="G255" i="22"/>
  <c r="G254" i="22"/>
  <c r="G253" i="22"/>
  <c r="G252" i="22"/>
  <c r="G251" i="22"/>
  <c r="G250" i="22"/>
  <c r="G249" i="22"/>
  <c r="G248" i="22"/>
  <c r="G247" i="22"/>
  <c r="G246" i="22"/>
  <c r="G245" i="22"/>
  <c r="G244" i="22"/>
  <c r="G243" i="22"/>
  <c r="G242" i="22"/>
  <c r="G241" i="22"/>
  <c r="G240" i="22"/>
  <c r="G239" i="22"/>
  <c r="G238" i="22"/>
  <c r="G237" i="22"/>
  <c r="G236" i="22"/>
  <c r="G234" i="22"/>
  <c r="G233" i="22"/>
  <c r="G232" i="22"/>
  <c r="G231" i="22"/>
  <c r="G230" i="22"/>
  <c r="G229" i="22"/>
  <c r="G228" i="22"/>
  <c r="G227" i="22"/>
  <c r="G226" i="22"/>
  <c r="G225" i="22"/>
  <c r="G224" i="22"/>
  <c r="G223" i="22"/>
  <c r="G222" i="22"/>
  <c r="G221" i="22"/>
  <c r="G220" i="22"/>
  <c r="G219" i="22"/>
  <c r="G218" i="22"/>
  <c r="G217" i="22"/>
  <c r="G216" i="22"/>
  <c r="G215" i="22"/>
  <c r="G214" i="22"/>
  <c r="G213" i="22"/>
  <c r="G212" i="22"/>
  <c r="G211" i="22"/>
  <c r="G210" i="22"/>
  <c r="G209" i="22"/>
  <c r="G208" i="22"/>
  <c r="G207" i="22"/>
  <c r="G206" i="22"/>
  <c r="G205" i="22"/>
  <c r="G204" i="22"/>
  <c r="G203" i="22"/>
  <c r="G201" i="22"/>
  <c r="G200" i="22"/>
  <c r="G199" i="22"/>
  <c r="G198" i="22"/>
  <c r="G197" i="22"/>
  <c r="G196" i="22"/>
  <c r="G195" i="22"/>
  <c r="G194" i="22"/>
  <c r="G193" i="22"/>
  <c r="G192" i="22"/>
  <c r="G191" i="22"/>
  <c r="G190" i="22"/>
  <c r="G189" i="22"/>
  <c r="G187" i="22"/>
  <c r="G186" i="22"/>
  <c r="G185" i="22"/>
  <c r="G184" i="22"/>
  <c r="G183" i="22"/>
  <c r="G182" i="22"/>
  <c r="G181" i="22"/>
  <c r="G180" i="22"/>
  <c r="G177" i="22"/>
  <c r="G176" i="22"/>
  <c r="G175" i="22"/>
  <c r="G174" i="22"/>
  <c r="G173" i="22"/>
  <c r="G171" i="22"/>
  <c r="G170" i="22"/>
  <c r="G169" i="22"/>
  <c r="G168" i="22"/>
  <c r="G167" i="22"/>
  <c r="G166" i="22"/>
  <c r="G165" i="22"/>
  <c r="G164" i="22"/>
  <c r="G163" i="22"/>
  <c r="G162" i="22"/>
  <c r="G161" i="22"/>
  <c r="G160" i="22"/>
  <c r="G159" i="22"/>
  <c r="G158" i="22"/>
  <c r="G157" i="22"/>
  <c r="G156" i="22"/>
  <c r="G155" i="22"/>
  <c r="G154" i="22"/>
  <c r="G153" i="22"/>
  <c r="G152" i="22"/>
  <c r="G151" i="22"/>
  <c r="G150" i="22"/>
  <c r="G149" i="22"/>
  <c r="G148" i="22"/>
  <c r="G147" i="22"/>
  <c r="G146" i="22"/>
  <c r="G145" i="22"/>
  <c r="G144" i="22"/>
  <c r="G143" i="22"/>
  <c r="G142" i="22"/>
  <c r="G140" i="22"/>
  <c r="G139" i="22"/>
  <c r="G138" i="22"/>
  <c r="G137" i="22"/>
  <c r="G136" i="22"/>
  <c r="G135" i="22"/>
  <c r="G134" i="22"/>
  <c r="G133" i="22"/>
  <c r="G132" i="22"/>
  <c r="G131" i="22"/>
  <c r="G130" i="22"/>
  <c r="G129" i="22"/>
  <c r="G128" i="22"/>
  <c r="G127" i="22"/>
  <c r="G126" i="22"/>
  <c r="G125" i="22"/>
  <c r="G124" i="22"/>
  <c r="G123" i="22"/>
  <c r="G122" i="22"/>
  <c r="G121" i="22"/>
  <c r="G120" i="22"/>
  <c r="G119" i="22"/>
  <c r="G118" i="22"/>
  <c r="G117" i="22"/>
  <c r="G116" i="22"/>
  <c r="G115" i="22"/>
  <c r="G114" i="22"/>
  <c r="G113" i="22"/>
  <c r="G112" i="22"/>
  <c r="G111" i="22"/>
  <c r="G110" i="22"/>
  <c r="G109" i="22"/>
  <c r="G108" i="22"/>
  <c r="G107" i="22"/>
  <c r="G106" i="22"/>
  <c r="G105" i="22"/>
  <c r="G104" i="22"/>
  <c r="G103" i="22"/>
  <c r="G102" i="22"/>
  <c r="G101" i="22"/>
  <c r="G100" i="22"/>
  <c r="G99" i="22"/>
  <c r="G98" i="22"/>
  <c r="G97" i="22"/>
  <c r="G96" i="22"/>
  <c r="G95" i="22"/>
  <c r="G94" i="22"/>
  <c r="G91" i="22"/>
  <c r="G90" i="22"/>
  <c r="G89" i="22"/>
  <c r="G88" i="22"/>
  <c r="G87" i="22"/>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455" i="22"/>
  <c r="C3" i="21"/>
  <c r="C1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tc={2E64650A-3688-4494-96C1-58CECD32B51E}</author>
    <author>tc={7858E43D-A375-4571-925B-DE2BB65CE916}</author>
    <author>tc={50A6B615-CE6F-437A-BA10-2E531FB62770}</author>
  </authors>
  <commentList>
    <comment ref="B123" authorId="0" shapeId="0" xr:uid="{2E64650A-3688-4494-96C1-58CECD32B51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
      </text>
    </comment>
    <comment ref="B125" authorId="1" shapeId="0" xr:uid="{7858E43D-A375-4571-925B-DE2BB65CE916}">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
      </text>
    </comment>
    <comment ref="B170" authorId="2" shapeId="0" xr:uid="{50A6B615-CE6F-437A-BA10-2E531FB6277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 sur le pilotage hebdomadaire des capacités fournisseurs :
Il s’agit d’un besoin transverse de pilotage exploitant les données et plannings des commandes de ventes et d’achats, les capacités fournisseurs (théoriques, avec possibilité d’ajustement) et lead times, et les éléments de planification amont. 
Ce besoin hors scope relève plutôt d’une approche Planning et S&amp;OP 
Vous êtes toutefois invité à faire part de vos solutions éventuelles.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James Dowse</author>
  </authors>
  <commentList>
    <comment ref="H1" authorId="0" shapeId="0" xr:uid="{7CEE1D9A-56A4-41C5-9A94-CC452F935FF9}">
      <text>
        <r>
          <rPr>
            <b/>
            <sz val="11"/>
            <color indexed="81"/>
            <rFont val="Tahoma"/>
            <family val="2"/>
          </rPr>
          <t>James Dowse:</t>
        </r>
        <r>
          <rPr>
            <sz val="11"/>
            <color indexed="81"/>
            <rFont val="Tahoma"/>
            <family val="2"/>
          </rPr>
          <t xml:space="preserve">
Il peut s'agit de coûts d'adaptation (PAR - connecteur spécifique à adapter) comme de coûts de développement complémentaires</t>
        </r>
      </text>
    </comment>
    <comment ref="L1" authorId="0" shapeId="0" xr:uid="{975F6104-262B-4C8F-A50F-63D61E201A7C}">
      <text>
        <r>
          <rPr>
            <b/>
            <sz val="11"/>
            <color indexed="81"/>
            <rFont val="Tahoma"/>
            <family val="2"/>
          </rPr>
          <t>James Dowse:</t>
        </r>
        <r>
          <rPr>
            <sz val="11"/>
            <color indexed="81"/>
            <rFont val="Tahoma"/>
            <family val="2"/>
          </rPr>
          <t xml:space="preserve">
Il peut s'agit de coûts d'adaptation (PAR - connecteur spécifique à adapter) comme de coûts de développement complémentaires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Frederic Bochereau 1796</author>
  </authors>
  <commentList>
    <comment ref="B14" authorId="0" shapeId="0" xr:uid="{D3D84272-D303-4E31-8BC5-9BA31EC4F2B5}">
      <text>
        <r>
          <rPr>
            <b/>
            <sz val="9"/>
            <color indexed="81"/>
            <rFont val="Tahoma"/>
          </rPr>
          <t>Coquille car 12,8 Mds initialement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James Dowse</author>
  </authors>
  <commentList>
    <comment ref="B4" authorId="0" shapeId="0" xr:uid="{4069C130-E0F8-4C2F-9C82-5BFE4E614729}">
      <text>
        <r>
          <rPr>
            <b/>
            <sz val="9"/>
            <color indexed="81"/>
            <rFont val="Tahoma"/>
            <family val="2"/>
          </rPr>
          <t>James Dowse:</t>
        </r>
        <r>
          <rPr>
            <sz val="9"/>
            <color indexed="81"/>
            <rFont val="Tahoma"/>
            <family val="2"/>
          </rPr>
          <t xml:space="preserve">
Estimation </t>
        </r>
      </text>
    </comment>
    <comment ref="B5" authorId="0" shapeId="0" xr:uid="{7393A2B9-B77E-4C46-AEAD-236B08006C8A}">
      <text>
        <r>
          <rPr>
            <b/>
            <sz val="9"/>
            <color indexed="81"/>
            <rFont val="Tahoma"/>
            <family val="2"/>
          </rPr>
          <t>James Dowse:</t>
        </r>
        <r>
          <rPr>
            <sz val="9"/>
            <color indexed="81"/>
            <rFont val="Tahoma"/>
            <family val="2"/>
          </rPr>
          <t xml:space="preserve">
Estimation</t>
        </r>
      </text>
    </comment>
    <comment ref="B6" authorId="0" shapeId="0" xr:uid="{52974A92-B3FC-4897-87C6-DB9BD4F1FC5F}">
      <text>
        <r>
          <rPr>
            <b/>
            <sz val="9"/>
            <color indexed="81"/>
            <rFont val="Tahoma"/>
            <family val="2"/>
          </rPr>
          <t>James Dowse:</t>
        </r>
        <r>
          <rPr>
            <sz val="9"/>
            <color indexed="81"/>
            <rFont val="Tahoma"/>
            <family val="2"/>
          </rPr>
          <t xml:space="preserve">
Estimation</t>
        </r>
      </text>
    </comment>
    <comment ref="B7" authorId="0" shapeId="0" xr:uid="{6B10D923-D34C-42B4-BBC7-71CE9C57FB3A}">
      <text>
        <r>
          <rPr>
            <b/>
            <sz val="9"/>
            <color indexed="81"/>
            <rFont val="Tahoma"/>
            <family val="2"/>
          </rPr>
          <t>James Dowse:</t>
        </r>
        <r>
          <rPr>
            <sz val="9"/>
            <color indexed="81"/>
            <rFont val="Tahoma"/>
            <family val="2"/>
          </rPr>
          <t xml:space="preserve">
Estimation</t>
        </r>
      </text>
    </comment>
    <comment ref="B8" authorId="0" shapeId="0" xr:uid="{F3B3E498-C516-4AFC-B4ED-FD55F7A3D840}">
      <text>
        <r>
          <rPr>
            <b/>
            <sz val="9"/>
            <color indexed="81"/>
            <rFont val="Tahoma"/>
            <family val="2"/>
          </rPr>
          <t>James Dowse:</t>
        </r>
        <r>
          <rPr>
            <sz val="9"/>
            <color indexed="81"/>
            <rFont val="Tahoma"/>
            <family val="2"/>
          </rPr>
          <t xml:space="preserve">
Estimation</t>
        </r>
      </text>
    </comment>
    <comment ref="B9" authorId="0" shapeId="0" xr:uid="{C76B4A19-A3B7-418E-934E-C74F20519FD0}">
      <text>
        <r>
          <rPr>
            <b/>
            <sz val="9"/>
            <color indexed="81"/>
            <rFont val="Tahoma"/>
            <family val="2"/>
          </rPr>
          <t>James Dowse:</t>
        </r>
        <r>
          <rPr>
            <sz val="9"/>
            <color indexed="81"/>
            <rFont val="Tahoma"/>
            <family val="2"/>
          </rPr>
          <t xml:space="preserve">
Estimation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James Dowse</author>
  </authors>
  <commentList>
    <comment ref="B3" authorId="0" shapeId="0" xr:uid="{6A713EFB-0F21-4A5B-B542-5671694C8135}">
      <text>
        <r>
          <rPr>
            <b/>
            <sz val="9"/>
            <color indexed="81"/>
            <rFont val="Tahoma"/>
            <family val="2"/>
          </rPr>
          <t>James Dowse:</t>
        </r>
        <r>
          <rPr>
            <sz val="9"/>
            <color indexed="81"/>
            <rFont val="Tahoma"/>
            <family val="2"/>
          </rPr>
          <t xml:space="preserve">
Abaques à constuire sur la base d'un projet comparable : multi-sociétés, multi-entités, multi-marques, multi-canal, volumétrie de données importante
8 instances Storeland à migrer
1 instance SAP à migrer</t>
        </r>
      </text>
    </comment>
    <comment ref="C3" authorId="0" shapeId="0" xr:uid="{F1729165-8B6A-41D4-B085-721998F57AB8}">
      <text>
        <r>
          <rPr>
            <b/>
            <sz val="9"/>
            <color indexed="81"/>
            <rFont val="Tahoma"/>
            <family val="2"/>
          </rPr>
          <t>James Dowse:</t>
        </r>
        <r>
          <rPr>
            <sz val="9"/>
            <color indexed="81"/>
            <rFont val="Tahoma"/>
            <family val="2"/>
          </rPr>
          <t xml:space="preserve">
Ne pas saisir (calculé à partir des lignes suivantes)</t>
        </r>
      </text>
    </comment>
    <comment ref="B11" authorId="0" shapeId="0" xr:uid="{D5A81186-3EE2-4199-92A3-20A32AEDA49F}">
      <text>
        <r>
          <rPr>
            <b/>
            <sz val="9"/>
            <color indexed="81"/>
            <rFont val="Tahoma"/>
            <family val="2"/>
          </rPr>
          <t>James Dowse:</t>
        </r>
        <r>
          <rPr>
            <sz val="9"/>
            <color indexed="81"/>
            <rFont val="Tahoma"/>
            <family val="2"/>
          </rPr>
          <t xml:space="preserve">
Abaques à constuire sur la base d'un projet comparable : multi-sociétés, multi-entités, multi-marques, multi-canal, volumétrie de données importante
8 instances Storeland à migrer
1 instance SAP à migrer</t>
        </r>
      </text>
    </comment>
    <comment ref="C11" authorId="0" shapeId="0" xr:uid="{5CF3A791-D957-4630-A9B6-0B3312037DB8}">
      <text>
        <r>
          <rPr>
            <b/>
            <sz val="9"/>
            <color indexed="81"/>
            <rFont val="Tahoma"/>
            <family val="2"/>
          </rPr>
          <t>James Dowse:</t>
        </r>
        <r>
          <rPr>
            <sz val="9"/>
            <color indexed="81"/>
            <rFont val="Tahoma"/>
            <family val="2"/>
          </rPr>
          <t xml:space="preserve">
Ne pas saisir (calculé à partir des lignes suivantes)</t>
        </r>
      </text>
    </comment>
  </commentList>
</comments>
</file>

<file path=xl/sharedStrings.xml><?xml version="1.0" encoding="utf-8"?>
<sst xmlns="http://schemas.openxmlformats.org/spreadsheetml/2006/main" count="2140" uniqueCount="1363">
  <si>
    <t>Introduction et présentation du deck</t>
  </si>
  <si>
    <t>INTRODUCTION AU DOCUMENT</t>
  </si>
  <si>
    <r>
      <t xml:space="preserve">Suite au rachat de Boardriders, le groupe Beaumanoir a mandaté une étude pour le choix d'un nouvel ERP "opérations achat et vente" commun à l’ensemble des entités du Groupe. 
La présente consultation est lancée auprès d'éditeurs pré-sélectionnés, afin de collecter et comparer les informations sur leurs solutions. 
</t>
    </r>
    <r>
      <rPr>
        <b/>
        <sz val="11"/>
        <color theme="1"/>
        <rFont val="Aptos Narrow"/>
        <family val="2"/>
        <scheme val="minor"/>
      </rPr>
      <t>Ce questionnaire a pour but de collecter et évaluer ces données sur une base unifiée, construite à partir des attentes et besoins du Groupe Beaumanoir.
Nous vous demandons, par conséquent, de reporter vos réponses directement dans les onglets de ce document.</t>
    </r>
  </si>
  <si>
    <t>0. PRESENTATION DE LA SOLUTION</t>
  </si>
  <si>
    <t>Cet onglet vise à recueillir les informations générales sur votre entreprise et sur l’ERP que vous proposez.
Une zone de commentaire libre est  prévue à la fin de l’onglet pour vous permettre de nous transmettre toute information complémentaire que vous jugerez pertinente : éléments différenciateurs, contexte d’évolution de votre solution, précisions techniques, etc.</t>
  </si>
  <si>
    <t>1. BESOINS FONCTIONNELS</t>
  </si>
  <si>
    <r>
      <t xml:space="preserve">Cet onglet présente les besoins fonctionnels exprimés par les référents métiers du groupe Beaumanoir.
Le questionnaire qui s'y trouve doit permettre de confirmer la capacité de la solution à répondre à chacun des besoins, unitairement. 
</t>
    </r>
    <r>
      <rPr>
        <b/>
        <u/>
        <sz val="11"/>
        <color theme="1"/>
        <rFont val="Aptos Narrow"/>
        <family val="2"/>
        <scheme val="minor"/>
      </rPr>
      <t>Instructions :</t>
    </r>
    <r>
      <rPr>
        <b/>
        <sz val="11"/>
        <color theme="1"/>
        <rFont val="Aptos Narrow"/>
        <family val="2"/>
        <scheme val="minor"/>
      </rPr>
      <t xml:space="preserve">
</t>
    </r>
    <r>
      <rPr>
        <sz val="11"/>
        <color theme="1"/>
        <rFont val="Aptos Narrow"/>
        <family val="2"/>
        <scheme val="minor"/>
      </rPr>
      <t xml:space="preserve">Chaque ligne correspond à l'un des besoins exprimés par les métiers, qu'il s'agisse d'une fonctionnalité, de critères et d'attributs de gestion ou de paramétrage, ou d'une règle de gestion particulière.
Les besoins considérés très standards (ex : création d'un nouvel article, saisie d'une commande de vente) ont été ignorés. Ils sont réputés couverts par tous les ERP de la place. 
Merci de saisir votre réponse dans les deux champs prévus à cet effet.
- </t>
    </r>
    <r>
      <rPr>
        <b/>
        <sz val="11"/>
        <color theme="1"/>
        <rFont val="Aptos Narrow"/>
        <family val="2"/>
        <scheme val="minor"/>
      </rPr>
      <t>Réponse (colonne E) :</t>
    </r>
    <r>
      <rPr>
        <sz val="11"/>
        <color theme="1"/>
        <rFont val="Aptos Narrow"/>
        <family val="2"/>
        <scheme val="minor"/>
      </rPr>
      <t xml:space="preserve"> sélectionner la valeur adéquate parmi les options proposées
YES. Couvert en standard (100%)
CUS. Couvert avec customization
DEV. Développement spécifiques requis
TPS. Couvert par application tierce (au catalogue éditeur)
FUT. En développement pour release / version ultérieure
NON. Non couvert
- </t>
    </r>
    <r>
      <rPr>
        <b/>
        <sz val="11"/>
        <color theme="1"/>
        <rFont val="Aptos Narrow"/>
        <family val="2"/>
        <scheme val="minor"/>
      </rPr>
      <t>Estimation coûts supp. (colonne F) :</t>
    </r>
    <r>
      <rPr>
        <sz val="11"/>
        <color theme="1"/>
        <rFont val="Aptos Narrow"/>
        <family val="2"/>
        <scheme val="minor"/>
      </rPr>
      <t xml:space="preserve"> dans le cas où le besoin serait couvert par des développements spécifiques ou de la customization, estimer si possible le coût complémentaire (qui sera ajouté aux estimations budgétaies).
- </t>
    </r>
    <r>
      <rPr>
        <b/>
        <sz val="11"/>
        <color theme="1"/>
        <rFont val="Aptos Narrow"/>
        <family val="2"/>
        <scheme val="minor"/>
      </rPr>
      <t>Réponse - compléments (colonne G</t>
    </r>
    <r>
      <rPr>
        <sz val="11"/>
        <color theme="1"/>
        <rFont val="Aptos Narrow"/>
        <family val="2"/>
        <scheme val="minor"/>
      </rPr>
      <t>).
          - Justifier, si nécessaire / pertinent, votre répons codifiée
          - Quelques précisions utiles sur les compléments de réponse.
                    - Tout complément d'information est appréciable pour évaluer la qualité de la couverture.
                    - Nous avons  ajouté une mention "merci de détailler votre réponse" en face des critères pour lesquels des précisions sont vivement souhaitées.
                   - En cas de réponse partielle au besoin - avec customization, ou développement - merci d'indiquer les limites rencontrées en standard par la solution, et le périmètre des travaux d'adaptation.
Nota : nous avons choisi de ne pas donner de référence particulière à chaque ligne (1., 1.1, 1.1.1, etc.) afin de limiter la complexité de lecture. Vous pourrez faire directement référence au numéro de ligne dans nos échanges éventuels.
N’hésitez pas à nous contacter pour toute question complémentaire ou besoin de clarification.</t>
    </r>
  </si>
  <si>
    <t>2. INTERFACES</t>
  </si>
  <si>
    <r>
      <t xml:space="preserve">Cet onglet présente les opportunités d'interfaçage entre l'ERP à choisir et les principales applications de l'écosystème du groupe (marques historiques et Boardriders).
Le questionnaire doit permettre de recenser les éventuels connecteurs et interfaces pré-développés / pré-paramétrés existants, susceptibles de simplifier la connexion entre systèmes.
</t>
    </r>
    <r>
      <rPr>
        <u/>
        <sz val="11"/>
        <color theme="1"/>
        <rFont val="Aptos Narrow"/>
        <family val="2"/>
        <scheme val="minor"/>
      </rPr>
      <t>A noter :</t>
    </r>
    <r>
      <rPr>
        <sz val="11"/>
        <color theme="1"/>
        <rFont val="Aptos Narrow"/>
        <family val="2"/>
        <scheme val="minor"/>
      </rPr>
      <t xml:space="preserve"> certaines applications apparaissent en doublon car elles remplissent les mêmes usages (ex : deux CRM). Ceci est du au fait que les systèmes historiques du groupe et ceux de Boardriders sont aujourd'hui distincts. Le choix des applications conservées sur chacun des domaines n'est pas arrêté et pourrait être influencé par la facilité d'interfaçage. 
</t>
    </r>
    <r>
      <rPr>
        <b/>
        <u/>
        <sz val="11"/>
        <color theme="1"/>
        <rFont val="Aptos Narrow"/>
        <family val="2"/>
        <scheme val="minor"/>
      </rPr>
      <t>Instructions :</t>
    </r>
    <r>
      <rPr>
        <sz val="11"/>
        <color theme="1"/>
        <rFont val="Aptos Narrow"/>
        <family val="2"/>
        <scheme val="minor"/>
      </rPr>
      <t xml:space="preserve">
Chaque ligne correspond à l'une des applications de l'écosystème actuel du Groupe Beaumanoir. 
</t>
    </r>
    <r>
      <rPr>
        <b/>
        <sz val="11"/>
        <color theme="1"/>
        <rFont val="Aptos Narrow"/>
        <family val="2"/>
        <scheme val="minor"/>
      </rPr>
      <t>- Réponse (colonne G) :</t>
    </r>
    <r>
      <rPr>
        <sz val="11"/>
        <color theme="1"/>
        <rFont val="Aptos Narrow"/>
        <family val="2"/>
        <scheme val="minor"/>
      </rPr>
      <t xml:space="preserve"> sélectionner la valeur adéquate parmi les options proposées
STD. Connecteur standard existant =&gt; pas de développement, paramétrage minimal
CUS. Connecteur spécifique existant =&gt; connecteur spécifique réalisé dans le cadre d'un précédent déploiement, réutilisable moyennant des adaptations / customisation
DEV. Interface spécifique à développer =&gt; interface à créer en totalité
NON. Non couvert =&gt; pas d'interfaçage possible
</t>
    </r>
    <r>
      <rPr>
        <b/>
        <sz val="11"/>
        <color theme="1"/>
        <rFont val="Aptos Narrow"/>
        <family val="2"/>
        <scheme val="minor"/>
      </rPr>
      <t>- Estimation coûts supp. (colonne H) :</t>
    </r>
    <r>
      <rPr>
        <sz val="11"/>
        <color theme="1"/>
        <rFont val="Aptos Narrow"/>
        <family val="2"/>
        <scheme val="minor"/>
      </rPr>
      <t xml:space="preserve"> estimer la charge de paramétrage / adaptation, ou de développement, pour chaque interface.
</t>
    </r>
    <r>
      <rPr>
        <b/>
        <sz val="11"/>
        <color theme="1"/>
        <rFont val="Aptos Narrow"/>
        <family val="2"/>
        <scheme val="minor"/>
      </rPr>
      <t>- Limites de transfert (colonne I)</t>
    </r>
    <r>
      <rPr>
        <sz val="11"/>
        <color theme="1"/>
        <rFont val="Aptos Narrow"/>
        <family val="2"/>
        <scheme val="minor"/>
      </rPr>
      <t xml:space="preserve">
Indiquer, pour chaque interface, si des limites en matière de volumétrie sont à prévoir. Ces limites peuvent être intrinsèques à l'ERP (nombre de lignes limité en entrée), liés à l'interface (technologie utilisée pour interfacer cet outil) ou aux performances (pas de limite de volume, mais temps de traitement trop important pour un batch), par exemple.
</t>
    </r>
    <r>
      <rPr>
        <b/>
        <sz val="11"/>
        <color theme="1"/>
        <rFont val="Aptos Narrow"/>
        <family val="2"/>
        <scheme val="minor"/>
      </rPr>
      <t xml:space="preserve">- Détail des limites de transfert (colonne J).
</t>
    </r>
    <r>
      <rPr>
        <sz val="11"/>
        <color theme="1"/>
        <rFont val="Aptos Narrow"/>
        <family val="2"/>
        <scheme val="minor"/>
      </rPr>
      <t>Détailler les limites de transfert : cause, volume maximum.</t>
    </r>
  </si>
  <si>
    <t>3. ARCHITECTURE ET SECURITE</t>
  </si>
  <si>
    <r>
      <t xml:space="preserve">Cet onglet reprend les principaux besoins non fonctionnels que doit couvrir l'ERP. Le questionnaire permet de mieux comprendre les aspects techniques de votre solution (modalité, sécurité, conformité, propriété des données).
</t>
    </r>
    <r>
      <rPr>
        <b/>
        <u/>
        <sz val="11"/>
        <color theme="1"/>
        <rFont val="Aptos Narrow"/>
        <family val="2"/>
        <scheme val="minor"/>
      </rPr>
      <t>Instructions :</t>
    </r>
    <r>
      <rPr>
        <sz val="11"/>
        <color theme="1"/>
        <rFont val="Aptos Narrow"/>
        <family val="2"/>
        <scheme val="minor"/>
      </rPr>
      <t xml:space="preserve">
Chaque ligne correspond à une question ou un critère.
Saisissez ou sélectionnez la valeur adéquate dans le champ</t>
    </r>
    <r>
      <rPr>
        <b/>
        <sz val="11"/>
        <color theme="1"/>
        <rFont val="Aptos Narrow"/>
        <family val="2"/>
        <scheme val="minor"/>
      </rPr>
      <t xml:space="preserve"> "réponse" (colonne D).</t>
    </r>
  </si>
  <si>
    <t>4. VOLUMETRIE</t>
  </si>
  <si>
    <r>
      <rPr>
        <b/>
        <u/>
        <sz val="11"/>
        <color rgb="FFC00000"/>
        <rFont val="Aptos Narrow"/>
        <family val="2"/>
        <scheme val="minor"/>
      </rPr>
      <t>Important :</t>
    </r>
    <r>
      <rPr>
        <b/>
        <sz val="11"/>
        <color theme="1"/>
        <rFont val="Aptos Narrow"/>
        <family val="2"/>
        <scheme val="minor"/>
      </rPr>
      <t xml:space="preserve"> cet onglet est à traiter de paire avec le document "ANNEXE 1 - VOLUMETRIE GBM" , qui détaille les volumes de données et les contraintes de charge que l'ERP doit être capable de gérer. </t>
    </r>
    <r>
      <rPr>
        <sz val="11"/>
        <color theme="1"/>
        <rFont val="Aptos Narrow"/>
        <family val="2"/>
        <scheme val="minor"/>
      </rPr>
      <t xml:space="preserve">
</t>
    </r>
    <r>
      <rPr>
        <b/>
        <u/>
        <sz val="11"/>
        <color theme="1"/>
        <rFont val="Aptos Narrow"/>
        <family val="2"/>
        <scheme val="minor"/>
      </rPr>
      <t xml:space="preserve">Instructions :
</t>
    </r>
    <r>
      <rPr>
        <b/>
        <sz val="11"/>
        <color theme="1"/>
        <rFont val="Aptos Narrow"/>
        <family val="2"/>
        <scheme val="minor"/>
      </rPr>
      <t>Bloc "volumes d'activité"</t>
    </r>
    <r>
      <rPr>
        <sz val="11"/>
        <color theme="1"/>
        <rFont val="Aptos Narrow"/>
        <family val="2"/>
        <scheme val="minor"/>
      </rPr>
      <t xml:space="preserve">
Chaque ligne de ce bloc correspond à un volume de données que la solution doit pouvoir prendre en charge, puisqu'elle correspond aux volumes actuels du Groupe. 
Indiquez dans le champ </t>
    </r>
    <r>
      <rPr>
        <b/>
        <sz val="11"/>
        <color theme="1"/>
        <rFont val="Aptos Narrow"/>
        <family val="2"/>
        <scheme val="minor"/>
      </rPr>
      <t>"réponse" (colonne C)</t>
    </r>
    <r>
      <rPr>
        <sz val="11"/>
        <color theme="1"/>
        <rFont val="Aptos Narrow"/>
        <family val="2"/>
        <scheme val="minor"/>
      </rPr>
      <t xml:space="preserve"> si la solution peut prendre en charge ces contraintes, sans déterioration des performances. 
</t>
    </r>
    <r>
      <rPr>
        <b/>
        <u/>
        <sz val="11"/>
        <color theme="1"/>
        <rFont val="Aptos Narrow"/>
        <family val="2"/>
        <scheme val="minor"/>
      </rPr>
      <t>A noter :</t>
    </r>
    <r>
      <rPr>
        <sz val="11"/>
        <color theme="1"/>
        <rFont val="Aptos Narrow"/>
        <family val="2"/>
        <scheme val="minor"/>
      </rPr>
      <t xml:space="preserve"> la ligne 2 contient une question générale portant sur l'ensemble des volumes exprimés dans le document ANNEXE 1 - Volumétrie GBM. </t>
    </r>
    <r>
      <rPr>
        <b/>
        <sz val="11"/>
        <color theme="1"/>
        <rFont val="Aptos Narrow"/>
        <family val="2"/>
        <scheme val="minor"/>
      </rPr>
      <t>Veuillez ne répondre par l'affirmative que si la solution peut gérer TOUTES les contraintes exprimées.</t>
    </r>
    <r>
      <rPr>
        <sz val="11"/>
        <color theme="1"/>
        <rFont val="Aptos Narrow"/>
        <family val="2"/>
        <scheme val="minor"/>
      </rPr>
      <t xml:space="preserve">
</t>
    </r>
    <r>
      <rPr>
        <b/>
        <sz val="11"/>
        <color theme="1"/>
        <rFont val="Aptos Narrow"/>
        <family val="2"/>
        <scheme val="minor"/>
      </rPr>
      <t xml:space="preserve">Blocs "scénarios de montée en charge"
</t>
    </r>
    <r>
      <rPr>
        <sz val="11"/>
        <color theme="1"/>
        <rFont val="Aptos Narrow"/>
        <family val="2"/>
        <scheme val="minor"/>
      </rPr>
      <t xml:space="preserve">Ces blocs présentent des hypothèses (fictives) de montée en charge, afin d'extrapoler la scalabilité et les limites éventuelles de la solution.
Indiquez dans le champ </t>
    </r>
    <r>
      <rPr>
        <b/>
        <sz val="11"/>
        <color theme="1"/>
        <rFont val="Aptos Narrow"/>
        <family val="2"/>
        <scheme val="minor"/>
      </rPr>
      <t>"réponse" (colonne C)</t>
    </r>
    <r>
      <rPr>
        <sz val="11"/>
        <color theme="1"/>
        <rFont val="Aptos Narrow"/>
        <family val="2"/>
        <scheme val="minor"/>
      </rPr>
      <t xml:space="preserve"> si la solution peut prendre en charge ces contraintes, sans déterioration des performances. </t>
    </r>
  </si>
  <si>
    <t>5. SUPPORT ET DISPONIBILITE</t>
  </si>
  <si>
    <r>
      <t xml:space="preserve">Cet onglet vise à collecter des renseignements sur les modalités d'accès au support et les principaux métriques de "haute disponibilité" de la solution.
</t>
    </r>
    <r>
      <rPr>
        <b/>
        <u/>
        <sz val="11"/>
        <color theme="1"/>
        <rFont val="Aptos Narrow"/>
        <family val="2"/>
        <scheme val="minor"/>
      </rPr>
      <t xml:space="preserve">Instructions : </t>
    </r>
    <r>
      <rPr>
        <sz val="11"/>
        <color theme="1"/>
        <rFont val="Aptos Narrow"/>
        <family val="2"/>
        <scheme val="minor"/>
      </rPr>
      <t xml:space="preserve">
Chaque ligne correspond à un question sur les services poposés et / ou leurs modalités principaleq.
Sélectionnez la valeur adéquate dans le champ </t>
    </r>
    <r>
      <rPr>
        <b/>
        <sz val="11"/>
        <color theme="1"/>
        <rFont val="Aptos Narrow"/>
        <family val="2"/>
        <scheme val="minor"/>
      </rPr>
      <t>"réponse" (colonne C)</t>
    </r>
    <r>
      <rPr>
        <sz val="11"/>
        <color theme="1"/>
        <rFont val="Aptos Narrow"/>
        <family val="2"/>
        <scheme val="minor"/>
      </rPr>
      <t>.</t>
    </r>
  </si>
  <si>
    <t>6. REFERENCES CLIENTS</t>
  </si>
  <si>
    <r>
      <t xml:space="preserve">L’onglet "Références" est destiné à recueillir quelques références pertinentes de clients actifs sur la solution, comparables aux Groupe Beaumanoir en termes de taille et secteur (idéalement), périmètre, contexte et complexité. 
</t>
    </r>
    <r>
      <rPr>
        <b/>
        <u/>
        <sz val="11"/>
        <color theme="1"/>
        <rFont val="Aptos Narrow"/>
        <family val="2"/>
        <scheme val="minor"/>
      </rPr>
      <t xml:space="preserve">Instructions : </t>
    </r>
    <r>
      <rPr>
        <sz val="11"/>
        <color theme="1"/>
        <rFont val="Aptos Narrow"/>
        <family val="2"/>
        <scheme val="minor"/>
      </rPr>
      <t xml:space="preserve">
Veuillez saisir  directement les informations relatives au compte client / projet dans les différents champs, si pertinent et / ou possible (du fait des questions de confidentialité).
</t>
    </r>
    <r>
      <rPr>
        <u/>
        <sz val="11"/>
        <color theme="1"/>
        <rFont val="Aptos Narrow"/>
        <family val="2"/>
        <scheme val="minor"/>
      </rPr>
      <t>Périmètre fonctionnel :</t>
    </r>
    <r>
      <rPr>
        <sz val="11"/>
        <color theme="1"/>
        <rFont val="Aptos Narrow"/>
        <family val="2"/>
        <scheme val="minor"/>
      </rPr>
      <t xml:space="preserve"> les domaines reflète les différents macro-besoins et macro-processus, et non un découpage modulaire. N'hésitez pas à nuancer / détailler votre réponse.</t>
    </r>
  </si>
  <si>
    <t>7. PARTENAIRES ET ECOSYSTEME</t>
  </si>
  <si>
    <r>
      <t xml:space="preserve">Cet onglet permet de collecter des métriques sur la disponibilité de votre solution auprès de partenaires intégrateurs en France, en Europe et dans le Monde. 
</t>
    </r>
    <r>
      <rPr>
        <b/>
        <u/>
        <sz val="11"/>
        <color theme="1"/>
        <rFont val="Aptos Narrow"/>
        <family val="2"/>
        <scheme val="minor"/>
      </rPr>
      <t>Instructions :</t>
    </r>
    <r>
      <rPr>
        <sz val="11"/>
        <color theme="1"/>
        <rFont val="Aptos Narrow"/>
        <family val="2"/>
        <scheme val="minor"/>
      </rPr>
      <t xml:space="preserve">
Veuillez saisir les réponses adéquates dans le champ </t>
    </r>
    <r>
      <rPr>
        <b/>
        <sz val="11"/>
        <color theme="1"/>
        <rFont val="Aptos Narrow"/>
        <family val="2"/>
        <scheme val="minor"/>
      </rPr>
      <t>"réponse" (colonne C)</t>
    </r>
  </si>
  <si>
    <t xml:space="preserve">8. ESTIMATIONS BUDGETAIRES </t>
  </si>
  <si>
    <r>
      <t xml:space="preserve">Cet onglet doit permettre de collecter de premières estimations macroscopiques, à partir d'abaques et de quelques données relatives au contexte du Groupe Beaumanoir, pour positionner la solution dans une fourchette de prix (dans l'absolu, et par rapport aux autres candidats).
</t>
    </r>
    <r>
      <rPr>
        <b/>
        <sz val="11"/>
        <color theme="1"/>
        <rFont val="Aptos Narrow"/>
        <family val="2"/>
        <scheme val="minor"/>
      </rPr>
      <t xml:space="preserve">il ne s'agit pas d'une propositon commerciale, et les estimations faites ici n'ont pas vocation à se substituer à une propositon en bonne et due forme.
</t>
    </r>
    <r>
      <rPr>
        <b/>
        <u/>
        <sz val="11"/>
        <color theme="1"/>
        <rFont val="Aptos Narrow"/>
        <family val="2"/>
        <scheme val="minor"/>
      </rPr>
      <t xml:space="preserve">
Rappel des éléments de contexte du Groupe Beaumanoir susceptibles d'impacter les coûts de déploiement et récurrents.</t>
    </r>
    <r>
      <rPr>
        <u/>
        <sz val="11"/>
        <color theme="1"/>
        <rFont val="Aptos Narrow"/>
        <family val="2"/>
        <scheme val="minor"/>
      </rPr>
      <t xml:space="preserve">
</t>
    </r>
    <r>
      <rPr>
        <sz val="11"/>
        <color theme="1"/>
        <rFont val="Aptos Narrow"/>
        <family val="2"/>
        <scheme val="minor"/>
      </rPr>
      <t xml:space="preserve">- 15 marques.
- Multi-sociétés, multi-canaux, multi-devises, clients français et internationaux.
- Volumes important de données référentielles et de transactions (voir ANNEXE 1 - Volumétrie GBM).
- 8 instances de STORELAND et 1 instance SAP (globale Boardriders) dont les données sont à reprendre et migrer.
- Une dizaine d'interfaces avec les applications existantes du Groupe (ce chiffre sera affiné ultérieurement).
- Un fort niveau de customization / personnalisation des règles de gestion attendu, notamment sur :
     - la gestion des stocks,
     - la gestion des règles de réassort (déclenchement, calcul du cloisage / des optimums logistiques (colis / bag VS picking)),
     - la gestion des allocations, et notamment les critères de calcul des priorités et de blocage.
- Un fort niveau d'automatisation / simplification dans le traitement en masse de certaines données (recherche et gestion de commandes d'achat).
- Le paramétrage / la customization de cockpits et d'outils d'aide au pilotage et à la décision (permettant des simulations et comparaison de scénarios).
</t>
    </r>
    <r>
      <rPr>
        <b/>
        <u/>
        <sz val="11"/>
        <color theme="1"/>
        <rFont val="Aptos Narrow"/>
        <family val="2"/>
        <scheme val="minor"/>
      </rPr>
      <t>Instructions :</t>
    </r>
    <r>
      <rPr>
        <sz val="11"/>
        <color theme="1"/>
        <rFont val="Aptos Narrow"/>
        <family val="2"/>
        <scheme val="minor"/>
      </rPr>
      <t xml:space="preserve">
Veuillez saisir les réponses adéquates dans le champ </t>
    </r>
    <r>
      <rPr>
        <b/>
        <sz val="11"/>
        <color theme="1"/>
        <rFont val="Aptos Narrow"/>
        <family val="2"/>
        <scheme val="minor"/>
      </rPr>
      <t>"estimations en K€" (colonne C)</t>
    </r>
    <r>
      <rPr>
        <sz val="11"/>
        <color theme="1"/>
        <rFont val="Aptos Narrow"/>
        <family val="2"/>
        <scheme val="minor"/>
      </rPr>
      <t xml:space="preserve"> et </t>
    </r>
    <r>
      <rPr>
        <b/>
        <sz val="11"/>
        <color theme="1"/>
        <rFont val="Aptos Narrow"/>
        <family val="2"/>
        <scheme val="minor"/>
      </rPr>
      <t>"réponse" (colonne C).</t>
    </r>
    <r>
      <rPr>
        <sz val="11"/>
        <color theme="1"/>
        <rFont val="Aptos Narrow"/>
        <family val="2"/>
        <scheme val="minor"/>
      </rPr>
      <t xml:space="preserve">
Les cases en bleu ciel sont des cellules de calcul dans lesquelles nous vous demandons de ne rien saisir.
</t>
    </r>
    <r>
      <rPr>
        <b/>
        <u/>
        <sz val="11"/>
        <color theme="1"/>
        <rFont val="Aptos Narrow"/>
        <family val="2"/>
        <scheme val="minor"/>
      </rPr>
      <t>A noter :</t>
    </r>
    <r>
      <rPr>
        <sz val="11"/>
        <color theme="1"/>
        <rFont val="Aptos Narrow"/>
        <family val="2"/>
        <scheme val="minor"/>
      </rPr>
      <t xml:space="preserve"> nous ne reprenons pas automatiquement les estimations de coûts complémentaires renseignées dans les onglets 1. Besoins fonctionnels (colonne F) et 2. Interfaces (colonne G), pour vous permettre de réaliser les optimisations adéquates.
Les estimations en ligne 5 (customization et développements spécifiques) et 6 (connecteurs et interfaces) doivent tout de même être considérées dans le calcul, puisque parties intégrantes de la couverture du besoin.</t>
    </r>
  </si>
  <si>
    <t>DOMAINE</t>
  </si>
  <si>
    <t>QUESTION</t>
  </si>
  <si>
    <t>REPONSE</t>
  </si>
  <si>
    <t>COMMENTAIRE (facultatif)</t>
  </si>
  <si>
    <t>Informations générales sur la société éditrice</t>
  </si>
  <si>
    <t>Nom de l’entreprise éditrice</t>
  </si>
  <si>
    <t>Sap</t>
  </si>
  <si>
    <t>Chiffre d’affaires annuel total</t>
  </si>
  <si>
    <t>34,18  milliards d'euros</t>
  </si>
  <si>
    <t>Revenus cloud : en hausse de 25 %
Revenus de la suite Cloud ERP : +33 %
Backlog cloud total : 63,3 milliards d’euros (+43 %)
Résultat net : 3,12 milliards d’euros
Marge nette : 9,14 %</t>
  </si>
  <si>
    <t>Chiffre d’affaires annuel en France</t>
  </si>
  <si>
    <t>848 millions d'Euros</t>
  </si>
  <si>
    <t xml:space="preserve">Effectif total	</t>
  </si>
  <si>
    <t>Effectif en France</t>
  </si>
  <si>
    <t>cf tableau ci-contre</t>
  </si>
  <si>
    <t>Nombre de clients actifs dans le monde</t>
  </si>
  <si>
    <t>SAP compte plus de 440 000 clients dans 180 pays à travers le monde</t>
  </si>
  <si>
    <t>Nombre de clients actifs en France</t>
  </si>
  <si>
    <t>SAP compte environ 1 577 entreprises clientes en France</t>
  </si>
  <si>
    <t>Principaux secteurs d'activité</t>
  </si>
  <si>
    <t>L’industrie
Le Retail et le Fashion
Les services
Le secteur public
La distribution
La santé</t>
  </si>
  <si>
    <t>Informations générales sur la solution</t>
  </si>
  <si>
    <t>Nom de la solution ERP</t>
  </si>
  <si>
    <t>Sap Cloud Erp Pirvate</t>
  </si>
  <si>
    <t>Version actuelle</t>
  </si>
  <si>
    <t>La version actuelle de SAP S/4HANA Cloud, Private Edition est la 2023 Release, avec plusieurs Feature Pack Stacks (FPS) publiés au cours de l’année, dont FPS03 est l’un des plus récents
SAP S/4HANA Cloud Private Edition suit un cycle de mise à jour annuel, avec des support packages intermédiaire</t>
  </si>
  <si>
    <t>Date de sortie de la version actuelle</t>
  </si>
  <si>
    <t>La dernière version de SAP S/4HANA Cloud, Private Edition est la 2023 FPS02 (Feature Pack Stack 02), sortie le 9 octobre 2024</t>
  </si>
  <si>
    <t>Hébergement et mise à jour</t>
  </si>
  <si>
    <t>Type d'hébergement</t>
  </si>
  <si>
    <t>Tous</t>
  </si>
  <si>
    <t>Fréquence moyenne de mise à jour majeure</t>
  </si>
  <si>
    <t>une fois par an</t>
  </si>
  <si>
    <t>Fréquence moyenne de mise à jour mineure</t>
  </si>
  <si>
    <t>SAP prévoit de publier trois Feature Pack Stacks (FPS) pour chaque version majeure, à raison d’un tous les six mois.</t>
  </si>
  <si>
    <t>LISTE DES BESOINS FONCTIONNELS</t>
  </si>
  <si>
    <t>COMPLEXITE</t>
  </si>
  <si>
    <t>ESTIMATION COUTS SUPP.</t>
  </si>
  <si>
    <t>COMPLEMENTS (conseillés)</t>
  </si>
  <si>
    <t>I. Données référentielles</t>
  </si>
  <si>
    <t>Habiltations</t>
  </si>
  <si>
    <t>Gestion multi-sociétés, multi-entités</t>
  </si>
  <si>
    <t>Mutualisation contrôlée des accès et données : « mono- tenant »​</t>
  </si>
  <si>
    <t>YES. Couvert en standard (100%)</t>
  </si>
  <si>
    <t>Modèle d’habilitations hiérarchisé : par rôle, société, entité juridique, marque, etc.​</t>
  </si>
  <si>
    <t>Pilotage centralisé des rôles et autorisations : interface d’administration unique, reporting  ​</t>
  </si>
  <si>
    <t>Réseaux et clients​</t>
  </si>
  <si>
    <t>Gestion des réseaux de vente​</t>
  </si>
  <si>
    <t>Prise en charge d’une arborescence réseau de vente (magasins, clients internes) multi- niveaux et multi- vues, en lien avec les systèmes POS</t>
  </si>
  <si>
    <t>Gestion de hiérarchies de sites et de clients en standard pour gérer différentes vues. Existence de vues TPV de la fiche article dédiées, au niveau client, pour stocker et diffuser les informations articles pour le POS</t>
  </si>
  <si>
    <t>Gestion d’une organisation FDV (interne / externe, transverse / exclusive ), dont territoires commerciaux</t>
  </si>
  <si>
    <t>Possibilité de gérer d'autres types de regroupements de sites pour modéliser un découpage territorial propre au client et à son organisation de vente</t>
  </si>
  <si>
    <t>Hiérarchie comptes clients et données essentielles</t>
  </si>
  <si>
    <t>Prise en charge d’une hiérarchie de comptes clients multi- niveaux et multi- vues, en lien avec la CRM</t>
  </si>
  <si>
    <t>SAP couvre le besoin en termes de client B2B. Par contre une segmentzation marketing type B2C est hors périmètre, couverte par des outils de CRM.</t>
  </si>
  <si>
    <t>Gestion des données essentielles aux transactions et allocations​</t>
  </si>
  <si>
    <t>Contrôle de complétion et reporting sur fiches clients non conformes</t>
  </si>
  <si>
    <t>CUS. Couvert avec customization</t>
  </si>
  <si>
    <t>Développement de vues CDS suppélementaires requis</t>
  </si>
  <si>
    <t>Articles</t>
  </si>
  <si>
    <t>Types d’articles et assortiments​</t>
  </si>
  <si>
    <t>Prise en charge de types d’articles multiples (prototypes, samples / CoVoy, etc.) et de paramètres spécifiques​</t>
  </si>
  <si>
    <t>Prise en charge de types d'articles multiples (prototypes, samples / CoVoy, etc.) et de paramètres spécifiques. Support natif pour différents types d'articles et scénarios spécifiques via la gestion des catégories et statuts article.</t>
  </si>
  <si>
    <t>Gestion d’assortiments et critères multiples d’affectation aux magasins / à la hiérarchie magasins (en lien avec PLM et PIM + CRM)​</t>
  </si>
  <si>
    <t>Gestion d'assortiments et critères multiples d'affectation aux magasins / à la hiérarchie magasins (en lien avec PLM et PIM + CRM), Gestion intégrée des assortiments avec multiples critères d'affectation via Retail Assortment Management (licence spécifique)</t>
  </si>
  <si>
    <t>Gestion de catalogues et critères multiples d’affectation aux comptes clients ​</t>
  </si>
  <si>
    <t>Gestion de catalogues et critères multiples d'une affectation aux comptes clients,  Attribution flexible des catalogues à  des clients et magasins avec filtrage multi-critères intégré dans le Master Data.</t>
  </si>
  <si>
    <t>Variantes articles​</t>
  </si>
  <si>
    <t>Prise en charge de variantes articles permettant d’affecter différentes valeurs d’attributs à une même référence (ex : même article tshirt en coton, valeur d’attribut « composition » différente)​</t>
  </si>
  <si>
    <t>Prise en charge de variantes articles permettant d'affecter différentes valeurs d'uneattributs à  une même référence. Gestion de variantes via des grilles article (matrice Style/Color/Size) et attributs extensibles.</t>
  </si>
  <si>
    <t>Prise en charge de variantes multiples d’un même article pour une même saison​</t>
  </si>
  <si>
    <t>Prise en charge de variantes multiples d'un même article pour une même saison. Lien avec la saison/collection via la hiérarchie merchandising. Les variantes sont associées à des saisons.</t>
  </si>
  <si>
    <t>Gestion des niveaux « variante » (détaillé) et « référence » (« agrégé ») sur l’ensemble des flux, traitements et données (historiques, commandes et transactions, stocks…) et possibilité de définir le niveau optimum de traitement / gestion, selon les cas​</t>
  </si>
  <si>
    <t>Gestion des niveaux " variante " (détaillé) et " référence " (" agrégé ")..., Gestion multi-niveaux (Style &gt; Couleur &gt; Taille) avec flux différenciés selon le niveau géré.</t>
  </si>
  <si>
    <t>Traçabilité des matières​</t>
  </si>
  <si>
    <t>En lien avec la gestion des variantes articles et les nomenclatures (cf achats et réservations matières) :​
-  Conserver dans les attributs, de chaque variante utilisée, les informations relatives à la matière : composition, origine, fournisseur, pays, etc.​
-  Maintenir la traçabilité sur l’ensemble des flux, traitements et données (historiques, commandes et transactions, stocks…) et possibilité de définir le niveau optimum de traitement / gestion, selon les cas.</t>
  </si>
  <si>
    <t>Traçabilité des matières : composition, origine, fournisseur, etc.,Attributs matières liés à chaque variante et suivi dans toute la supply chain via les modules MM et SD.</t>
  </si>
  <si>
    <t>Hiérarchie articles et gestion MCT​</t>
  </si>
  <si>
    <t>Prise en charge native d’une hiérarchie articles adaptée au secteur : catégories, familles, groupes…</t>
  </si>
  <si>
    <t xml:space="preserve">Prise en charge native d'une hiérarchie articles adaptée au secteur,"Classification hiérarchique personnalisable selon les logiques métier (familles, groupes, classes)."
</t>
  </si>
  <si>
    <t>Prise en charge native d’articles Modèle- Coloris- Taille et des règles de gestion associées (dont références articles / SKU)</t>
  </si>
  <si>
    <t>Prise en charge native d'articles Modèle- Coloris- Taille et des règles de gestion associées. Support complet du modèle Style/Color/Size avec génération automatique de SKU.</t>
  </si>
  <si>
    <t>Possibilité de gérer plusieurs hiérarchies Produit​</t>
  </si>
  <si>
    <t>Possibilité de gérer plusieurs hiérarchies Produit, Possibilité de créer et gérer plusieurs hiérarchies produit pour des usages différenciés.</t>
  </si>
  <si>
    <t>Poid des articles</t>
  </si>
  <si>
    <t>Prise en charge des poids des articles, dans leurs différentes variantes.​</t>
  </si>
  <si>
    <t>Prise en charge des poids des articles, dans leurs différentes variantes,Chaque variante possède ses attributs de poids. Poids utilisés dans la logistique et le calcul des coûts.</t>
  </si>
  <si>
    <t>Articles de regroupements</t>
  </si>
  <si>
    <t>Prise en charge de types d’articles de regroupement (packs et assimilés, ex : X- t- shirts), à la vente et / ou en gestion sur les différentes étapes du flux​</t>
  </si>
  <si>
    <t>Différents types de packs sont possible dépendant de leur comportement dans la chaine logistique et sont géré à travers des catégories d'articles</t>
  </si>
  <si>
    <t>Gestion de SKU / références spécifiques à ces articles de regroupement (ex : pack de X t- shirts)​</t>
  </si>
  <si>
    <t xml:space="preserve">Gestion de SKU / références spécifiques à ces articles de regroupement. </t>
  </si>
  <si>
    <t>Conservation des SKU / références unitaires pour les articles regroupés (ex : chaque référence t- shirt entrant dans le pack)​</t>
  </si>
  <si>
    <t>Conservation des SKU / références unitaires pour les articles regroupés"SKU composants visibles et gérés individuellement en stock, même dans les packs."</t>
  </si>
  <si>
    <t>Prise en charge d’attributs et de valeurs spécifiques aux articles de regroupement, dont spécifique (et règle de répartition du prix « packagé » sur les articles unitaires)​</t>
  </si>
  <si>
    <t>Prise en charge d'attributs et de valeurs spécifiques aux articles de regroupement.  Attributs spécifiques et règles de valorisation du prix packagé réparti selon clés paramétrables.</t>
  </si>
  <si>
    <t>Autres articles et prestations (upcharges)​</t>
  </si>
  <si>
    <t>Prise en charge de prestations de service additionnelles et des différents modes de tarification / facturation associés​</t>
  </si>
  <si>
    <t>Prise en charge de prestations de service additionnelles..., Fonctionnalités de service articles intégrées avec gestion tarifaire dédiée.</t>
  </si>
  <si>
    <t>Gestion de règles d’ajout manuel et automatique de prestations complémentaires, sous conditions / paramètres gérés dans l’ERP</t>
  </si>
  <si>
    <t>Gestion de règles d'ajout manuel et automatique de prestations complémentaires,"Définition de règles via des conditions (ex : canal, client, seuil) déclenchant ajout automatique."</t>
  </si>
  <si>
    <t>Définition des prestations / coûts considérés comme « entrée » ou « sortie » (coefficients de calcul du prix de revient).​</t>
  </si>
  <si>
    <t>Définition des prestations / coûts considérés comme " entrée " ou " sortie " à travers les schémas de prix.  Paramétrage comptable différenciant entrée/sortie selon type de service (ajouté ou détachable).</t>
  </si>
  <si>
    <t>Déclenchement automatique des évènements de facturation associés</t>
  </si>
  <si>
    <t>Déclenchement automatique des évènements de facturation associés (upcharges) en lien avec la facturation : événement de facturation déclenché automatiquement selon le paramétrage du flux.</t>
  </si>
  <si>
    <t>VAS (Value Added Services)​</t>
  </si>
  <si>
    <t>Prise en charge de Services à Valeur Ajoutée​</t>
  </si>
  <si>
    <t>Prise en charge de Services à Valeur Ajoutée,VAS intégrés comme objets article spécifiques avec règles d'ajout conditionnel.</t>
  </si>
  <si>
    <t>Gestion de règles d’ajout manuel et automatique de VAS, sous conditions / paramètres gérés dans l’ERP​</t>
  </si>
  <si>
    <t>Gestion de règles d'ajout manuel et automatique de VAS,comme pour les upcharges, avec règles liées  au client, canal, commande ou segment."</t>
  </si>
  <si>
    <t>Déclenchement automatique des évènements de facturation associés (VAS),Evenements de facturation automatiquement générés si VAS déclenchés.</t>
  </si>
  <si>
    <t>Grilles de tailles​</t>
  </si>
  <si>
    <t>Prise en charge de multiples types, dimensions et unités de taille, adaptées au secteur textile (bonnet, longueur de jambe, demi- pointure, etc).</t>
  </si>
  <si>
    <t>Prise en charge de multiples types, dimensions et unités de taille,"Grilles tailles multiples supportées (longueur de jambe, bonnet, pointure, etc.)."</t>
  </si>
  <si>
    <t>Gestion d’une taille principale (ex : taille 40) et de dimensions associées (ex : tour de taille, jambe, cheville, etc.) ​</t>
  </si>
  <si>
    <t>Gestion d'uneune taille principale et de dimensions associées,Dimension principale gérée avec dimensions secondaires associées dans la grille article.</t>
  </si>
  <si>
    <t>Gestion d’index et de valeurs de tailles (ex : 1=XXS, 2=XS, 3=S…) associés aux différentes typologies articles​</t>
  </si>
  <si>
    <t>Gestion d'un index et de valeurs de tailles associées aux articles,"Indexation des tailles et codification personnalisable (1=XS, 2=S...)."</t>
  </si>
  <si>
    <t>Possibilité de modifier les grilles de tailles, y compris l’ajout ou la suppression de tailles (sans création d’un nouvel article / SKU).​</t>
  </si>
  <si>
    <t>Possibilité de modifier les grilles de tailles sans créer un nouvel article / SKU,Ajout/suppression de tailles sans recréer un article maitre ou un SKU.</t>
  </si>
  <si>
    <t>Gestion d’un ordre d’apparition des tailles dans une grille, indépendante de l’index (ex : si XXL = indice 2 = ordre d’apparition 6)​</t>
  </si>
  <si>
    <t>Gestion d'uneun ordre d'apparition des tailles dans une grille,Possibilité de gérer ordre d' affichage différent de l'ordre indexé (ordre marché).</t>
  </si>
  <si>
    <t>Prise en charge de tables et règles de correspondance de tailles entre les différentes normes marchés / pays.​</t>
  </si>
  <si>
    <t>Prise en charge de correspondance de tailles entre normes marchés / pays,Mapping entre normes (EU/US/UK/JP) via tables de conversion dans Retail Master.</t>
  </si>
  <si>
    <t xml:space="preserve">Gestion des données d’étiquetage </t>
  </si>
  <si>
    <t>Gestion des données d’étiquetage handtags : template / ID document, valeurs (prix, devises, tailles) et index.​</t>
  </si>
  <si>
    <t>Gestion des données d'uneétiquetage handtags : template / ID document...,"Templates configurables avec données dynamiques (prix, tailles, devise) par canal."</t>
  </si>
  <si>
    <t>Règles multicritères (canal, client, commande, etc.) de sélection des tailles à afficher sur les étiquettes, parmi les tailles disponibles.​</t>
  </si>
  <si>
    <t>Règles multicritères pour la sélection des tailles à afficher sur étiquette,Paramétrage de règles multicritères pour afficher la bonne taille selon contexte vente.</t>
  </si>
  <si>
    <t xml:space="preserve"> Prix et promotions</t>
  </si>
  <si>
    <t>Gestion des prix et conditions​</t>
  </si>
  <si>
    <t>Prise en charge d’une gestion des prix multicritère​</t>
  </si>
  <si>
    <t>Gestion de conditions de prix qui peuvent être déclenchées sur des barèmes (poids, montant, quantité…)</t>
  </si>
  <si>
    <t>Gestion verticale et horizontale sur les canaux, hiérarchies clients et réseaux de vente​</t>
  </si>
  <si>
    <t>Gestion d'une structure organisationnelle vente qui permet de gérer des canaux de vente distincts (retail, wholesale), des hiérarchies de client. Permet de gérer des informations divergentes sur les flux de vente et de distribution distincts sans dédoublement de la donnée</t>
  </si>
  <si>
    <t>Gestion verticale, avec application en masse (nœud parent &gt; enfants) et exceptions (ex : si condition active au nœud enfant, elle remplace le nœud parent).​</t>
  </si>
  <si>
    <t>Gestion de priorités dans le schéma de prix de vente et de critères conditionnels de déclenchement de condition de prix (si condition A activée, ne pas déclencher condition B)</t>
  </si>
  <si>
    <t>Gestion horizontale/ transverse, via des règles de segmentation.​</t>
  </si>
  <si>
    <t>Gestion de catégories de client selon des règles de segmentation à la main du client</t>
  </si>
  <si>
    <t>Gestion à la saison et sur une période donnée (date limite).​</t>
  </si>
  <si>
    <t>Les conditions de prix sont forcément gérées sur une période de validité dans le temps. Les conditions de prix liées à une saison sont paramétrées dans un schéma de prix dédié qui n'est activé que via l'objet promotion borné sur la durée de la saison</t>
  </si>
  <si>
    <t xml:space="preserve">Prise en charge d’un PVI (Prix de Vente initial) applicable sur tout ou partie des canaux et défini comme prix de référence pour l’article. </t>
  </si>
  <si>
    <t>Une condition de base peut être stockée au niveau mandant (achat/vente) sur laquelle ensuite on va appliquer des conditions spécifique sur un ou plusieurs canaux</t>
  </si>
  <si>
    <t>Possibilité d’appliquer des prix différents / spécifiques à certains nœuds (magasin, client, canal…) sans modification du prix de vente initial.​</t>
  </si>
  <si>
    <t>Chaque type de prix / remise est stocké dans une condition distincte rattachée à une séquence d'accès qui détermine à quel niveau de granularité la condition sera appliqué. Le prix final appliqué dans la transaction est le résultat de l'application de l'ensemble de ses conditions sans qu'on n'ait à écraser la condition de base</t>
  </si>
  <si>
    <t>Gestion de la devise de commande: Prise en charge d’index de référence (mise à jour automatique).​</t>
  </si>
  <si>
    <t>Oui gestion automatique d'index</t>
  </si>
  <si>
    <t>Gestion de la devise de commande: Possibilité de gestion / saisie manuelle de taux.​</t>
  </si>
  <si>
    <t>Oui gestion manuelle de taux</t>
  </si>
  <si>
    <t>Gestion de la devise de commande: Possibilité d’ajouter un markup sur les taux appliqués (depuis un index ou un taux saisi manuellement), sur différents niveaux de la hiérarchie produit.​</t>
  </si>
  <si>
    <t>Oui</t>
  </si>
  <si>
    <t>Possibilité de saisir des prix fixes en devise (indépendamment des taux).​</t>
  </si>
  <si>
    <t>Oui directement au poste de commande</t>
  </si>
  <si>
    <t>Gestion des arrondis psychologiques, sur la base de règles de gestion paramétrables.​
- Ajustement automatique / propositions d’ajustement par le système.​
- Règles d’application / de conversion en devises et sur les marchés internationaux.</t>
  </si>
  <si>
    <t>Oui il est possible de définir dans le paramétrage SAP des intervalles de prix sur 2 décimales auxquels on applique une même règle d'arrondi</t>
  </si>
  <si>
    <t>Possibilité d’ajouter un markup sur les taux appliqués (depuis un index ou un taux saisi manuellement), sur différents niveaux de la hiérarchie produit.​</t>
  </si>
  <si>
    <t>Oui les markup peuvent être saisis au poste de commande ou bien stockés dans une condition de prix sur la séquence d'accès souhaitée, donc au niveau hiérarchique souhaité</t>
  </si>
  <si>
    <t>Gestion de coefficients prix d’entrée et de sortie (coefficient simulant les surcoûts à appliquer sur prix d’achat, avant l’arrivée en entrepôt (surcoûts logistiques, etc.) et en sortie d’entrepôt (suite opérations et traitements sur plateformes)).</t>
  </si>
  <si>
    <t>Ces coefficients sont gérés comme des conditions de prix afin d'appliquer un certain nombre de coûts logistiques, coût de transport…</t>
  </si>
  <si>
    <t>Historisation et traçabilité des prix de vente par modèle- coloris et par devise, aux différents niveaux et nœuds.​</t>
  </si>
  <si>
    <t>L'ensemble des conditions de prix sont historisées dans une table standard</t>
  </si>
  <si>
    <t>Gestion promotionnelle​</t>
  </si>
  <si>
    <t>Gestion centralisée et multicritère des opérations promotionnelles (prix, quantités, gratuité, etc.)​</t>
  </si>
  <si>
    <t>Les opérations promotionnelles couvrent le paramétrage des conditions de prix et portent les quantités totales qui pourront être allouées à des canaux/magasin via table d'allocation</t>
  </si>
  <si>
    <t>Gestion verticale et horizontale des conditions sur les canaux, hiérarchies clients et réseaux de vente​</t>
  </si>
  <si>
    <t>Gestion identique via des conditions de prix spécfiiques pour les promotions</t>
  </si>
  <si>
    <t>Gestion à la saison et/ou dates de validité définies, et sur les différentes dimensions (organisation, canal, client, article…)​</t>
  </si>
  <si>
    <t>Gestion de paliers / niveaux de remises, application en cascade, prix barrés, articles offerts sous conditions…</t>
  </si>
  <si>
    <t>NON. Non couvert</t>
  </si>
  <si>
    <t>Le standard SAP ne gère que des conditions de prix de vente type prix barré ou avec des remises en % et en valeur. La gestion de mécaniques promotionnelles complexes type articles offerts sous conditions etc… peut être portée par le module SAP PMR mais sinon par un autre applicatif lié à l'encaissement dans le fashion (UR...)</t>
  </si>
  <si>
    <t>Possibilité d’appliquer des conditions promotionnelles / de remise sur les prix de référence et / ou sur un prix remisé / promotionnel (conditions en cascade).​</t>
  </si>
  <si>
    <t>Remises et conditions contractuelles​</t>
  </si>
  <si>
    <t>Prise en charge de conditions contractuelles et de conditions de remises (sur devis / commande, sur facture ou pied de facture, immédiates ou différées (progression CA, RFA) =&gt; automatique, ou simplifiée via des rapports)</t>
  </si>
  <si>
    <t>TPS. Couvert par application tierce (au catalogue éditeur)</t>
  </si>
  <si>
    <t>Les conditions de remises avant sur factures/commande sont gérées par le standard SAP. L'automatisation du calcul de montant de remise arrière sur des bases complexes peut nécessiter de prendre la solution VISTEX.</t>
  </si>
  <si>
    <t>Oui cf réponses précédentes</t>
  </si>
  <si>
    <t>Gestion Horizontale/ transverse, via des règles de segmentation.​</t>
  </si>
  <si>
    <t>Gestion à la saison et sur une période donnée (date limite)​</t>
  </si>
  <si>
    <t>Conditions logistiques</t>
  </si>
  <si>
    <t>Conditions d’approvisionnement​</t>
  </si>
  <si>
    <t>Prise en charge de conditions d’approvisionnement multiples (Fournisseurs, Articles, Route logistique​, Entrepôt et plateforme d’arrivée​ ,Modes de transport​, Conditions de colisage​)</t>
  </si>
  <si>
    <t>Multi-sources et conditions d’approvisionnement gérées dans le module MM-PUR avec configuration route, hub, fournisseur et colisage.</t>
  </si>
  <si>
    <t>Prise en charge de jalons multiples : remise transitaire, remise transporteur, arrivée quai, arrivée entrepôt…</t>
  </si>
  <si>
    <t>Jalons logistiques définis via planification et paramètres lead time : remise transitaire, quai, transporteur.</t>
  </si>
  <si>
    <t>Calcul automatique des lead times associés (Possibilité de définir / ajouter des buffers et marges d’erreur sur les lead times calculés.)</t>
  </si>
  <si>
    <t>Calcul dynamique des lead times avec marges de sécurité/buffers configurables dans les données de base.</t>
  </si>
  <si>
    <t>Conditions de livraison</t>
  </si>
  <si>
    <t>Prise en charge de conditions de livraison multiples (Clients,Entrepôt et plateforme de départ​,Articles,Route logistique​,Modes de transport​,Conditions de colisage​)</t>
  </si>
  <si>
    <t>Conditions de livraison paramétrables : plateformes, routes, entrepôts, modes de transport.</t>
  </si>
  <si>
    <t>Prise en charge de jalons multiples : préparation, mise en expédition, remise transporteur, remise au client estimée…​</t>
  </si>
  <si>
    <t>Étapes multi-jalons gérées par scénario de livraison, 
Possibilité de suivi dynamique des événements de chaque étape dans Track &amp; Trace (licence complémnetaire)</t>
  </si>
  <si>
    <t>Calcul automatique des lead times associés​ ( Possibilité de définir / ajouter des buffers et marges d’erreur sur les lead times calculés.)</t>
  </si>
  <si>
    <t>Lead time livraison calculé automatiquement, ajusté par buffers définis dans condition route et shipping point.</t>
  </si>
  <si>
    <t>Unités logistiques et colisage​</t>
  </si>
  <si>
    <t>Prise en charge de différents modes de colisage et des calculs / règles permettant de les déterminer​</t>
  </si>
  <si>
    <t>Définition des unités logistiques (HU), règles de packing et calculs auto via Logistics Execution.</t>
  </si>
  <si>
    <t>Prise en charge de références / d’objets spécifiques permettant d’identifier les articles et quantités en colis (non disponibles en vrac)​</t>
  </si>
  <si>
    <t>Identification articles/quantités par numéro HU, étiquette palette/colis, gestion serialisation.</t>
  </si>
  <si>
    <t>Prise en charge des articles de regroupement et de leurs spécificités dans le calcul des colisages (référence spécifique, non- séparable, etc.)</t>
  </si>
  <si>
    <t>Articles regroupés gérés comme kits/packs : calcul spécifique via Bill of Materials (BOM).</t>
  </si>
  <si>
    <t>Possibilité de définir des modes de colisage réservés aux packs, au vrac, hybrides, etc.​</t>
  </si>
  <si>
    <t>Règles de colisage par type (pack, vrac) définies dans Master Data et Logistics Execution.</t>
  </si>
  <si>
    <t>Calcul des poids des articles colisés, à partir des poids des articles unitaires et d’un poids d’emballage.​</t>
  </si>
  <si>
    <t>Poids colisés calculés automatiquement : poids net + emballage via conditionnement logistique.</t>
  </si>
  <si>
    <t>Mode de conditionnement​</t>
  </si>
  <si>
    <t>Prise en charge de différents modes de conditionnement (à plat, suspendu, sans emballage, etc.). ==&gt; Lors des différentes étapes : transport, entrepôt, magasin…​</t>
  </si>
  <si>
    <t>Modes conditionnement standardisés paramétrés dans données article/logistique.</t>
  </si>
  <si>
    <t>Prise en charge de notions de « standard » et « hors standard » pour chacun des modes de conditionnement.​</t>
  </si>
  <si>
    <t>Distinction standard / hors standard définie par type de conditionnement dans le Master Data.</t>
  </si>
  <si>
    <t>Gestion des paramètres et attributs associés, permettant les calculs et traitements logistiques associés (modes de transport, prix, lead time, etc.).​</t>
  </si>
  <si>
    <t>Attributs conditionnement intégrés au calcul transport, coût, délai via LE et SD.</t>
  </si>
  <si>
    <t>Calcul des poids ajustés par type de conditionnement.​</t>
  </si>
  <si>
    <t>Poids ajusté selon type et unité logistique, visible dans document logistique.</t>
  </si>
  <si>
    <t>ADV et facturation</t>
  </si>
  <si>
    <t>Données de facturation client​</t>
  </si>
  <si>
    <t>Prise en charge d’un champ dédié à l’acceptation des CGV (en lien avec la CRM) =&gt; si non géré à chaque commande.​</t>
  </si>
  <si>
    <t>Champ CGV intégré à la fiche client/contrat, lié au Sales Order dans SD.</t>
  </si>
  <si>
    <t>Gestion des templates de factures par client / typologie de client : ID template, champs standards et spécifiques.​</t>
  </si>
  <si>
    <t>Templates facture paramétrés par client/segment, ID et champs dans SD Billing.  Chaque formulaire spécifique doit être développé</t>
  </si>
  <si>
    <t>Gestion de la devise de commande et de facturation (cf gestion des prix dans cette section et « ADV, finance et comptabilité).​</t>
  </si>
  <si>
    <t>Devise transactionnelle gérée dans SD/MM avec taux de change auto.</t>
  </si>
  <si>
    <t>Mode d’envoi de la facture au client (direct, coffre- fort électronique, via CRM / portail client).​</t>
  </si>
  <si>
    <t>Envoi automatisé via Output Management / BRF+ : direct, portail, coffre-fort.</t>
  </si>
  <si>
    <t>Général</t>
  </si>
  <si>
    <t>Workflow de mise à jour des données​</t>
  </si>
  <si>
    <t>Prise en charge de workflows de mise à jour des données, selon le niveau de sensibilité​ (En lien avec la gestion des habilitations​)</t>
  </si>
  <si>
    <t>Workflows de mise à jour paramétrés via BRF+ et autorisations (habilitations).</t>
  </si>
  <si>
    <t>Contrôle de cohérence des données ERP-autres sources​</t>
  </si>
  <si>
    <t>Prise en charge d’un contrôle de cohérence entre les données présentes dans l’ERP et les données arrivant (par chargement ou interfaces) d’autres sources (données institutionnelles / invariables / sensibles).​</t>
  </si>
  <si>
    <t>Fonctions standard de contrôle d’intégrité pour vérification données entrantes (Data Services, interfaces).
Interface à développer</t>
  </si>
  <si>
    <t>Etat de reporting / cockpit de revue des anomalies et écarts.​</t>
  </si>
  <si>
    <t>Possibilité de déclencher ou bloquer des traitements (ex : commande) en cas d’écart sur certaines données.​</t>
  </si>
  <si>
    <t>Règles de blocage/validation conditionnelle configurables par type d’écart.</t>
  </si>
  <si>
    <t>II. Saisons, Permanents et carry-overs</t>
  </si>
  <si>
    <t>Articles saisonniers​</t>
  </si>
  <si>
    <t>Dimensions Saison​</t>
  </si>
  <si>
    <t>Possibilité de créer des Saisons de gestion indépendantes​</t>
  </si>
  <si>
    <t>Saisons créées comme attributs de classification avec validité paramétrée dans Master Data.</t>
  </si>
  <si>
    <t>Dates de validité par Saison, avec possibilité de chevauchement​ ( Point d’attention : prévoir, pour un même produit, des saisons différentes de commande, vente, achat, catalogue…)</t>
  </si>
  <si>
    <t>Dates valides par saison configurables, chevauchement géré par période de validité.</t>
  </si>
  <si>
    <t>Possibilité de rattachement multi- saisons (actives en même temps)​</t>
  </si>
  <si>
    <t>Rattachement multi-saisons possible via associations de variantes / assortiments.</t>
  </si>
  <si>
    <t>Prise en charge de saisons croisées (ex : SS Europe vs AW Océanie)​</t>
  </si>
  <si>
    <t>Saisons croisées gérées avec zones géographiques dans la hiérarchie merchandising.</t>
  </si>
  <si>
    <t>Données référentielles à la saison​</t>
  </si>
  <si>
    <t>Articles et attributs (Point d’attention : plusieurs variantes / valeurs d’attributs possibles au sein d’une même saison​)</t>
  </si>
  <si>
    <t>Il est possible de gérer des attributs articles avec des champs personnalisés pour la saison</t>
  </si>
  <si>
    <t>Fournisseurs</t>
  </si>
  <si>
    <t>Il est possible de déterminer des sources d'approvisionnement spécifiques à la maille d'une saison soit en gérant des périodes de validité correspondant à la saison dans le répertoire des sources d'approvisionnement ou en créant des fiches info achat spécifiques pour la saison</t>
  </si>
  <si>
    <t>Clients</t>
  </si>
  <si>
    <t>Il est possible de gérer des segments de client saisonniers avec des types de classification client spécifiques ou des groupes de client spécifiques</t>
  </si>
  <si>
    <t>Prix de vente / conditions de vente, dont remises​</t>
  </si>
  <si>
    <t>Il est possible de déterminer des conditions de prix (dont remise) activables uniquement à la maille saison</t>
  </si>
  <si>
    <t>Prix d’achat / conditions d’achat, dont remises​</t>
  </si>
  <si>
    <t>Même fonctionnement conditions d'achat que pour conditions de vente</t>
  </si>
  <si>
    <t>Paramètres de gestion à la saison​</t>
  </si>
  <si>
    <t>Conditions et paramètres logistiques​</t>
  </si>
  <si>
    <t>SAP peut déterminer des lead time spécifiques pour une saison, avec une gestion de mode de transports préférés par saison et des notions de quantité min/max dans la vue sit de la fiche article ou via des FIA spécifiques ou encore avec des SLA saisonniers</t>
  </si>
  <si>
    <t>Règles de gestion des stocks​</t>
  </si>
  <si>
    <t>Par saison on peut déterminer un stock de sécurité, des stratégies d'allocation spécifiques par clients ou canaux prioritaires et avec des règles de gestion pénurique différenciées (j'accepte de livrer moins ou je bloque l'expédition dans que je n'ai pas 100% de ma commande en stock pour expédition)</t>
  </si>
  <si>
    <t>Règles d’allocation​</t>
  </si>
  <si>
    <t>Les règles d'allocation font partie des attributs d'une saison dans SAP. On peut paramétrer différentes stratégies d'allocation puis via liste déroulante appliquer la règle d'allocation à la saison</t>
  </si>
  <si>
    <t>Transactions à la saison ​</t>
  </si>
  <si>
    <t>Commandes de vente​</t>
  </si>
  <si>
    <t>Oui il est possible de gérer un portefeuille de commande de vente à la maille saison</t>
  </si>
  <si>
    <t>Commandes d’achat​</t>
  </si>
  <si>
    <t>Oui il est possible de gérer un portefeuille de commandes d'achat à la maille saison</t>
  </si>
  <si>
    <t>Autres transactions associées (livraisons, retours, etc)​</t>
  </si>
  <si>
    <t>Les livraison sortantes, les retours clients, les réceptions peuvent être liés à une saison si l'article est qualifié comme saisonnier</t>
  </si>
  <si>
    <t>Stocks saisonniers​</t>
  </si>
  <si>
    <t>Affectation des stocks à une saison donnée.​
-  En lien avec la gestion des commandes (ex : achat et constitution d’un stock AH25 en cours de saison (calendaire) SS25).​</t>
  </si>
  <si>
    <t>Il est possible d'affecter et de protéger un stock sur un canal promotionnel/une saison donnée via une segmentation logique des stocks</t>
  </si>
  <si>
    <t>Possibilité de bascule en masse (manuelle ou automatique) des stocks d’une saison à l’autre.​</t>
  </si>
  <si>
    <t>Il est possible de réallouer une quantité d'un segment à un autre</t>
  </si>
  <si>
    <t>Définition de règles permettant (ou non) l’utilisation transverse / trans- saisonnière des stocks.​</t>
  </si>
  <si>
    <t>Il est possible de ne pas allouer un certain stock à une saison en particulier avec une définition ou non de règles de priorité pour ce segment de stock</t>
  </si>
  <si>
    <t>Etat de stock​</t>
  </si>
  <si>
    <t>Etat détaillé des stocks à la date définie, transverse​</t>
  </si>
  <si>
    <t>Il est possible d'avoir un état agrégé des stocks d'un article fini/semi-fini/matière première en agrégat de toutes les divisions à date définie</t>
  </si>
  <si>
    <t>Agrégé ou détaillé sur les différents niveaux de la hiérarchie produit et de l’organisation​</t>
  </si>
  <si>
    <t>Etat des stocks standard disponible au niveau site (entrepôt, magasin) pour les produits finis et de stock de composants pour les usines (divisions)</t>
  </si>
  <si>
    <t>Agrégé ou détaillé sur les saisons d’allocations (voir synthèse des besoins « allocations ») = « stock à la saison »​</t>
  </si>
  <si>
    <t>Il est possible d'afficher la quantité de stock affectée à une saison.</t>
  </si>
  <si>
    <t>Reporting saisonnier intégré​</t>
  </si>
  <si>
    <t>Tableaux de bord et indicateurs de performance (ventes, couverture, taux d’écoulement) filtrables par saison​</t>
  </si>
  <si>
    <t>Oui SAP possède des vues standard pour afficher des états de suivi des ventes et des stocks à la maille saison</t>
  </si>
  <si>
    <t>Carry-over</t>
  </si>
  <si>
    <r>
      <t xml:space="preserve">Carry-over –  articles multi-saisons​
</t>
    </r>
    <r>
      <rPr>
        <sz val="10"/>
        <rFont val="Aptos Display"/>
        <family val="2"/>
        <scheme val="major"/>
      </rPr>
      <t>(en lien avec la gestion des variantes)</t>
    </r>
  </si>
  <si>
    <t>Reprise d’articles d’une saison sur une autre, contiguë ou non (SS =&gt; SS N+1) en conservant l’historique, les caractéristiques- clés et la traçabilité = rattachement multi- saisons​</t>
  </si>
  <si>
    <t>Via les données de la fiche article on peut rattacher des articles à plusieurs saison via des profils de saison en conservant l'hisotrique des ventes et des stocks et les mouvements</t>
  </si>
  <si>
    <t>Gestion d’un critère « carry- over » permettant d’identifier et gérer ces articles, avec règle de reconduction​</t>
  </si>
  <si>
    <t>Un attribut carry-over existe dans la fiche article pour désigner les articles qui peuvent être reconduits d'une saison sur l'autre selon différents critères métiers (niveau de stock…)</t>
  </si>
  <si>
    <t>Carry-over –  paramètres de gestion spécifiques​</t>
  </si>
  <si>
    <t>Possibilité de définir des paramètres de gestion spécifiques aux articles « carry- over » (attribut / typologie spécifique ?) au sein d’une saison = critère d’application / de gestion​</t>
  </si>
  <si>
    <t>Les articles carry-over peuvent bénéficier de règles logistiques ou commerciales spécifiques via l'utilisation de types d'articles ou de groupes de marchandises spécifiques pour leur faire porter des règles de gestion spécifiques</t>
  </si>
  <si>
    <t>Etat de stock sur produits non reconduits​</t>
  </si>
  <si>
    <t>Etat détaillé des stocks résiduels sur les articles rattachés aux saisons précédentes, mais pas à la dernière ouverte =&gt; identifier carry- over potentiels​</t>
  </si>
  <si>
    <t>SAP propose des états de stocks avec le stock résiduels d'articles non reconduits qui pourraient potentiellement devenir des carry over via des vues CDS</t>
  </si>
  <si>
    <t>Bascule des stocks de produits non reconduits​</t>
  </si>
  <si>
    <t>Identification des stocks de produits non reconduits (via l’état de stock ci- dessus)​</t>
  </si>
  <si>
    <t>Possibilité de gérer facilement une bascule totale ou partielle de ces stocks vers la saison suivante ==&gt; Sélection et traitement en masse (pas de transaction unitaire, référence par référence​), Saisie des quantités à basculer​</t>
  </si>
  <si>
    <t>Un programme en masse type MM17 permet d'identifier les articles à reconduire puis de saisir les quantités de stock à basculer sur une nouvelle saison</t>
  </si>
  <si>
    <t>Attribution automatique d’un champ Carry-over​</t>
  </si>
  <si>
    <t>Permettre d’affecter automatiquement à la saison en cours / une saison ultérieure les articles rattachés aux saisons précédentes et disposant encore de quantités en stock + activation d’un champ carry- over (incompatible avec Permanent)
     -  prévoir les cas de C- O « S+1 » (saison suivante) et « N+1 » (même saison, N+1).</t>
  </si>
  <si>
    <t>SAP  permet une affectation automatique des articles avec stock résiduel à une nouvelle saison avec une activation automatique du champ carry-overt via le développement d'un job pour analyser les stocks, mettre à jour les données article et des notifications au métier</t>
  </si>
  <si>
    <t>Permanents</t>
  </si>
  <si>
    <r>
      <t xml:space="preserve">Permanents –  articles multi-saisons (ou « hors saison »)​
</t>
    </r>
    <r>
      <rPr>
        <sz val="10"/>
        <rFont val="Aptos Display"/>
        <family val="2"/>
        <scheme val="major"/>
      </rPr>
      <t>(en lien avec la gestion des variantes)</t>
    </r>
  </si>
  <si>
    <t>Reprise automatique d’articles d’une saison à l'autre en conservant l’historique, les caractéristiques- clés et la traçabilité = rattachement multi- saisons​</t>
  </si>
  <si>
    <t>SAP gère en standard une gamme dite "permanente" avec une date de validité extrêmement loin dans le temps (ex : 31.12.9999) sans gestion de saisonnalité mais avec un historique de vente sur plusieurs années. C'est notamment utilisé pour les articles permanents dans la grande distribution</t>
  </si>
  <si>
    <t>Gestion d’un critère « permanent » permettant d’identifier et gérer ces articles, avec règle de reconduction​</t>
  </si>
  <si>
    <t>Les articles ne sont pas ici reconduits mais restent en permanence référencés sans besoin de reconduction</t>
  </si>
  <si>
    <t>Saison « permanente »</t>
  </si>
  <si>
    <t>Prise en charge d’une saison « permanente », transverse, reprenant le fonctionnement des saisons temporaires et compatible avec celle- ci dans son fonctionnement et ses paramètres de gestion​</t>
  </si>
  <si>
    <t>Il est aussi envisageable d'utiliser l'objet saison mais en jouant sur les dates de validité pour la faire durer dans le temps</t>
  </si>
  <si>
    <t>Prise en charge, pour un même produit, des saisons différentes par canal de vente (permanent en Retail, saisonnier en Wholesale)</t>
  </si>
  <si>
    <t>Oui il est possible de déterminer à chaque saison un canal de distribution particulier</t>
  </si>
  <si>
    <t>Permanents –  paramètres de gestion spécifiques​</t>
  </si>
  <si>
    <t>Possibilité de définir des paramètres de gestion spécifiques aux articles « permanents » (attribut / typologie spécifique ?) au sein d’une saison = critère d’application / de gestion​</t>
  </si>
  <si>
    <t>Possible de déterminer des paramètres de gestion partagés via le type articles ou le groupe de marchandises</t>
  </si>
  <si>
    <t>Prise en charge de la saisonnalité dans la gestion de ces paramètres spécifiques, avec la possibilité de définir des règles / valeurs différentes d’une saison à l’autre.​</t>
  </si>
  <si>
    <t>Un article permanent peut être rattaché à une saison pour hériter de ses caractéristiques sur les flux saisonniers et n'en bénéficiera plus la saison terminée</t>
  </si>
  <si>
    <t>Permanents – règles de réassort spécifiques​</t>
  </si>
  <si>
    <t>Prise en charge d’un module de calcul de réassort spécifique aux produits permanents et applicable par canal / type de client / autre​</t>
  </si>
  <si>
    <t>SAP propose un moteur de réassort basé sur des seul mini/maxi par site (réappro à seuil)</t>
  </si>
  <si>
    <t>Gestion des stocks basée sur règles (seuils optimum, mini / maxi) =&gt; si possible, calculer une couverture dans l’ERP ?​</t>
  </si>
  <si>
    <t>Il est possible de déterminer des stocks min et maxi pour optimiser le niveau de stock en réassort automatique. De tels seuils peuvent être calculés par SAP sur la base de l'historique des ventes</t>
  </si>
  <si>
    <t>Commande de réassort calculée et déclenchée sur stock et optimum logistique (bags / autre colis ou vrac)​</t>
  </si>
  <si>
    <t>Il existe un mode de réassort disponible uniquement sur critère de stock sans prise en compte de prévisions de vente pour garder un certain niveau de stock jugé optimum en permanence</t>
  </si>
  <si>
    <t>Déclenchement multi- facteurs du réassort​</t>
  </si>
  <si>
    <t>SAP peut déterminer un point de commande automatique sur la base de plusieurs facteurs (stock, entrées/sorties futures, couverture de stock, ventes prévisionnelles sur les prochaines semaines, historique de vente, stock de sécurité calculé dynamiquement)</t>
  </si>
  <si>
    <t>Déclenchement multi- facteurs des optimums logistiques​</t>
  </si>
  <si>
    <t>Permanents – règles de stocks et réappro spécifiques​</t>
  </si>
  <si>
    <t>Prise en charge de règles de gestion des stocks spécifique aux produits permanents​</t>
  </si>
  <si>
    <t>Il est possible de déterminer des règles de gestion de stock différentes pour le permanent que pour les saisons : règles d'allocation spécifiques…</t>
  </si>
  <si>
    <t>Calcul de besoins de réapprovisionnement (automatiques ou sur validation) basés sur règles de stocks et paramètres d’achat​</t>
  </si>
  <si>
    <t>Cf réponse précédente : le calcul du besoin permet de créer une demande d'achat ou bien directement une commande d'achat à valider en prenant le fournisseur habituel de l'article comme source d'approvisionnement pour le site/Article (MRP standard ou moteur de replenishment retail)</t>
  </si>
  <si>
    <t>Transverse</t>
  </si>
  <si>
    <t>Gestion transverse des stocks​</t>
  </si>
  <si>
    <t>Vue des quantités globales en stock, toutes saisons​ (En lien avec la gestion des variantes​)</t>
  </si>
  <si>
    <t>Etat des stocks standard disponible au niveau site (entrepôt, magasin) pour les produits finis et de stock de composants pour les usines (divisions), notamment à la maille variante/article générique ou R/C/T</t>
  </si>
  <si>
    <t>Application de règles de gestion des stocks sur la totalité des quantités disponibles​ (En lien avec la gestion des variantes​)</t>
  </si>
  <si>
    <t>Les mêmes règles d'allocation et de gestion pénuriques peuvent être appliquées sur le permanent que pour chaque saison</t>
  </si>
  <si>
    <t>Allocation du stock à une saison donnée​ (gestion « hybride » des stocks)</t>
  </si>
  <si>
    <t>Possibilité de « dé- saisonnaliser » le stock : stock utilisable pour commandes sur saison en cours, passée, future (sous réserve de validité de la saison)</t>
  </si>
  <si>
    <t>Oui via la mise à jour du champ saison ou carry over de la fiche article</t>
  </si>
  <si>
    <t>Possible d’allouer toute ou partie du stock à une saison : non utilisable pour commandées passées sur d’autres saisons​</t>
  </si>
  <si>
    <t>Avec SAP allocation Management il est possible de bloquer une partie ou tout le stock d'un article sur une saison et de bloquer son utilisation pour d'autres saisons</t>
  </si>
  <si>
    <t>III. Planning capacité et matières​</t>
  </si>
  <si>
    <t>Achat et réservation de matières</t>
  </si>
  <si>
    <t>Nomenclatures et emplois​</t>
  </si>
  <si>
    <t>Prise en charge de nomenclatures articles (en lien avec le PLM) contenant l’emploi matière théorique (m² linéaires nécessaires à la production d’un article)​</t>
  </si>
  <si>
    <t>Utilisation de Bills of Materials et Routings.</t>
  </si>
  <si>
    <t>Calcul des quantités de matières​</t>
  </si>
  <si>
    <t>Calcul automatique des quantités prévisionnelles théoriques de matière nécessaires à la production des articles achetés​  : à partir de l’emploi (nomenclatures) et des demandes et commandes d’achats​</t>
  </si>
  <si>
    <t>Via le MRP.</t>
  </si>
  <si>
    <t>Calcul automatique des quantités prévisionnelles « ajustées » de matière nécessaire à la production des articles achetés : à partir des rapports de coupe, intégrés périodiquement (données reçues du fournisseur)</t>
  </si>
  <si>
    <t>Le Module PP (Production Planning) permet d’enregistrer la consommation réelle (reporté par le fournisseur) et la comparer à la quantité prévue dans le Bill of Material (BOM).  De là, on peut ajuster le Yield Factor (coefficient de rendement).  Il est possible de configurer une mise à jour automatique du BOM ou du Routing (si autorisé) → Ou au moins recalculer le besoin net pour la prochaine planification.
La récupération automatique des données réelles du fournisseur peut se faire par interface.</t>
  </si>
  <si>
    <t>Propositions d’ajustement automatique des emplois (via un report / tableau de bord) en cas d’écart entre l’emploi matière théorique (porté par les nomenclatures) et le réel (déduit des rapports de coupe) =&gt; si l’écart atteint une valeur prédéfinie, paramétrable dans le système​</t>
  </si>
  <si>
    <t>Création d'un rapport.</t>
  </si>
  <si>
    <r>
      <t xml:space="preserve">Commandes d’achats de matières​
</t>
    </r>
    <r>
      <rPr>
        <sz val="10"/>
        <rFont val="Aptos Display"/>
        <family val="2"/>
        <scheme val="major"/>
      </rPr>
      <t>(+allocation / lien avec commande de produits finis)​</t>
    </r>
  </si>
  <si>
    <t>Prise en charge de typologies de commandes d’achats spécifiques aux « matières premières / consommables / intrants » :
- distinctes des commandes d’achats de produits finis (et facilement identifiables),
- utilisant des règles et données spécifiques, dont paramètres d’approvisionnement / lead times entre les différents points (fournisseur, lieu de production, lieu de stockage…),
- pouvant être liées aux commandes de produits finis selon un système comparable aux allocations (créant une dépendance entre les plannings et les quantités des commande liées).
          - Une commande d’achat « intrant » est associée à une ou plusieurs commandes d’achats de produits finis.
          - Les quantités d’intrants sont ainsi « allouées » aux quantités de produits finis.</t>
  </si>
  <si>
    <t>Gestion de types de commandes spécifiques ou de groupes d'articles spécfiiques pour les consommables/matières premières</t>
  </si>
  <si>
    <t>Contrats / commandes ouvertes d’achats de matières​</t>
  </si>
  <si>
    <t>Prise en charge de commandes ouvertes de type « contrat », permettant : 
- d’engager un achat global (et ainsi réserver les matières et intrants), avec une quantité totale définie (calculée par l’ERP sur la base des besoins)
- de « défalquer » de cette commande ouverte des commandes unitaires, cadencées selon les achats de produits finis (dans la limite de la quantité totale de la commande ouverte)</t>
  </si>
  <si>
    <t>Gestion des stocks achetés et allocations​</t>
  </si>
  <si>
    <t>Prise en charge de stocks logiques pour les matières achetées (permettant de gérer les lieux de stockage et affectations diverses…)​</t>
  </si>
  <si>
    <t>Suivi opérationnel des stocks : entrées, sorties, encours, engagés / alloués, résiduel sur la base des commandes d’achats (matières et PF), quantités en production et en transit, rapports de coupe…​</t>
  </si>
  <si>
    <t>Prise en charge de liens / affectations des commandes de produits finis aux quantités en stock, dans un système comparable aux allocations​</t>
  </si>
  <si>
    <r>
      <t xml:space="preserve">Commandes de réservation de matières​
</t>
    </r>
    <r>
      <rPr>
        <sz val="10"/>
        <rFont val="Aptos Display"/>
        <family val="2"/>
        <scheme val="major"/>
      </rPr>
      <t>(+ allocation / lien avec commande de produits finis)</t>
    </r>
  </si>
  <si>
    <t>Possibilité de gérer les réservations de matières (sans achats ferme, facture ou transaction financière) via des commandes, transactions ou modalités adaptées dans l’ERP (stock déporté, quota, commande non facturable…)​  - distinctes des commandes d’achats « fermes » de matières (et des commandes de produits finis) ​
- utilisant des règles et données spécifiques (dont paramètres d’approvisionnement)​
- pouvant être liées aux commandes de produits finis selon un système comparable aux allocations​</t>
  </si>
  <si>
    <t xml:space="preserve">On peut gérer une réservation manuellement sans forcément avoir de transaction qui émette un besoin (MB21) </t>
  </si>
  <si>
    <t>Prise en charge d’une logique de « contrat / commande ouverte » :​
- réserver une quantité globale (calculée par l’ERP sur la base des besoins),​
- « défalquer » de ce quota des sorties unitaires, cadencées selon les achats de produits finis (dans la limite de la quantité totale réservée).​</t>
  </si>
  <si>
    <t>Prise en charge de lead times et conditions logistiques, comme pour une commande d’achat (a minima entre le fournisseur et le lieu de stockage et / ou le lieu de production)​</t>
  </si>
  <si>
    <t>Gestion des « stocks » de matières réservées​</t>
  </si>
  <si>
    <t>Prise en charge d’un « stock » virtuel (ou autre transaction / fonctionnalité adaptée) permettant le suivi des quantités réservées auprès d’un fournisseur​</t>
  </si>
  <si>
    <t>Suivi des quantités (initiales, consommées, encours, résiduelles) sur la base des commandes d’achats, encours (production, transit), rapports de coupe…​</t>
  </si>
  <si>
    <t>Lead times spécifiques</t>
  </si>
  <si>
    <t>Gestion de lead times spécifiques aux commandes et transactions relatives aux matières / consommables / intrants​</t>
  </si>
  <si>
    <t>Gestion de différents lead times /  combinaisons de conditions logistiques (fournisseur, matière, site de fabrication, marque, catégorie produit, modèle…)​</t>
  </si>
  <si>
    <t>Cockpit de suivi des matières et alertes​</t>
  </si>
  <si>
    <t>Cockpit de suivi des consommations, en cours et disponibles pour les allocations (réservations) et stocks (achats) de matières</t>
  </si>
  <si>
    <t>Alertes « de stocks / seuils » =&gt; niveau mini / maxi, couverture…​</t>
  </si>
  <si>
    <t>Calcul rétroplanning des approvisionnements matières​</t>
  </si>
  <si>
    <t>Détermination des jalons de commandes de matières, dont date de mise à disposition (ex- works) par le fournisseur, à partir :​ 
-  des jalons de la commande d’achats de produits finis​
-  des conditions d’appro et paramètres logistiques (dont lead times) définis pour les matières​</t>
  </si>
  <si>
    <t>Le MRP (Material Requirements Planning) combiné au Backward Scheduling permet de faire cela.
Chaque ordre (PO ou ordre de fabrication) porte une date de livraison.
La nomenclature (BOM) et la gamme (Routing) définissent, les composants nécessaires et les temps d’opération (durée coupe, assemblage, contrôle…).
Le MRP remonte automatiquement en arrière à partir de la date de début production pour définir la date de disponibilité des composants et de facto la date de commande des composants en tenant compte du lead time fournisseur + temps de transport + stock de sécurité.</t>
  </si>
  <si>
    <t>Suivi transverse des quantités de matières​</t>
  </si>
  <si>
    <t>Gestion transverse des quantités, commandes, stocks et allocations de matières​</t>
  </si>
  <si>
    <t xml:space="preserve">Nécessité d'avoir SAP IBP pour avoir un MRP multi-sites et faire une gestion transverse des quantités/stocks </t>
  </si>
  <si>
    <t>Réservation de capacités</t>
  </si>
  <si>
    <t>Paramètre de capacité fournisseur​</t>
  </si>
  <si>
    <t>Prise en charge de conditions et paramètres de production, dont la capacité fournisseur​</t>
  </si>
  <si>
    <t>Possibilité de gérer cette capacité à différents niveaux : au global fournisseur, pour un site de production, sur la hiérarchie produit (dont Modèle)…​</t>
  </si>
  <si>
    <t>Extraction simplifiée, et exploitable, de ces données de capacité​</t>
  </si>
  <si>
    <t>Calcul de capacité fournisseur à réserver​</t>
  </si>
  <si>
    <t>Calcul automatique des capacités à réserver auprès des fournisseurs sur la base des commandes d’achats de produits finis​
- Agrégation des quantités achetées et à produire.
- Comparaison / adéquation avec les capacités du fournisseur et / ou des seuils prédéfinis (ex : possibilité de réserver jusqu’à X% de la capacité totale).
- Allocation / répartition de la capacité à réserver selon des règles / paramètres prédéfinis (ex : répartition au poids de chaque marque).</t>
  </si>
  <si>
    <t>SAP IBP requis</t>
  </si>
  <si>
    <t>Réservation de capacité fournisseur​</t>
  </si>
  <si>
    <t>Possibilité de gérer les réservations de capacités (sans achats ferme, facture ou transaction financière) via des commandes, transactions ou modalités adaptées dans l’ERP</t>
  </si>
  <si>
    <t>Prise en charge de règles de répartition de la capacité réservée, comparable aux règles d’allocations​</t>
  </si>
  <si>
    <t>Suivi des capacités réservées et allocations​</t>
  </si>
  <si>
    <t>Possibilité de piloter la capacité fournisseur : capacité totale du fournisseur, capacité réservée (via « commandes » / transactions de réservation), disponible, engagée (via les commandes de produits finis)​, suivi / pilotage des capacités allouées / réparties</t>
  </si>
  <si>
    <t>Calcul d’adéquation entre la capacité fournisseur réservée et le plan de charge (quantité totale de produits finis commandés), alertes en cas d’écart / capacité insuffisante​</t>
  </si>
  <si>
    <r>
      <t xml:space="preserve">Pilotage hebdomadaire des capacités  ​
</t>
    </r>
    <r>
      <rPr>
        <sz val="10"/>
        <rFont val="Aptos Display"/>
        <family val="2"/>
        <scheme val="major"/>
      </rPr>
      <t>[Hors périmètre ERP, à étudier de façon opportuniste]​</t>
    </r>
  </si>
  <si>
    <t>Prise en charge d’un « Plan Industriel et Commercial » et contrôle d’adéquation avec les capacités réservées auprès des fournisseurs​
- Suivi de la capacité fournisseur à la semaine.
- Calcul d’un rétroplanning de commande d’achat intégrant la phase de production, dont calcul des semaines de fabrication (quantité / capacité).
- Contrôle d’adéquation entre le planning de commandes d’achats (et de production) consolidés, et les capacités fournisseurs.
- Recommandations d’ajustement, basées sur le calendrier de commande global.</t>
  </si>
  <si>
    <t>IV. Gestion des commandes d'achats</t>
  </si>
  <si>
    <t>Gestion des commandes d'achat</t>
  </si>
  <si>
    <t>Création des demandes d'achats et commandes d’achats en masse​</t>
  </si>
  <si>
    <t>Création de demandes d’achats en masse par chargement ou interface</t>
  </si>
  <si>
    <t>Création de demandes d’achats en masse en création directe dans l’ERP : saisie des paramètres de la commande et du nombre de commandes identiques à créer​</t>
  </si>
  <si>
    <t>Il est possible de créer et de modifier en masse des demandes d'achat par intégration de fichier Excel</t>
  </si>
  <si>
    <t>Gestion et modification des commandes d’achats en masse​</t>
  </si>
  <si>
    <t>Possibilité de rechercher, sélectionner et gérer des commandes d’achats en masse.​</t>
  </si>
  <si>
    <t>Il est possible de créer et de modifier en masse des commandes d'achat par intégration de fichier Excel</t>
  </si>
  <si>
    <t>Possibilité de modifier en masse des commandes d’achats, en appliquant les changements effectués sur l’ensemble des commandes sélectionnées.​</t>
  </si>
  <si>
    <t>Il est possible de créer et de modifier en masse des commandes d'achat également par des outils embarqués type mass change ou des apps Fiori</t>
  </si>
  <si>
    <t>Prestations complémentaires​</t>
  </si>
  <si>
    <t>Possibilité d’ajouter manuellement ou automatiquement (sous conditions) des articles (biens et / ou prestations) et upcharges aux commandes.​</t>
  </si>
  <si>
    <t>Possible via l'ajout ou la modification de condition de prix directement au niveau poste ou en-tête de commande</t>
  </si>
  <si>
    <t>Affectation manuelle ou automatique de ces upcharges et compléments en « entrée » ou « sortie » (pour comparaison avec les prix de revient prévisionnells, calculés sur la base des coefficients d’entrée et sortie).​</t>
  </si>
  <si>
    <t>DEV. Développement spécifiques requis</t>
  </si>
  <si>
    <t>Medium</t>
  </si>
  <si>
    <t>La comparaison avec des prix de revient est spécifique</t>
  </si>
  <si>
    <t>Conditions d’achat​</t>
  </si>
  <si>
    <t>Prise en charge de conditions d’achat et d’approvisionnement multiples​ :
- conditions et contraintes de commandes (dont maximum, minimum, optimum),
- conditions de prix et de remise (sur quantité commandée notamment),
- conditions d’approvisionnement (notamment lead times) : selon fournisseur, hiérarchie article (jusqu’au modèle), destination, moyen de transport, type de groupage…</t>
  </si>
  <si>
    <t>SAP prend en charge des conditions d'achat et d'approvisionnement complexes en termes de quantité, remises, délai de livraison, conditions de prix en fonction d'une granularité fournisseur, fournisseur/Article, fournisseur/groupe d'article et par organisation d'achat voire jusqu'au site</t>
  </si>
  <si>
    <t>Conditions de colisage​</t>
  </si>
  <si>
    <t>Prise en charge de conditions, options et contraintes de colisage (dont paramètres de constitution des différents types de colis)​</t>
  </si>
  <si>
    <t>Dans la version fashion de SAP les contraintes de colisage et les coûts qui y sont liés sont automatiquement pris en charge dans les commandes d'achat</t>
  </si>
  <si>
    <t>Calcul automatique des impacts sur le prix et les conditions d’appro (dont lead times)​</t>
  </si>
  <si>
    <t>Calcul automatique d’un optimum et recommandation (selon impact du colisage sur prix et conditions d’appro)​</t>
  </si>
  <si>
    <t>High à Very High</t>
  </si>
  <si>
    <t>Le développement variera en fonction de la complexité des règles à mettre en place pour le caclul de l'optimum.</t>
  </si>
  <si>
    <t>Prise en charge de différents modes de conditionnement (à plat, suspendu, sans emballage, etc.), standard et hors standard, avec paramètres spécifiques. ​</t>
  </si>
  <si>
    <t>Les différents types d'emballage sont disponibles dans SAP Fashion &amp; Retail</t>
  </si>
  <si>
    <t>Calcul automatique des impacts du mode de conditionnement sur les prix et conditions d’achat et de transport.​</t>
  </si>
  <si>
    <t>Gestion via les critères de barèmes dans les conditions de prix automatisés via des routines</t>
  </si>
  <si>
    <t>Calcul du planning de commande d’achat​</t>
  </si>
  <si>
    <t>Calcul automatique d’un rétroplanning de commande d’achat (tous jalons) calculé automatiquement à partir des conditions logistiques / d’appro (dont les différents lead times) et :​ - d’une date de livraison souhaitée (rétro planification)​
- d’une date de fin de production / mise à disposition de la commande par le fournisseur (planification depuis date ex- factory)​
- d’une date de début de traitement de la commande =&gt; si capacité de l’ERP à calculer le temps de production (quantité / capacité)</t>
  </si>
  <si>
    <t>Les ordres de fabrication dans SAP permettent de charger le nombre d'heures de travail et les capacités de machine utilisées pour la fabrication. En fonction du capacitaire de l'usine le MRP SAP est en capacité de déterminer une date de début et de fin de fabrication. Il faut par contre la solution IBP si on veut du MRP à partir des ressources disponibles de plusieurs usines.</t>
  </si>
  <si>
    <t>Possibilité d’exécuter le calcul en simulation, avant validation.​
Possibilité d’appliquer ou non certains paramètres et jalons / étapes, notamment :​
- les réservations de matières,​
- les stocks de matières,​
- les stocks de produits finis.​</t>
  </si>
  <si>
    <t>Les ordres de fabrication dans SAP permettent de charger le nombre d'heures de travail et les capacités de machine utilisées pour la fabrication. En fonction du capacitaire de l'usine le MRP SAP est en capacité de déterminer une date de début et de fin de fabrication. Il faut par contre la solution IBP si on veut du MRP à partir des ressources disponibles de plusieurs usines. Le caldul de besoin du MRP prend bien en compte les stocks et flux entrées/sorties de matières et de produits finis à venir</t>
  </si>
  <si>
    <t>Dates de livraison client et magasin / MEP​</t>
  </si>
  <si>
    <t>Prise en charge de dates de livraison au client final, calculées à partir :​
-  du planning de la commande d’achat,​
-  de conditions de livraison couvrant les segments de distribution / transport aval : entre entrepôts / plateformes, entre entrepôt et client final,​
-  de lead times aval : client, magasin, gérés individuellement ou par regroupement.​</t>
  </si>
  <si>
    <t>SAP intègre le calcul de date de disponibilité d'une commande client sur la base de la disponibilité de la commande d'achat en sortie d'usine et en entrepôt via l'Available-To-Premise. On peut via la fonction avancée intégrer des fonctions d'allocation du stock disponible par typologie de client et notamment des stratégies avancées de fonctions de la pénurie. Le back-order processing permet notamment de recalculer la date de disponibilité de la marchandise de la commande client en fonction des évolutions de la date de fin de production (production partielle</t>
  </si>
  <si>
    <t>Prise en charge d’une date de MEP / implantation magasin intégrant les lead times de distribution amont et aval, et un temps de préparation en magasin.​</t>
  </si>
  <si>
    <t>Prise en charge des temps de préparation entrepôt pour calculer la date de livraison de la commande implantation magasin</t>
  </si>
  <si>
    <t>Portail fournisseur et workflow intégré​
(ou connexion à un portail existant)</t>
  </si>
  <si>
    <t xml:space="preserve">Prise en charge d’un portail fournisseur intégré à l'ERP </t>
  </si>
  <si>
    <t>La mise en place d'un portail fournisseur est hors périmètre du RFI suite à échange avec Boardriders / Beaumanoir</t>
  </si>
  <si>
    <t>Workflow de traitement des commandes partagé avec le fournisseur, via le portail : envoi des demandes d’achat et planning de commande, validation / rejet / modification par le fournisseur, mise à jour avancement et statut, (re)calcul des jalons, pilotage des intervenants (étiquetage, transitaire), etc.</t>
  </si>
  <si>
    <t>SAP propose un ensemble de statuts pour suivre l'avancement de la commande d'achat qui peut être mise à jour automatiquement via intégration d'un ARC fournisseur puis d'un format type DESADV. Par contre il faut bien prendre une solution type Ariba pour avoir un niveau de pilotage du processus S2C aussi fin</t>
  </si>
  <si>
    <t>Allocations de commandes d’achats / quantités achetées à des canaux de vente</t>
  </si>
  <si>
    <t>Prise en charge d’une allocation des commandes d’achats à des canaux
-  commandes complètes,
-  répartition des quantités pour une commande donnée.</t>
  </si>
  <si>
    <t>Définition de règles automatiques d’allocation par canal (compatibles avec les allocations de vente / en prémisses de celles- ci)​</t>
  </si>
  <si>
    <t>SAP intègre le calcul de date de disponibilité d'une commande client sur la base de la disponibilité de la commande d'achat en sortie d'usine et en entrepôt via l'Available-To-Premise. On peut via la fonction avancée intégrer des fonctions d'allocation du stock disponible par typologie de client/canal de distribution et notamment des stratégies avancées de fonctions de la pénurie. Le back-order processing permet notamment de recalculer la date de disponibilité de la marchandise de la commande client en fonction des évolutions de la date de fin de production (production partielle</t>
  </si>
  <si>
    <t>Commandes SMU​
(crossdock, dropship, eCommerce)</t>
  </si>
  <si>
    <t>Prise en charge de commandes SMU spécifiques :
- paramètres de réception spécifiques : réception en entrepôt, préparation automatique, mise en expédition…,
- pas de rupture de flux à la réception, intégrité de la commande de vente et de la commande d’achat conservées.</t>
  </si>
  <si>
    <t xml:space="preserve">SAP gère en standard sur la version fashion des paramètres de réception spécifique par type de commande </t>
  </si>
  <si>
    <t>Création automatique d’une commande d’achat SMU à réception de la commande de vente idoine, avec « éclatement » de la commande d’achat 
- création automatique d’une commande d’achat spécifique (avec les quantités vendues),
- mise à jour des quantités de la commande d’achat initiale =&gt; « défalquée » des quantités de la commandes d’achat SMU nouvellement créée.</t>
  </si>
  <si>
    <t>Commandes pour tiers (TPO)​</t>
  </si>
  <si>
    <t>Gestion de commandes pour tiers (Third Party Orders), non facturables et non réceptionnables.​</t>
  </si>
  <si>
    <t>SAP gère en standard des commandes TPO avec flux logistique et de facture en direct entre fournisseur et client</t>
  </si>
  <si>
    <t>Cockpit de gestion des commandes d’achat​</t>
  </si>
  <si>
    <t>Cockpit de gestion des commandes d’achats :​
- statut des commandes.​
- suivi de planning : dates contractuelles initiales, dates reportées, dates réelles (+ écarts) pour les différents jalons.​
- simulation de changements de planning et calcul des impacts.​
- Si commande d’achat liée à une commande de vente, visualisation des impacts sur les jalons de la commande de vente​</t>
  </si>
  <si>
    <t>Les simulation de changement de planning et la définition des impacts nécessite la mise en place de développement pour que le cockpit de gestion des commandes d'achat puisse couvrir cette fonctionnalité. Pour le reste c'est couvert par le standard</t>
  </si>
  <si>
    <t>Identification et mise en avant des écarts et incohérences entre les commandes d’achats et les commandes de ventes liées (écarts planning)​</t>
  </si>
  <si>
    <t>Oui cf le BOP (back order processing) qui permet d'ajuster les commandes de vente sur la base de ce qui "se passe vraiment" au niveau de la commande d'achat qui lui est liée</t>
  </si>
  <si>
    <t>Prise en charge d’alertes paramétrables​</t>
  </si>
  <si>
    <t>Le cockpit présente des KPI Fiori qui alertent l'utilisateur depuis l'écran d'accueil paramétrable par l'utilisateur (nombre de commande d'achat en cours, en retard, portefeuille en cours de commande d'achat en valeur…)</t>
  </si>
  <si>
    <r>
      <t xml:space="preserve">Tracking / suivi de l’avancement​ 
</t>
    </r>
    <r>
      <rPr>
        <sz val="10"/>
        <color theme="1"/>
        <rFont val="Aptos Display"/>
        <family val="2"/>
        <scheme val="major"/>
      </rPr>
      <t>(en lien avec le portail fournisseur et les workflows intégrés)​</t>
    </r>
  </si>
  <si>
    <t>Mise à jour des statuts et jalons de commande au fil de l’avancement​</t>
  </si>
  <si>
    <t>Prise en charge de données de tracking des commandes en transit, si fournies / permises par le transitaire​ (statut des commandes​, suivi de planning : initial, mises à jour, retard / écart​, simulation de changements de planning et calcul des impacts​)</t>
  </si>
  <si>
    <t>SAP aura des interfaces avec un TMS externe, suite à un 1er échange avec Beaumanoir &amp; Boardriders.
Dans le monde SAP, on utilisera SAP TM et/ou SAP Event Management</t>
  </si>
  <si>
    <t>V. Gestions des commandes de vente</t>
  </si>
  <si>
    <t>Gestion des commandes de vente</t>
  </si>
  <si>
    <t>Création des commandes de vente en masse​</t>
  </si>
  <si>
    <t>Création de demandes de ventes en masse par chargement ou interface</t>
  </si>
  <si>
    <t>Création de demandes de ventes en masse en création directe dans l’ERP : saisie des paramètres de la commande et du nombre de commandes identiques à créer​</t>
  </si>
  <si>
    <t>Il existe ne standard des tuiles de chargement de commandes de vente masse ou par intégration d'idoc depuis un système tiers</t>
  </si>
  <si>
    <t>Gestion / modification des commandes de vente​</t>
  </si>
  <si>
    <t>Prise en charge d’un workflow de modification des commandes de vente​ (Sans impact sur l’allocation ​)</t>
  </si>
  <si>
    <t>Possibilité de rechercher, sélectionner et gérer des commandes de vente en masse (Dont modification en masse de commandes de vente, permettant d’appliquer les changements effectués sur l’ensemble des commandes.​)</t>
  </si>
  <si>
    <t>Gestion / modification des commandes de vente​ en masse</t>
  </si>
  <si>
    <t>Possibilité de rechercher, sélectionner et gérer des commandes de vente en masse.​</t>
  </si>
  <si>
    <t>Possibilité de modifier en masse des commandes de vente, en appliquant les changements effectués sur l’ensemble des commandes sélectionnées.​</t>
  </si>
  <si>
    <t>Possible via le mass change ou bien les applications fiori de gestion en masse des commandes de vente</t>
  </si>
  <si>
    <t>Prestations complémentaires</t>
  </si>
  <si>
    <t>Possibilité d’ajouter manuellement ou automatiquement (sous conditions) des articles (biens et / ou prestations) et upcharges aux commandes, facturables au client ou non.​</t>
  </si>
  <si>
    <t>Possible via la gestion de value added services ou bien du paramétrage au niveau du type de la commande de vente ou bien au niveau du schéma de prix de vente via l'activation conditionnelle de certaines conditions de prix type prestations</t>
  </si>
  <si>
    <t>Clients et commandes de vente B2C​</t>
  </si>
  <si>
    <t>Solution simple de gestion des clients / comptes de commande + info de livraison unitaires pour les B2C / eCommerce (client générique ou autre modèle)​</t>
  </si>
  <si>
    <t>Gestion de clients génériques (saisie à la volée dans la commande de vente), idem pour le e-commerce</t>
  </si>
  <si>
    <t>Enregistrement des commandes B2C / eCommerce au détail dans l’ERP, avec tous les détails de la transaction et de la commande​</t>
  </si>
  <si>
    <t>Précommandes, contrats, commandes ouvertes​</t>
  </si>
  <si>
    <t>Possibilité de gérer des pré- commandes / contrats / autres types de commandes ouvertes, assortis de paramètres et conditions spécifiques​</t>
  </si>
  <si>
    <t>Création de commandes fermes à partir de la pré- commande ou du contrat, dans la limite des quantités disponibles (et selon les paramètres de la pré- commande)​</t>
  </si>
  <si>
    <t>Possibilité de régulariser automatiquement les quantités résiduelles en facturation, pour les différents types de commandes ouvertes​</t>
  </si>
  <si>
    <t>Blocage de commandes / de client​</t>
  </si>
  <si>
    <t>Prise en charge de règles de blocage des commandes clients, multicritère (client, marque, pays, période, etc.) et basées notamment sur le scoring client (global) ou des critères spécifiques (credit check, solvabilité). ​
- Dont blocage total (commandes en cours et futures) ou partiel / unitaire. 
- A déclenchement automatique ou sur recommandations (visibles dans un état dédié)</t>
  </si>
  <si>
    <t>Date de livraison souhaitée par le client – prise de commande ​</t>
  </si>
  <si>
    <t>Calcul (ou définition / saisie) d’un délai / d’une date minimum de livraison client lors de la prise de commande initiale (avant application des allocations).​</t>
  </si>
  <si>
    <t>Enregistrement de la date de livraison demandée / souhaitée par le client (wholesale)​</t>
  </si>
  <si>
    <t>Enregistrement de la date de mise en place / 1e livraison souhaitée (magasin)​</t>
  </si>
  <si>
    <t>Calcul du planning de commande de vente – post-allocation ​</t>
  </si>
  <si>
    <t>Calcul automatique d’un rétroplanning de commande (tous jalons) et d’une date de livraison estimée​, à partir : 
- des jalons de la commande d’achat à laquelle la commande de vente est allouée,
- des conditions de livraison client ou magasin (dont les différents lead times).</t>
  </si>
  <si>
    <t>Calcul du planning de commande de vente – réassort ​</t>
  </si>
  <si>
    <t>Calcul automatique d’un planning et d’une date de livraison estimée à partir des quantités disponibles (en stock, en transit) et des conditions de livraison client ou magasin (dont les différents lead times).​</t>
  </si>
  <si>
    <t>Commandes de vente – cockpit de pilotage et suivi​</t>
  </si>
  <si>
    <t>Cockpit de commande client avec dates estimées de livraison, calculées selon la disponibilité des produits (achats en cours, à venir, stocks)​.
- Dont cadencement, si livraisons et dates multiples​</t>
  </si>
  <si>
    <t>Alertes en cas de modification d’une commande client, dont changement de dates​</t>
  </si>
  <si>
    <t>Visualisation des écarts entre jalons initiaux / théoriques et réels, et entre les dates de livraison estimées et les dates demandées par le client​</t>
  </si>
  <si>
    <t>Actualisation automatique en fonction des jalons fournisseurs et tracking transport​</t>
  </si>
  <si>
    <t>L'API pour appeler les informations de tracking existe dans le standard (message standard)</t>
  </si>
  <si>
    <t>Colisage – optimums logistiques​</t>
  </si>
  <si>
    <t>Prise en charge d’options et conditions de colisage : mono produit, mono taille, multi taille.​</t>
  </si>
  <si>
    <t>Gestion via les unitées logistiques SAP et les profils de colisage disponibles</t>
  </si>
  <si>
    <t>Calcul automatique d’un optimum logistique basé sur les modes de colisage prédéfinis et les quantités commandées, et recommandations / utilisation privilégiée de colis à préparer ou disponibles en stock (selon impact du colisage sur prix et conditions de transport, et / ou les règles de stock)​</t>
  </si>
  <si>
    <t>High</t>
  </si>
  <si>
    <t>L'optimisation nécessite un outil externe ou développement</t>
  </si>
  <si>
    <t>Prise en charge de règles multicritères, dont type de commande (client wholesale, MEP magasin, réassort…), 
- type article,
- type de colis,
- % du colis (bag) atteint par la commande (ex : si commande &gt; X% d’un colis, expédier colis VS vrac).</t>
  </si>
  <si>
    <t>Le recomplètement automatique de la commande et l'atteinte de certains paliers à x% du colisage supérieur est possible via développement spécfiique</t>
  </si>
  <si>
    <t>Possibilité de gérer ces règles et définir les seuils de déclenchement au niveau Article (aux différents niveaux de la hiérarchie Articles).​</t>
  </si>
  <si>
    <t>Les profils d'arrondi permettent de déterminer au niveau article/site ce type de règle</t>
  </si>
  <si>
    <r>
      <t xml:space="preserve">Réassort Magasins – Calcul des commandes sur base stock idéal
</t>
    </r>
    <r>
      <rPr>
        <sz val="10"/>
        <rFont val="Aptos Display"/>
        <family val="2"/>
        <scheme val="major"/>
      </rPr>
      <t>(calculé par SCOR-TEX)</t>
    </r>
    <r>
      <rPr>
        <b/>
        <sz val="10"/>
        <rFont val="Aptos Display"/>
        <family val="2"/>
        <scheme val="major"/>
      </rPr>
      <t xml:space="preserve"> </t>
    </r>
  </si>
  <si>
    <t>Possibilité de modifier les paramètres standards de déclenchement des commandes de réassort magasin :
- Ajout de paramètres complémentaires issus de l’ensemble des données principales : saison, hiérarchie magasin, hiérarchie articles, entrepôt, données de stocks, seuils et niveaux de stocks, optimums logistiques, etc.
- Paramétrage / construction libre de nouveaux arbres / nouvelles cascades de conditions.
- Possibilité d’ajouter des règles particulières par le biais de développements spécifiques simples.
- Sans altération / remise en question du moteur standard de calcul.</t>
  </si>
  <si>
    <t>Suite échange Beaumanoir  / Boardriders : le moteur restera externe, SAP ne fera que recevoir par interface les commandes magasin du back-office magasin pour pouvoir avoir une vision complète de la disponibilité de stock à exposer à un OMS</t>
  </si>
  <si>
    <t>Réassort – paramétrage libre des règles de déclenchement et des optimums logistiques</t>
  </si>
  <si>
    <t>Possibilité de modifier les paramètres standards de déclenchement des commandes de réassort magasin :
- Ajout de paramètres complémentaires issus de l’ensemble des données principales : saison, hiérarchie magasin, hiérarchie articles, entrepôt, données de stocks, seuils et niveaux de stocks, optimums logistiques, etc.
- Paramétrage / construction libre de nouveaux arbres / nouvelles cascades de conditions.</t>
  </si>
  <si>
    <t>Possibilité d’ajouter des règles particulières par le biais de développements spécifiques simples.
- Sans altération / remise en question du moteur standard de calcul.</t>
  </si>
  <si>
    <t>Simulation de picking et optimum logistique​</t>
  </si>
  <si>
    <t>Possibilité de simuler / demander un picking ciblé (références et quantités) : le système applique alors les règles de calcul de l’optimum et renvoie les résultats du picking : bags / colis, vrac, quantités « optimisées »​</t>
  </si>
  <si>
    <t>Suite échange Beaumanoir  / Boardriders , un développement simple sera fait dans SAP mais l'exécution du trnasport et l'optimisation seront gérées dans un TMS externe hors périmètre du RFI</t>
  </si>
  <si>
    <t>Intégration des ventes de clients (externes) pour analyse</t>
  </si>
  <si>
    <t>Possibilité d’intégrer les données de ventes de clients externes pour :​
-  Analyser les performances et établir des prévisions / potentiels​
-  Proposer un réassort ciblé et / ou des références complémentaires​</t>
  </si>
  <si>
    <t>SAP embarque avec Fiori de l'embedded Analytics pour mener l'analyse des ventes. Sur la partie réassort magasin elle a été placée hors scope</t>
  </si>
  <si>
    <t>VI. Allocations</t>
  </si>
  <si>
    <t>Gestion des allocations</t>
  </si>
  <si>
    <t>Evènement d’allocation​</t>
  </si>
  <si>
    <t>Prise en charge d’évènements d’allocations spécifiques, distincts des traitements logistiques et commerciaux sous- jacents (ex : pour le réassort, allocation automatique et mise en expédition immédiate, mais il s’agit bien de deux évènements distincts).​</t>
  </si>
  <si>
    <t>S/4HANA Retail and Fashion gère le principe selon lequel l’allocation est un événement de décision d’affectation du stock, distinct de l’exécution logistique (réservation, livraison, expédition).
Cas typique :
- Événement 1 : Allocation → Définir qui reçoit quoi, à quel moment, selon les règles multicritères.
- Événement 2 : Traitement logistique → Exécuter la mise en stock prêt à expédier, la préparation de commande, l’emballage, puis l’expédition.</t>
  </si>
  <si>
    <t>Gestion de workflows / chaines d’évènements permettant d’établir les liens entre allocation et autres évènements ​</t>
  </si>
  <si>
    <t>SAP Build Process Automation</t>
  </si>
  <si>
    <t>Moteur de calcul d’allocation configurable et multicritères​</t>
  </si>
  <si>
    <t>Prise en compte de multiples critères de scoring / détermination du niveau de priorité des clients, gérés directement dans l’ERP et / ou hérités d’applications externes (dont CRM)​</t>
  </si>
  <si>
    <t>La gestion des allocations repose sur le Supply Assignment (ARun), qui est un moteur de calcul d’allocation configurable et multicritères.  
Il permet de définir des règles d’allocation dynamiques basées sur différents critères : profil client (priorité commerciale, canal de distribution, type de client B2B/B2C), historique de commandes, stock disponible, zones géographiques, fenêtres temporelles, etc.
L'héritage de critères provenant d'un autre système se fait à travers une interfaces à développer.</t>
  </si>
  <si>
    <t xml:space="preserve">Possibilité de combiner ces critères dans des scoring « intermédiaires » (ex : score « segmentation », score « financier » calculés à partir de critères unitaires) </t>
  </si>
  <si>
    <t>L'Arun ne calcule pas en standard des scores composites complexes de type « segmentation » ou « score financier » automatiquement à partir de critères unitaires.   Par contre, on peut pré-calculer ces scorings intermédiaires en amont dans l’ERP via des Business Rules Framework (BRF+) par exemple (mais pas que), puis stocker ces scores comme des attributs dans les données maîtres clients.</t>
  </si>
  <si>
    <t>Workflow d’ajout et de gestion des critères existants</t>
  </si>
  <si>
    <t>A préciser.</t>
  </si>
  <si>
    <t>Pondération possible des différents critères</t>
  </si>
  <si>
    <t>L'Arun ne pondère pas en standard mais il est possible de le faire à travers du paramétrage avancé (BRF+) ou si cela ne suffit pas, du développement.</t>
  </si>
  <si>
    <t>Prise en compte de règles complexes d’optimisation (ex : viser un % de service minimum, intervalles de tailles…)​</t>
  </si>
  <si>
    <t>L'outil prend en compte des règles d'optimisations ce qui permet par exemple d'assurer un niveau de service minimal pour certains clients « premium » ou magasins stratégiques avant d’affecter le stock aux autres ou encore prendre en compte les courbes de tailles lors de l’allocation pour s’assurer que les lots alloués respectent les intervalles ou ratios planifiés pour tel ou tel magasin.</t>
  </si>
  <si>
    <t>Prise en compte des règles de colisage, de calcul des optimums logistiques dans le calcul des allocations (si activées).​</t>
  </si>
  <si>
    <t>L'allocation run de SAP permet d'intégrer des règles de colisage dans le calcul des allocations</t>
  </si>
  <si>
    <t>Prise en compte de règles de conditionnement dans le calcul des allocations (si pertinent et activé).​</t>
  </si>
  <si>
    <t>Idem avec les règles de conditionnement au sein de l'Allocation run</t>
  </si>
  <si>
    <t>Règles de libération / ponction des quantités définissables par canal​</t>
  </si>
  <si>
    <t>Prise en charge de règles multicritères d’allocation sur les différents stocks logiques, dont stocks réservés par canal​</t>
  </si>
  <si>
    <t>Intégré dans l'advanced atp avec des possibilités de règles de protection de stock par canal</t>
  </si>
  <si>
    <t>Prise en charge de règles multicritères d’allocation sur les commandes d’achats (selon l’allocation de commandes d’achats aux canaux)​</t>
  </si>
  <si>
    <t xml:space="preserve">Sur base du Supply Assignment et/ou Tables d'allocations </t>
  </si>
  <si>
    <t>Mode d’allocation (immédiat ou différé)​</t>
  </si>
  <si>
    <t>Prise en charge d’un mode d’allocation immédiate et automatique, ou différée ​</t>
  </si>
  <si>
    <t>Géré va Supply Assignment et les tables d'allocation</t>
  </si>
  <si>
    <t>Sur la base de critères multiples, dont les types de commande (pré- commande, initiale, réassort) et de client (magasin, wholesale, segmentation…)</t>
  </si>
  <si>
    <t>Le multi-critère nécessite du développement</t>
  </si>
  <si>
    <t>Avec règles de libération / ponction des stocks par mode d’allocation et multicritères (ex : canal)​</t>
  </si>
  <si>
    <t>Les règles de ponction des stock par segment selon plusieurs critères sont possibles dans l'allocation run</t>
  </si>
  <si>
    <t>Gestion des exclusions / blocages​</t>
  </si>
  <si>
    <t>Blocage d’allocations selon règles business : solvabilité client, zone géographique, canal, etc. ​</t>
  </si>
  <si>
    <t>La solvabilité client sera traitée par le contrôle crédit qui est pris en compte au moment de l'allocation et avec des règles BRF+, on peut noter des clients pour limiter les allocations par exemples.  Il existe également des filtres géographiques et la possibilité de bloquer un canal ou l'autre.</t>
  </si>
  <si>
    <t>Suspension automatique ou manuelle, avec relance / notification intégrée​</t>
  </si>
  <si>
    <t>Suspension automatique, via des règles métiers intégrées (ex. blocage pour dépassement de crédit, violation de seuils, blocage géographique, litige actif) ou suspension manuelle, par un utilisateur via le status document, le Credit Management, ou directement dans le Supply Assignment Workbench ou Allocation Table.</t>
  </si>
  <si>
    <t>Périmètre d’application paramétrable : toutes commandes dont en cours, commandes futures uniquement, période spécifique​</t>
  </si>
  <si>
    <t>Possible dans le paramétrage de l'allocation run</t>
  </si>
  <si>
    <t>Prise en charge de pré-allocations et d’allocations sur commandes ouvertes (master-commande)</t>
  </si>
  <si>
    <t>Gestion de « pré- allocations » (engagement prévisionnel des clients) avec des règles de priorisation spécifiques​</t>
  </si>
  <si>
    <t>S/4HANA Retail and Fashion permet de gérer les pré-allocations, via un processus spécifique de Prepack / Prebooking et des règles de priorisation pour transformer l’engagement client en allocation ferme. Par contre, nous constatons souvent qu'une partie du besoin et nécessite de l'agorithmie supplémentaire.</t>
  </si>
  <si>
    <t>Gestion d’allocations sur commandes ouvertes (confirmées lors des commandes fermes) avec des règles de priorisation spécifiques​ (Quantités allouée et commandable limitées à la quantité de la commande ouverte initiale​)</t>
  </si>
  <si>
    <t>La solution gère des commandes ouvertes (open orders ou schedule agreements) avec :
- Quantité totale maximum définie dans le contrat.
- Livraisons fractionnées confirmées par commandes fermes (call-offs) dans la limite de cette quantité.
- Règles de priorisation pour affecter le stock à ces commandes fermes.
Régulièrement, il convient de rajouter de l'agorithmie pour réponde aux besoins précis.</t>
  </si>
  <si>
    <t>Allocation de quantités achetées mais en transit (PO en cours)​
à une commande de vente</t>
  </si>
  <si>
    <t>Allocation anticipée dès la commande d’achat (sans attendre la réception)​</t>
  </si>
  <si>
    <t>Standard via Supply Assignment</t>
  </si>
  <si>
    <t>Prise en compte des ETA / EDD pour calculer la date prévisionnelle de livraison commande client​</t>
  </si>
  <si>
    <t>Oui prévu dans l'ATP en gérant des dates de livraison planifiées</t>
  </si>
  <si>
    <t>Couvert par un TMS hors périmètre RFI</t>
  </si>
  <si>
    <t>Possibilité de modification sans perte des priorités initiales​</t>
  </si>
  <si>
    <t>Nécessite développement pour enrichir les règles d'allocation</t>
  </si>
  <si>
    <t>Possibilité de réserver des quantités (dont 100% d’une commande d’achat) à un canal (modèle Beaumanoir)​</t>
  </si>
  <si>
    <t>Il est possible en standard de paramétrer une réservation de quantité pour une seule chaine de distribution (stock e-commerce pour canal e-commerce par exemple)</t>
  </si>
  <si>
    <t>Réallocation à réception / ventilation automatique​</t>
  </si>
  <si>
    <t>Possibilité de recalcul des allocations à réception d’une PO selon les priorités en cours ​</t>
  </si>
  <si>
    <t>Le recalcul des allocations peut être à la demande ou bien paramétré sur des événements type réception et d'automatiser la ventilation des stock sur les différents segments logiques de stock</t>
  </si>
  <si>
    <t>Possibilité d’ajuster dynamiquement les allocations existantes si réception partielle ou en retard​</t>
  </si>
  <si>
    <t>Allocation des quantités réceptionnées aux stocks logiques​</t>
  </si>
  <si>
    <t>A réception : détermination des quantités disponibles (non- allouées aux commandes de ventes)​</t>
  </si>
  <si>
    <t>A réception : déclenchement automatique des affectations / ventilations vers les différents stocks logiques​</t>
  </si>
  <si>
    <t>Allocation de quantités en stock à une commande de vente​</t>
  </si>
  <si>
    <t>Règles automatiques d’allocation selon priorités définies (client, canal, saison, etc.)​</t>
  </si>
  <si>
    <t>Oui dans l'allocation run</t>
  </si>
  <si>
    <t>Développement dans les règles d'allocation</t>
  </si>
  <si>
    <t>Allocation partielle / multi-sources</t>
  </si>
  <si>
    <t>Prise en compte de plusieurs fournisseurs ou stocks pour satisfaire une même commande ​</t>
  </si>
  <si>
    <t>Nécessite SAP IBP</t>
  </si>
  <si>
    <t>Règles de découpage multicritères et paramétrables (ex : accès à plusieurs stocks)​</t>
  </si>
  <si>
    <t>Réallocation proactive sur changement de planning​</t>
  </si>
  <si>
    <t>Capacité à recalculer et proposer une nouvelle allocation en cas de changement d’un jalon fournisseur ou client ​</t>
  </si>
  <si>
    <t>Couvert par le back order processing dans l'AATP qui permet de re générer une allocation en cas de pénurie</t>
  </si>
  <si>
    <t>Alerte sur conflit de priorités ou manque de disponibilité​</t>
  </si>
  <si>
    <t>Produits de substitution​</t>
  </si>
  <si>
    <t>Prise en charge de produits de substitution (définis et gérés conjointement avec le PLM et/ou la CRM).​</t>
  </si>
  <si>
    <t>Possibilité de déterminer des règles automatiques de substitution au niveau article</t>
  </si>
  <si>
    <t>Définition de règles d’affectation / d’attribution des produits de substitution dans les règles d’allocation (selon le niveau de priorité).​</t>
  </si>
  <si>
    <t>Recommandation de produits de substitution sur tout ou partie des quantités en cas d’écart entre la quantité demandée et la quantité disponible à l’allocation.</t>
  </si>
  <si>
    <t>Allocation à la saison ​</t>
  </si>
  <si>
    <t>Prise en charge d’une dimension / d’un paramètre d’allocation « Saison », lié à la dimension Saison (transverse) portée dans l’ERP​</t>
  </si>
  <si>
    <t>Les règles d'allocation sont un des paramètres de l'objet saison (Season Workbench)</t>
  </si>
  <si>
    <t>Permettre d’allouer des stocks / quantités à des saisons de vente et de gestion​</t>
  </si>
  <si>
    <t>Possibilité de bascule en masse (manuelle ou automatique) des stocks d’une saison à l’autre, via un changement dans l’allocation​</t>
  </si>
  <si>
    <t>Le mass processing permet une telle bascule.</t>
  </si>
  <si>
    <t>Possibilité d’allocation saisonnière partielle (une quantité en stock répartie sur plusieurs saisons)​</t>
  </si>
  <si>
    <t>Les ratios d'allocation permettent une simulation.  Il est possible de gérer plus finement avec de l'agorithmie spécifique.</t>
  </si>
  <si>
    <t>Equilibrages de stocks et d’allocations​</t>
  </si>
  <si>
    <t>Prise en charge de mouvements automatiques entre stocks​</t>
  </si>
  <si>
    <t xml:space="preserve"> SAP S/4HANA Retail &amp; Fashion sait très bien faire le rééquilibrage planifié et semi-automatisé mais pour du stock balancing ultra-dynamique (ex. redistribution quotidienne multi-entrepôts + transport optimisé + multi-critères pondérés), il faudra des modules complémentaires et/ou du développement</t>
  </si>
  <si>
    <t>Déclenchement multicritère (dont besoins en allocation, quantités non servies, relâche d’une allocation, etc.)​</t>
  </si>
  <si>
    <t>Totalement automatique ou préconisation validée manuellement​</t>
  </si>
  <si>
    <t>Déclenchement via la table d'allocation</t>
  </si>
  <si>
    <t>Cockpit de visualisation des allocations​</t>
  </si>
  <si>
    <t>Outil centralisé pour visualiser les quantités allouées, disponibles, en attente, en rupture ​</t>
  </si>
  <si>
    <t>Cockpit de montoring fiori des allocations</t>
  </si>
  <si>
    <t>Permet d’intervenir manuellement ou en masse sur les allocations​</t>
  </si>
  <si>
    <t>Directement dans les tables d'allocation</t>
  </si>
  <si>
    <t>Simulation de modification + calcul d’impact​</t>
  </si>
  <si>
    <t>Outil de simulation intégré des impacts d’un changement (jalon, quantité, réallocation) sur toutes les autres commandes concernées​</t>
  </si>
  <si>
    <t>Il existe bien des fonctionnalités pour « simuler » et « recalculer », mais elles sont réparties sur plusieurs composants comme l'ATP, l'Arun et le MRP mais pas à proprement parlé d'un Outil.  Un développement est possible dans ce sens</t>
  </si>
  <si>
    <t>Possibilité de définir des paramètres « cible » : taux de service cible, ETA, taux de complétude, % minimum, etc. ​</t>
  </si>
  <si>
    <t xml:space="preserve">Oui à travers les différents outils (MRP, ATP, Arun, Tables d'Allocations).  </t>
  </si>
  <si>
    <t>Possibilité d’exclure / inclure les allocations dans la simulation (pour éviter / permettre qu’elles soient impactées)​</t>
  </si>
  <si>
    <t>Possible de mettre des flags dans les tables d'allocation ou d'inclure / exclure des lignes dans l'Arun.</t>
  </si>
  <si>
    <t xml:space="preserve">Priorisation manuelle de commandes et d’allocations​ (« coupe-file ») </t>
  </si>
  <si>
    <t>Possibilité de forcer l’allocation d’une commande / la priorité d’une commande par rapport aux autres​ « Coupe- file » total (commande en tête) ou partiel (scoring modifié)​</t>
  </si>
  <si>
    <t>Il est possible mettre une commande pour qu’elle soit servie en priorité absolue.  On peut aussi ajuster son score dans le moteur d’allocation pour qu’elle passe devant d’autres, mais sans exclure totalement le reste.</t>
  </si>
  <si>
    <t>Tableau de bord de gestion des scores et critères​</t>
  </si>
  <si>
    <t>Etat de reporting reprenant les scores (totaux, intermédiaires) et les critères de calcul ​</t>
  </si>
  <si>
    <t>Création d'une CDS view</t>
  </si>
  <si>
    <t>Possibilité de modifier directement certains critères (selon workflow défini)​</t>
  </si>
  <si>
    <t>Développement requis dans la gestion des workflows Fiori ou mise en place d'inside to action dans une tuile de reporting.</t>
  </si>
  <si>
    <t>Recalcul automatique des allocations​</t>
  </si>
  <si>
    <t>Recalcul quotidien des priorités et allocations (avec possibilité de figer / libérer certaines allocations)​</t>
  </si>
  <si>
    <t>En standard via une gestion de job</t>
  </si>
  <si>
    <t>Cockpit de pilotage avec alertes sur écarts / retards​</t>
  </si>
  <si>
    <t>Cockpit SAP Alert Framework.</t>
  </si>
  <si>
    <t>Recalcul également possible à la demande (ex : modification PO ou commande client)​</t>
  </si>
  <si>
    <t>Lancement manuel du processus d'allocation possible</t>
  </si>
  <si>
    <t>Enregistrement des quantités non servies​</t>
  </si>
  <si>
    <t>Détermination des commandes de vente / client non servies ou partiellement couvertes​</t>
  </si>
  <si>
    <t>Statut visible dans les tables d'allocation et les documents de ventes</t>
  </si>
  <si>
    <t>Enregistrement des commandes non servies et des données associées : statut spécifique, références articles demandées, quantités demandées, taux de service potentiel, etc.</t>
  </si>
  <si>
    <t>Les commandes non servies ou partiellement bénéficient d'un statut spécifique pour les identifier parmi l'ensemble des commandes de vente</t>
  </si>
  <si>
    <t>Gestion des reliquats et service partiel​</t>
  </si>
  <si>
    <t>Prise en charge des livraisons partielles avec reliquat conservé et priorisé automatiquement ​</t>
  </si>
  <si>
    <t>En standard dans le type de commande de vente dans SD</t>
  </si>
  <si>
    <t>Règles configurables : partiel autorisé / bloqué, automatique ou manuel​</t>
  </si>
  <si>
    <t xml:space="preserve"> Historique des modifications d’allocations​</t>
  </si>
  <si>
    <t>Traçabilité complète des mouvements d’allocation, repriorisation, réaffectations ​</t>
  </si>
  <si>
    <t>Directement dans les logs d'allocation</t>
  </si>
  <si>
    <t>Log consultable dans un cockpit dédié (audit trail, horodatage, utilisateur)​</t>
  </si>
  <si>
    <t>Alertes ​</t>
  </si>
  <si>
    <t>Possibilité de paramétrer des alertes sur différents évènements relatifs aux allocations (relâche, transfert important, commande non- servie importante, etc.)​</t>
  </si>
  <si>
    <t>A l'aide de BRF+, Business Workflow engine ou encore d'Advanced ATP et si nécessaire du développement</t>
  </si>
  <si>
    <t>VII.Gestion des stocks​</t>
  </si>
  <si>
    <t>Gestion des stocks</t>
  </si>
  <si>
    <t>Paramètres et vues de stocks par Article​</t>
  </si>
  <si>
    <t>Gestion de vues et paramètres de stocks multiples pour chaque code Article (par entrepôt, par groupe de valorisation en stock (1e choix, 2e choix, sample, CoVoy))​, en lien avec la gestion des types d'articles</t>
  </si>
  <si>
    <t>Il existe des paramètres pour gérer le stock article par entrepôt, par magasin, par groupe de valorisation</t>
  </si>
  <si>
    <t>Etats et mouvements des stocks ​</t>
  </si>
  <si>
    <t>Prise en charge de stocks logiques multiples (dont hiérarchie / arborescence / dépendance entre stocks).​</t>
  </si>
  <si>
    <t>Il est possible de gérer des stocks logiques multiples en standard avec des règles possibles de protection des stocks dans l'advanced atp entre segments pour éviter la cannibalisation de stocks surtout en cas de pénurie. Certaines règles complexes nécessitent du spécifique, comme pouvoir réaffecter du stock à partir d'un segment vers un autre</t>
  </si>
  <si>
    <t>Prise en charge de stocks physiques multiples, en lien avec systèmes opérationnels (WMS, magasin).​</t>
  </si>
  <si>
    <t>Hors périmètre du RFI, cela sera géré directement dans les WMS externes hors périmètre du RFI</t>
  </si>
  <si>
    <t>Prise en charge des mouvements de stocks directs (entrée, sortie, transfert…) ou associés aux transactions (réception, expédition…).​</t>
  </si>
  <si>
    <t>SAP gère en standard des entrées et sorties de stock liées ou non à des transactions selon les codes mouvements de la solution (entrée marchandise sur réception de commande, entrée marchandise sans motif, utilisée pour les reprises de données…)</t>
  </si>
  <si>
    <t>Possibilité de réaliser des mouvements de stocks en masse, par chargement ou interface (dont mouvements de régularisation dans le cadre d’inventaires).​</t>
  </si>
  <si>
    <t>Possible via des applications Fiori dédiées, des chargements de fichier ou complètement standard via l'objet inventaires de SAP (MM)</t>
  </si>
  <si>
    <t>Pilotage des WMS interfacés, via l’envoi des ordres de préparation et de blocage.​</t>
  </si>
  <si>
    <t>Demi-interfaces prévues pour pouvoir bloquer des ordres de préparation ou les envoyer selon plusieurs critères (ex : dépassement de plafond de crédit client)</t>
  </si>
  <si>
    <t xml:space="preserve">Prise en charge des immobilisations de stocks temporaires via des mouvements spécifiques, en lien avec la gestion des commandes (pour mise à jour de leur statut / visibilité sur le blocage et sa résolution).​
- Dont possibilité de réaliser des mouvements de sortie (ex : sortie / réaffectation du stock pour réparation / intervention sur la plateforme) et contrepasser ces mouvements à l’identique. </t>
  </si>
  <si>
    <t>Le lien automatique entre stock spécial et statut de commande nécessite du développement</t>
  </si>
  <si>
    <t>Visualisation des écarts de stocks entre les applications (décompte, rapprochement et calcul des écarts).​</t>
  </si>
  <si>
    <t>Développement pour rapprochement inter-applications</t>
  </si>
  <si>
    <t>Automatisation des mouvements de stocks​</t>
  </si>
  <si>
    <t>Prise en charge de mouvements automatiques, sous conditions
- A réception d’une commande d’achat, ventilation des quantités non-allouées vers les stocks théoriques (selon critères de répartition).
- Traitement automatique des flux de retour / défectueux, affectations de stocks spécifiques.
- Anomalies de livraison / souffrance, stock d’attente et notification du destinataire.
- Mouvements d’équilibrage / réaffectation automatiques, selon les seuils et règles d’équilibrage définies et en lien avec les commandes.</t>
  </si>
  <si>
    <t>Merci de détailler votre réponse</t>
  </si>
  <si>
    <t>Demandes de transfert de stock ​(GSS, PLV)</t>
  </si>
  <si>
    <t>Prise en charge de « demandes de transfert de stock » permettant de : 
- « passer commande » pour un produit géré en stock (ex : PLV),
- déclencher automatiquement le transfert physique et logique des quantités commandées,
- déclencher le flux retour (poussé par le magasin / le destinataire ou tiré par l’entrepôt).</t>
  </si>
  <si>
    <t>Géré en standard via le processus de demande d'achat puis les commandes de transferts (STO) entre sites avec suivi du stock en transit, gérable également dans le sens retour</t>
  </si>
  <si>
    <t>Règles automatiques de gestion des stocks et seuils​</t>
  </si>
  <si>
    <t>Prise en charge de seuils (mini, maxi, optimum) saisis manuellement ou calculés par l’ERP.​</t>
  </si>
  <si>
    <t>Il est possible de gérer des seuls mini/maxi/optimum de stock via calcul du MRP SAP</t>
  </si>
  <si>
    <t>Possibilité de simuler et générer automatiquement des propositions d’achats / d’approvisionnement, multicritère, et tenant compte des paramètres logistiques (dont lead times).​</t>
  </si>
  <si>
    <t>Pris en charge de manière standard par le MRP SAP</t>
  </si>
  <si>
    <t>Simulation et préconisations dynamiques d’ajustement des différents stocks théoriques selon les règles / seuils définis.​</t>
  </si>
  <si>
    <t>Développement nécessaire dans SAP non pris en charge dans le standard pour le volet préconisations dynamiques d'ajustement</t>
  </si>
  <si>
    <t>Valorisation des stocks​</t>
  </si>
  <si>
    <t>Prise en charge de différents modes de valorisation (CUMP, PRMP, FIFO, etc.).​</t>
  </si>
  <si>
    <t>PRMP et FIFO sont standard dans SAP. Le CUMP peut être déterminé facilement à partir du PRMP dans SAP</t>
  </si>
  <si>
    <t>Calcul dynamique de la valorisation.</t>
  </si>
  <si>
    <t>Possible de lancer même un calcul de valorisation de manière manuelle par l'utilisateur</t>
  </si>
  <si>
    <t>Mise à jour à chaque évènement opérationnel, sur la base des prix d’achats des articles et des frais annexes éventuels (coût unitaire impacté). ​</t>
  </si>
  <si>
    <t>Mis à jour à chaque réception par exemple sur la base du prix d'achat de la commande réceptionné</t>
  </si>
  <si>
    <t>Paramètres et règles de valorisation gérés à la saison.​</t>
  </si>
  <si>
    <t>Standard entre le Material Ledger et le Season Workbench</t>
  </si>
  <si>
    <t>Règles de valorisation particulières, multicritère dont hiérarchie Articles.​</t>
  </si>
  <si>
    <t xml:space="preserve">Par principe, la valorisation se fait au niveau du SKU.
Il est aussi possible d'utiliser des articles de valeur pour les articles non gérés unitairement en stock à différents niveaux de hierarchie. </t>
  </si>
  <si>
    <t>Gestion du colisage​</t>
  </si>
  <si>
    <t>Gestion en stock des différents modes de colisage (cf masterdata et commandes d’achats) et des règles et données spécifiques à ces éléments, dont leur référence propre et le caractère indissociable des quantités colisées ensemble.​</t>
  </si>
  <si>
    <t>La logique d'indissociabilité est spécifique</t>
  </si>
  <si>
    <t>Prise en charge des mouvements de manutention associés (et interdictions) : création de colis, décolisage…​</t>
  </si>
  <si>
    <t>Possibilité de définir des règles spécifiques de valorisation.​</t>
  </si>
  <si>
    <t>Sur les articles structurés de type présentoires, sets de ventes… il est possible de définir une valorisation au niveau du colis.  Les conditionnements ne sont pas valorisés en tant que tels mais bien au niveau du SKU.</t>
  </si>
  <si>
    <t>Gestion stocks déportés​</t>
  </si>
  <si>
    <t>Possibilité de gérer les stocks consignés / déportés chez un client ou un fournisseur. ​</t>
  </si>
  <si>
    <t xml:space="preserve">Gestion du stock en consignation client / fournisseur standard dans SAP, indiqué dans la fiche article et reporté avec un type de poste de commande </t>
  </si>
  <si>
    <t>Gestion du pourcentage d’écart de stock toléré au niveau du compte client.</t>
  </si>
  <si>
    <t>SAP ne gère pas directement de tolérances d'écarts ayant un impact direct sur la consommation mais gère des tolérances d'écarts sur les inventaires physiques.</t>
  </si>
  <si>
    <t>Prise en charge du processus de commande / expédition, sans facturation = mise à disposition du stock.</t>
  </si>
  <si>
    <t>En standard SAP gère des processus de commande de consignation client /fournisseur sans génération de facture à la constatation de l'arrivée du stock physiquement chez le client. Les consommations client sont stockées dans la table MRKO qui permet de générer facture achat/vente au bon moment</t>
  </si>
  <si>
    <t>Intégration de rapports de ventes périodiques du client, pour mise à jour des stocks (et facturation périodique).</t>
  </si>
  <si>
    <t>Création automatique de commandes facturables.</t>
  </si>
  <si>
    <t>Low</t>
  </si>
  <si>
    <t>Génération automatique de la facturation à partir des mouvements stockés dans la tabke MRKO</t>
  </si>
  <si>
    <t>Gestion d’un processus de retour en stock.</t>
  </si>
  <si>
    <t>Standard via return delivery ou return PO soit commande d'achat de retour ou mouvement de stock réciproque</t>
  </si>
  <si>
    <t>Calcul automatique des écarts stock initial / rapports de vente / stock retourné, et valorisation des écarts à facturer par rapport au pourcentage de perte tolérée.</t>
  </si>
  <si>
    <t>Développement spécifique requis</t>
  </si>
  <si>
    <t>Envoi automatique des données transactionnelles nécessaires à la facturation.</t>
  </si>
  <si>
    <t>Via interface ou API disponibles</t>
  </si>
  <si>
    <t>Pilotage de l’activité des plateformes​</t>
  </si>
  <si>
    <t>Cockpit de pilotage de la charge entrepôt basé sur les commandes d’achat et de vente, leur statut et leurs jalons clés : réception, préparation, colisage, expédition…​</t>
  </si>
  <si>
    <t>Visualisation des prochaines commandes à préparer (anticipables si charge entrepôt disponible).​</t>
  </si>
  <si>
    <t>VIII. Expédition et suivi</t>
  </si>
  <si>
    <t>Expédition et suivi</t>
  </si>
  <si>
    <t>Evènements de préparation et expédition​</t>
  </si>
  <si>
    <t>Prise en charge d’évènements distincts de préparation et d’expédition de la commande.​</t>
  </si>
  <si>
    <t>Gestion de jalons distincts dans le planning de la commande (et son calcul).​</t>
  </si>
  <si>
    <t>Règles de préparation et mise en expédition automatiques​</t>
  </si>
  <si>
    <t>Prise en charge de règles automatiques de préparation et expédition des commandes, multicritère (ex : commande / allocation complète expédition de commande partielle, taux de service minimum…)​</t>
  </si>
  <si>
    <t>Définition de règles au niveau global, stock (plateforme et / ou stock logique), canal, client…​</t>
  </si>
  <si>
    <t>Définition de règles au niveau du type de commande (commande initiale / allocation sur commande d’achat, réassort / allocation sur stock).​</t>
  </si>
  <si>
    <t>Préparation des commandes​</t>
  </si>
  <si>
    <t>Prise en charge automatisée des traitements d’expédition pour les commandes de vente allouées sur commandes d’achat.​</t>
  </si>
  <si>
    <t>Disponible via l'advanced ATP qui permet de gérer en automatique les expéditions sur la base des commandes achat liées au commande de vente</t>
  </si>
  <si>
    <t>Création des demandes d’expédition correspondant aux commandes de vente, dès réception.​</t>
  </si>
  <si>
    <t>Création et planification des ordres de préparation, dont colisage. ​</t>
  </si>
  <si>
    <t>Planification de l’expédition selon le niveau de priorité et les jalons de la commande, en tenant compte des conditions de transport (lead time) aval / client (cf master data),​</t>
  </si>
  <si>
    <t>Planification de l’expédition selon le plan de charge / d’activité de la plateforme,​</t>
  </si>
  <si>
    <t>Nécessite de prendre SAP EWM pour avoir une gestion embarquée de l'entrepôt et ainsi planifier l'expédition sur l'activité de cette dernière</t>
  </si>
  <si>
    <t>Planification de l’expédition selon les règles de préparation et mise en expédition automatiques.​</t>
  </si>
  <si>
    <t>Nécessite des développements pour intégrer des règles de gestion type taux de service ou allocation partielle à % pour planifier l'expédition dans le temps</t>
  </si>
  <si>
    <t>Prise en charge automatisée des traitements d’expédition pour les commandes de vente allouées sur stocks.​ ( Fonctionnement identique aux commandes de ventes allouées sur commandes d’achat, assorti de règles spécifiques )</t>
  </si>
  <si>
    <t>Prise en compte des règles de colisage et optimums logistiques dans la préparation (cf commandes de vente et allocations).​</t>
  </si>
  <si>
    <t>L'ordre de préparation généré par SAP reprend les données de la commande de vente en y incluant l'allocation qui a pu être faite et donc les règles de colisage qui ont été décidées dans la commande</t>
  </si>
  <si>
    <t>Annonce d’expédition ​</t>
  </si>
  <si>
    <t>Génération automatique d’une annonce d’expédition lors de la préparation de l’envoi.​</t>
  </si>
  <si>
    <t>Calcul d’une date de livraison estimée, basée sur les conditions de livraison (lead time) et les modalités de livraison et de transport.​</t>
  </si>
  <si>
    <t>Envoi automatique de l’annonce aux coordonnées spécifiées par le client, en lien avec les informations communiquées par le prestataire (par interface entrante).​</t>
  </si>
  <si>
    <t>Possible via la mise en place de SAP Transportation Management ou interface avec un TMS externe</t>
  </si>
  <si>
    <t>Gestion des expéditions partielles et reliquats de commande​</t>
  </si>
  <si>
    <t>Prise en charge automatique des reliquats de commande :</t>
  </si>
  <si>
    <t>Expédition complète (disponible = expédié) mais commande partiellement servie.​</t>
  </si>
  <si>
    <t>Création automatique des ordres d’expédition à réception / disponibilité du reliquat.​</t>
  </si>
  <si>
    <t>Solde de commande à l’expédition et réception du reliquat par le client.​</t>
  </si>
  <si>
    <t>Mode de livraison et solution de transport</t>
  </si>
  <si>
    <t>Gestion multicritère des modes de livraison en fonction des paramètres de l’expédition : groupage possible, contenant / colisage, dimensions et poids.​ ( Dont marchandise ou colis hors gabarit.​ )</t>
  </si>
  <si>
    <t>Possible via la mise en place de SAP Transportation Management</t>
  </si>
  <si>
    <t>Sélection automatique du mode de transport et du prestataire / transitaire, multicritère. ​ ( Dont client, paramètres logistiques et détails de l’expédition.​ )</t>
  </si>
  <si>
    <t>Commandes SMU ​(crossdock, dropship, eCommerce)​</t>
  </si>
  <si>
    <t>Prise en charge de commandes SMU et de règles de traitement, préparation et expédition spécifiques (cf gestion des commandes d’achat).​
Prise en charge de commandes SMU et de règles de traitement, préparation et expédition spécifiques (cf gestion des commandes d’achat).
- Réception commande d’achat spécifique.
- Traitement paramètres de mise en expédition.
- Pas de rupture de flux, intégrité de la commande de vente et de la commande d’achat conservées
- Gestion de paramètres logistiques spécifiques.</t>
  </si>
  <si>
    <t xml:space="preserve">SAP peut gérer en standard via les différents types de commandes de vente des réception de commande d'achat spécifique (sans transfert de propriété plateforme pour le cross-dock par exemple) avec des paramètres de mise en expédition différents (ex : automatique J+1 date réelle de réception) </t>
  </si>
  <si>
    <t>Prise de rendez-vous​</t>
  </si>
  <si>
    <t>Prise en charge d’un workflow de prise de rendez- vous (en lien avec la CRM / le portail client) et permettant de :​
- communiquer au client un intervalle de date pour la livraison (basé sur les temps de livraison / lead times),​
- enregistrer et valider (à la commande) la date de livraison validée par le client,​
- calculer, préparer et organiser l’expédition et l’enlèvement,​
- communiquer au transporteur l’ensemble des éléments et demander l’enlèvement.​</t>
  </si>
  <si>
    <t>Pour un client B2B, SAP TM répond au besoin</t>
  </si>
  <si>
    <t>Tracking</t>
  </si>
  <si>
    <t>Intégration à la commande des informations de tracking communiquées par le prestataire (par interface entrante).​</t>
  </si>
  <si>
    <t>Intégration et suivi des flux et évènements de livraison.​</t>
  </si>
  <si>
    <t>IX. Livraison et retour</t>
  </si>
  <si>
    <t xml:space="preserve"> Gestion livraison retours</t>
  </si>
  <si>
    <t>Réception client</t>
  </si>
  <si>
    <t>Intégration à la commande des informations de réception client, communiquées par le prestataire (par interface entrante).​</t>
  </si>
  <si>
    <t>Gestion des réceptions partielles et reliquats de livraison​ (+ livraisons en souffrance)</t>
  </si>
  <si>
    <t>Prise en charge automatique des reliquats de livraison :
- Intégration du reste-à-livrer, à la commande, communiqué par le prestataire.
- Envoi automatique d’une nouvelle annonce aux coordonnées spécifiées par le client, en lien avec les informations communiquées par le prestataire (par interface entrante).
- Mise à jour des informations de tracking communiquées par le prestataire (interface entrante).</t>
  </si>
  <si>
    <t>Il faut mettre en place des développements dans SAP pour mettre à jour des informations sur la base d'une interface entrante. Par contre les interfaces citées sont des interfaces pré configurées dans SAP</t>
  </si>
  <si>
    <t>Prise en charge des livraisons en souffrance, dans un fonctionnement comparable. ​</t>
  </si>
  <si>
    <t>Gestion des retours​</t>
  </si>
  <si>
    <t>Prise en charge des flux retours magasins avec critères de traitement en réception / stock, en lien avec la gestion des unités de colisage et de regroupement.​
- Réception et enregistrement du retour.
- Création et planification de l’ordre d’enlèvement.
- Sélection de l’entrepôt de retour et du prestataire, selon les paramètres logistiques définis.
- Annonce d’enlèvement adressée au client, en lien avec les informations fournies par le prestataire (interface entrante).
- Annonce entrepôt destinataire et tracking comparables à un flux d’expédition.</t>
  </si>
  <si>
    <t>Prise en charge de la réception en entrepôt.​</t>
  </si>
  <si>
    <t>Transmission des données transactionnelles à l‘ADV et à la Finance, pour émission des avoirs / factures.​</t>
  </si>
  <si>
    <t>Valorisation des retours</t>
  </si>
  <si>
    <t>Prise en charge de règles spécifiques et multicritères de valorisation des retours.​</t>
  </si>
  <si>
    <t>En ADV / facturation, prise en charge de décote sur les produits retournés et remboursés notamment les articles vendus en packs (cf ADV, finance et Comptabilité).​</t>
  </si>
  <si>
    <t>Transfert d’Articles retournés vers un autre client​ (= transfert de commandes)​</t>
  </si>
  <si>
    <t>Prise en charge de mouvements de transfert d’une commande client A – faisant l’objet d’un retour -  à une autre commande B – à livrer - .​
-  Réception et enregistrement du retour A.​
-  Création et planification de l’ordre d’enlèvement A depuis l’adresse client.​
-  Création d’un ordre d’expédition de la commande B.​
-  Sélection du prestataire selon les paramètres logistiques prédéfinis.​
-  Annonces d’enlèvement et d’expédition adressées aux clients, en lien avec les informations fournies par le prestataire (interface entrante).</t>
  </si>
  <si>
    <t>La plupart des fonctionnalités décrites sont standard mais l'annonce d'enlèvement/d'expédition nécessite le mise en place d'un développement</t>
  </si>
  <si>
    <t>X. ADV, finance et comptabilité</t>
  </si>
  <si>
    <t>Vente</t>
  </si>
  <si>
    <r>
      <t xml:space="preserve">Gestion CGV et bon de commande
</t>
    </r>
    <r>
      <rPr>
        <sz val="10"/>
        <color theme="1"/>
        <rFont val="Aptos Display"/>
        <family val="2"/>
        <scheme val="major"/>
      </rPr>
      <t>(En lien avec la CRM / front-office client et un processus d’acceptation des CGV (à chaque commande ou sur une période donnée) et/ ou d’un bon de commande.​)</t>
    </r>
  </si>
  <si>
    <t>Prise en charge d’un processus de signature électronique des CGV et du bon de commande, permettant :​
-  d’activer les champs requis pour la commande ou la période de validité prévue (CGV),​
-  de valider la création de la commande, si conditions remplies.​</t>
  </si>
  <si>
    <t>Avec Opentext ECM</t>
  </si>
  <si>
    <t>Possibilité de conditionner la validation de la commande et / ou de l’allocation à l’activation / la validité d’un champ :​
-  CGV,​
-  bon de commande. ​</t>
  </si>
  <si>
    <t>Données de commande nécessaires à la facturation​</t>
  </si>
  <si>
    <t>Prise en charge des informations nécessaires à l’établissement des factures (et envoi vers SAP FICO) au niveau de la commande, notamment :​
-  produits (dont upcharges, VAS et prestations complémentaires), quantités, prix unitaires et prix totaux à la ligne de commande,​
-  opérations promotionnelles (en déduction des prix unitaires, quantités ou prix totaux,​
-  remises / conditions contractuelles calculées et appliquées à la commande.​</t>
  </si>
  <si>
    <t>Données client nécessaires à la facturation​</t>
  </si>
  <si>
    <t>Prise en charge des informations nécessaires à l’établissement des factures (et envoi vers SAP FICO) au niveau du client, notamment :​​
-  remises / conditions contractuelles sur facture / pied de facture,​ calculées automatiquement ou manuellement à l’aide de rapports adaptés, et saisies (cf. Master Data),​
-  template de facture : informations complètes, dont propres à un client / une typologie (ex : QR code pour Espagne),​
-  devise de facturation (et de pricing),​</t>
  </si>
  <si>
    <t>Envoi automatique des transactions et éléments à facturer</t>
  </si>
  <si>
    <t>Possibilité de conditionner l’envoi automatique des données transactionnelles en facturation à des évènements opérationnels (expédition, réception).</t>
  </si>
  <si>
    <t>Facturation automatique des magasins​</t>
  </si>
  <si>
    <t>Déclenchement automatique de la facturation magasin (commandes de MEP et réassort) conditionné aux évènements opérationnels (expédition de commande, réception de la commande par le magasin…).​
Envoi automatique des données transactionnelles et nécessaire à la facture vers SAP FICO.​</t>
  </si>
  <si>
    <t>Facturation automatique des clients</t>
  </si>
  <si>
    <t>Déclenchement automatique de la facturation client conditionné aux évènements opérationnels (expédition de commande, réception de la commande…).​
- Envoi automatique des données transactionnelles et nécessaires à la facture vers SAP FICO.​</t>
  </si>
  <si>
    <t>Annexes et documents additionnels​</t>
  </si>
  <si>
    <t>Possibilité de générer des reports (standards ou prédéfinis) en annexe des factures :​
-  Automatiquement, via un paramétrage des règles d’édition,​
-  À la demande,​
-  Sur un périmètre de données cohérent à celui de la facture (ex : liste des commandes et lignes de commandes pour le client sur la période).</t>
  </si>
  <si>
    <t>Possibilité de générer des documents complémentaires (standards / fixes) non inclus dans le template / formulaire de la facture.​</t>
  </si>
  <si>
    <t>Editique et envoi de facture​</t>
  </si>
  <si>
    <t>Envoi automatique (vers SAP FICO) des données nécessaires à l’édition de factures physiques et électroniques, notamment :
- template à utiliser,
- données clients,
- mentions règlementaires (pays) ou spécifiques clients.</t>
  </si>
  <si>
    <t>Récupération et stockage des factures générées par SAP FICO au niveau de chaque commande (document complet ou lien / champ d’accès).​
-  Enregistrement du N° de facture pour chaque commande.​
-  Stockage des PDF et documents électroniques générés.​</t>
  </si>
  <si>
    <t>Prise en charge des règles de regroupement de factures (une facture = plusieurs commandes).​</t>
  </si>
  <si>
    <t>Prise en charge de connecteurs pour envoi vers PDP (démat facture 2026​) -  préciser les prestataires</t>
  </si>
  <si>
    <t>Couvert par SAP DRC</t>
  </si>
  <si>
    <t>Proforma et pré-facture – édition​</t>
  </si>
  <si>
    <t>Possibilité d’éditer des proforma :​
-  automatiquement, sous conditions et associées à un évènement,​
-  à la demande.</t>
  </si>
  <si>
    <t>Possibilité d’éditer manuellement une facture sur la base des informations de la commande (pour passage en douane notamment).​
-  Sans contournement du processus​</t>
  </si>
  <si>
    <t>Prise en charge de règles de regroupement pour proforma et pré- factures​</t>
  </si>
  <si>
    <t>Proforma et pré-facture – règles de valorisation pour articles spécifiques​</t>
  </si>
  <si>
    <t>Prise en charge de règles de valorisation spécifiques.​
-  Valorisation standard (idem facture classique).​
-  Cas des articles à prix nul : valorisation à l’équivalent prix de l’article standard correspondant, remisé à 100%.
- valorisation manuelle.</t>
  </si>
  <si>
    <t>Déclenchement / application multicritère de ces règles de valorisation.​</t>
  </si>
  <si>
    <t>Déclaration de passage en douane​</t>
  </si>
  <si>
    <t>Envoi vers les systèmes de partenaires tiers / externes (via interface) de toutes les données nécessaires aux passages en douane (issues du référentiel).​</t>
  </si>
  <si>
    <t>Possibilité d’appliquer des règles de valorisation spécifiques, notamment :
-  Valorisation standard (idem facture classique).​
-  Cas des articles à prix nul : valorisation à l’équivalent prix de l’article standard correspondant, remisé à 100%.​
- Valorisation manuelle.</t>
  </si>
  <si>
    <t>Credit check et blocage client​</t>
  </si>
  <si>
    <t>Possibilité de remonter au niveau du compte client « opérationnel » et des commandes, les factures impayées / créances (compte 411) pour prise en compte :​
-  dans le scoring, lors du calcul des allocations (cf « allocations »),​
-  en critère de blocage des allocations et des commandes (cf « allocations »),​
-  possibilité de définir des règles de blocage adaptées : commandes ciblées, commandes à partir d’une date, toutes commandes dont en cours…</t>
  </si>
  <si>
    <t>Facturation automatique stocks consignés / déportés​</t>
  </si>
  <si>
    <t>Intégration des rapports de vente liés aux stocks consignés chez le client.​
-  Création de commandes, facturables, sur la base des rapports de vente.​</t>
  </si>
  <si>
    <t>Traitement automatique des écarts de stock, à réception / retour des stocks consignés. ​</t>
  </si>
  <si>
    <t>Calcul automatique des mouvements à facturer – ventes et écarts de stocks – et envoi des données transactionnelles – objet, quantité, prix – à facturer.​</t>
  </si>
  <si>
    <t>Calcul automatique de commissionnement sur base chiffre d’affaires (calculé à partir des rapports de vente) et facturation dédié</t>
  </si>
  <si>
    <t>Valorisation des retours​</t>
  </si>
  <si>
    <t>Prise en charge de règles spécifiques et multicritères de valorisation des retours.​
-  Décote des produits retournés. ​
-  Workflow et règles spécifiques aux commandes contenant des packs, avec possibilité d’ajuster le prix de l’article retourné au prorata du prix du pack (ex : 3 t- shirts à 10 € / pièce vendus en pack à 25 €, soit un avoir client de 8,34 € pour un t- shirt retourné).</t>
  </si>
  <si>
    <t>Valorisation et facturation défectueux​</t>
  </si>
  <si>
    <t>Prise en charge de motifs de retour « défectueux » permettant d’appliquer :​
-  Des règles particulières d’entrée en stock et de valorisation stock​
-  Le calcul d’avoirs correspondants​</t>
  </si>
  <si>
    <t>Possibilité de gérer passage en « défectueux » post- entrée en stock (entrée en stock classique puis bascule en défectueux =&gt; peut déclencher avoir).​</t>
  </si>
  <si>
    <t>Régularisation des pré-commandes / commandes ouvertes / contrats​</t>
  </si>
  <si>
    <t xml:space="preserve">Possibilité d’identifier automatiquement les contrats / commandes ouvertes non- honorés en totalité (quantité du contrat initial &gt; somme des quantités commandées et défalquées de la commande ouverte) comme « commandes à facturer ». </t>
  </si>
  <si>
    <t>Transmettre automatiquement (selon un calendrier défini et des conditions contractuelles portées par le compte client) ou sur déclenchement manuel, l’envoi des données de commande en facturation.</t>
  </si>
  <si>
    <t>Remises et conditions commerciales​</t>
  </si>
  <si>
    <t>Gestion de conditions commerciales et conditions de remises à la commande et sur facture (cf master data).​</t>
  </si>
  <si>
    <t>Production d’états de reporting permettant de préparer ou contrôler la bonne application de ces remises : commandes clients, montants des factures et avoirs (pour calcul du CA), quantités cumulées par modèle, groupe, catégorie de produits…​</t>
  </si>
  <si>
    <t>Intercos</t>
  </si>
  <si>
    <t>Prise en charge automatique de règles d’intercos (transactions et mouvements concernés).​</t>
  </si>
  <si>
    <t>Envoi automatique des données transactionnelles et nécessaires à la facture vers SAP FICO.​</t>
  </si>
  <si>
    <t>Prise en charge de règles de valorisation spécifiques (pouvant varier d’une entité / d’un flux / d’un évènement à l‘autre).​</t>
  </si>
  <si>
    <t>PLV et produits non textiles​</t>
  </si>
  <si>
    <t>Prise en charge de conditions de prix unitaires / au client sur articles PLV et non textiles =&gt; gratuits ou non, possibilité de gratuité partielle (ex : premiers articles / première commande gratuite, articles / commandes complémentaires facturés).​</t>
  </si>
  <si>
    <t>Prestation d’abonnement mensuel (géré dans référentiel produit et grilles de prix Client), facturé automatiquement tous les mois.​
-  Produits PLV commandés dans le cadre de l’abonnement valorisés à 0.​
-  Prévoir des règles de valorisation de commande particulières sur produits hors abonnement.​</t>
  </si>
  <si>
    <t>Inventaires magasins​</t>
  </si>
  <si>
    <t>Prise en charge d’un calcul automatique de la pénalité pour « écart d’inventaire », à partir des écarts déclarés et de règles de valorisation spécifiques.​</t>
  </si>
  <si>
    <t>Le calcul des écarts d'inventaires se fait en standard.  L'application des pénalités est à développer.</t>
  </si>
  <si>
    <t>Provisions automatiques​</t>
  </si>
  <si>
    <t>Génération automatique des provisions comptables de vente, corrélées aux transactions et évènements opérationnels.​
-  Dont jalons / statut et évènements de de commande (ex : FAE générées à la validation de la commande).</t>
  </si>
  <si>
    <t>Purge automatique des montants provisionnés pour la commande, lors de la création et de l’envoi de la facture de vente au client. ​</t>
  </si>
  <si>
    <t>Déclaration d’Echange de Biens​</t>
  </si>
  <si>
    <t>Prise en charge d’une extraction / d’un reporting des transactions de vente formaté aux exigences de la DEB.​</t>
  </si>
  <si>
    <t>Achat</t>
  </si>
  <si>
    <t>Rapprochement facture et commande d’achat​</t>
  </si>
  <si>
    <t>Prise en charge de règles automatiques de rapprochement, dont seuil de tolérance (rapprochement et paiement automatiques si écart &lt;X% / X pièces / X €).​</t>
  </si>
  <si>
    <t>Possibilité de définir des seuils de rapprochement et de blocage (ex : seuil 1 = rapprochement et paiement automatiques, seuil 2 = rapprochement et paiement sur validation manuelle, seuil 3 = rejet…).​</t>
  </si>
  <si>
    <t>Prise en charge du rapprochement automatique de multiples commandes et factures : factures partielles (plusieurs factures par commande), regroupement de commandes (une facture pour X commandes).​</t>
  </si>
  <si>
    <t>Pénalités fournisseurs​</t>
  </si>
  <si>
    <t>Prise en charge de différents types de calculs de pénalités fournisseurs (dont remises sur prix d’achat).</t>
  </si>
  <si>
    <t>Prise en charge d’un workflow de demandes, saisie / rattachement à la commande, et comptabilisation d’avoir,  en lien avec CBS (portail fournisseur).​</t>
  </si>
  <si>
    <t>Possibilité d’ajouter / de gérer des pénalités fournisseurs directement sur une commande d’achat.​
-  Notamment des remises sur prix d’achat.</t>
  </si>
  <si>
    <t>Génération automatique des provisions comptables d’achat, corrélées aux transactions et évènements opérationnels.​
-  Dont jalons / statut et évènements de de commande (ex : FAR générées à la création / à l’expédition / à la remise au transitaire de la commande).​</t>
  </si>
  <si>
    <t>Purge automatique des montants provisionnés pour la commande, lors du rapprochement de la facture fournisseur et de la commande d’achat.​</t>
  </si>
  <si>
    <t>Etat de reporting “commandes et factures rapprochées”​</t>
  </si>
  <si>
    <t>Possibilité d’éditer un état des commandes et factures rapprochées (dont N°, détails et écarts éventuels), général ou ciblé.​</t>
  </si>
  <si>
    <t>Prise en charge d’une extraction / d’un reporting des transactions d’achat  formaté aux exigences de la DEB.​</t>
  </si>
  <si>
    <t>XI. Autres besoins</t>
  </si>
  <si>
    <t>Automatisation</t>
  </si>
  <si>
    <t>Processus</t>
  </si>
  <si>
    <t>Le système permet-il le paramétrage de processus automatisés, sur la base de conditions multiples ?</t>
  </si>
  <si>
    <t>OUI</t>
  </si>
  <si>
    <t>Compatibilité</t>
  </si>
  <si>
    <t>Réactivité / responsive design</t>
  </si>
  <si>
    <t>L'affichage est-il optimisé, sur desktop, pour les principaux navigateurs (Edge, Chrome, Firefox, Opera) ?</t>
  </si>
  <si>
    <t>L'affichage est-il compatible et optimisé pour mobile ?</t>
  </si>
  <si>
    <t>L'affichage est-il compatible et optimisé pour tablette ?</t>
  </si>
  <si>
    <t>Des limitations existent-elles sur certains terminaux ou navigateurs ?</t>
  </si>
  <si>
    <t>Il existe des limitations sur les versions d'OS disponibles de l'application SAP Fiori (Android 8.0)</t>
  </si>
  <si>
    <t>Application mobile</t>
  </si>
  <si>
    <t>Existe-t-il une application mobile ou PWA ?</t>
  </si>
  <si>
    <t>Des limitations existent-elles sur la version mobile ou PWA ?</t>
  </si>
  <si>
    <t>Il existe des limitations pour afficher des tuiles supportées sur le back-end SAP GUI (non Fiori) qui ne sont pas responsives</t>
  </si>
  <si>
    <t>Multi-entités et localisations</t>
  </si>
  <si>
    <t>Gestion multi-sociétés / muli-entités juridiques</t>
  </si>
  <si>
    <t>Le système permet-il la gestion de plusieurs entités juridiques dans une instance unique ?</t>
  </si>
  <si>
    <t>Une séparation des données entre entités (clients, fournisseurs, stocks, prix, reporting, etc) est-elle prise en charge ou paramétrable ?</t>
  </si>
  <si>
    <t>Les flux interco (commandes, transferts de stocks, etc.) sont-ils nativement et automatiquement supportés ?</t>
  </si>
  <si>
    <t>Gestion multi-marques</t>
  </si>
  <si>
    <t xml:space="preserve">Le système permet-il la gestion de données référentielles (articles, clients, conditions commerciales, catalogues et assortiments, etc.) propres à chaque marque ? </t>
  </si>
  <si>
    <t xml:space="preserve">Le système permet-il la gestion de paramètres et données transactionnelles (conditions logistiques, commandes d'achats, commandes de ventes, etc.) propres à chaque marque ? </t>
  </si>
  <si>
    <t>Le système permet-il la mutualisation de certaines ressources (stocks, fournisseurs, entrepôts, etc.) tout en conservant des règles spécifiques par marque ?</t>
  </si>
  <si>
    <t>Gestion multi-pays et multi-localisations</t>
  </si>
  <si>
    <t xml:space="preserve">Le système gère-t-il les spécificités fiscales, réglementaires et logistiques (TVA, DEB, douanes, etc) des principaux pays ? </t>
  </si>
  <si>
    <t xml:space="preserve">Le système gère-t-il nativement et automatiquement les calendriers (jours feriés, travaillés, ouvrés, ouvrables) des principaux pays ? </t>
  </si>
  <si>
    <t>Est-il possible de configurer des calendriers par pays ?</t>
  </si>
  <si>
    <t>Le système prend-il en charge les principales devises mondiales ?</t>
  </si>
  <si>
    <t>Le système prend-il spécifiquement en charge l'Euro (et les règles / taux de conversion avec les autres devises) ?</t>
  </si>
  <si>
    <t>Le système prend-il spécifiquement en charge l'US Dollar (et les règles / taux de conversion avec les autres devises) ?</t>
  </si>
  <si>
    <t>Le système prend-il spécifiquement en charge le Yuan chinois (et les règles / taux de conversion avec les autres devises) ?</t>
  </si>
  <si>
    <t>Le système prend-il spécifiquement en charge le Zloty polonais (et les règles / taux de conversion avec les autres devises) ?</t>
  </si>
  <si>
    <t>Le système est-il entièrement multilingue (y compris workflows, messages systèmes et rapports) ?</t>
  </si>
  <si>
    <t>Le système permet-il de gérer les données référentielles (libellés et valeurs de champs : articles, attributs, clients, descriptions, documents, etc.) en plusieurs langues et traductions ?</t>
  </si>
  <si>
    <t>Le paramétrage des langues est-il flexible (par utilisateur, entité, marque) ?</t>
  </si>
  <si>
    <t>Les formats locaux sont-ils pris en compte (date, nombre, décimales et milliers, adresses, téléphone, etc.) ?</t>
  </si>
  <si>
    <t>Pilotage et reporting</t>
  </si>
  <si>
    <t>Gestion des rapports</t>
  </si>
  <si>
    <t xml:space="preserve">La solution propose-t-elle une bibliothèque de rapports standards ? </t>
  </si>
  <si>
    <t>L'ajout de rapports pré-paramétrés ou pré-configurés par les utilisateurs est-il possible ?</t>
  </si>
  <si>
    <t>Le système est-il compatible avec Power BI ?</t>
  </si>
  <si>
    <t xml:space="preserve">Votre ERP est-il compatible avec Business Objects (BO) ? </t>
  </si>
  <si>
    <t>TOTAL développement</t>
  </si>
  <si>
    <t>Type de développement</t>
  </si>
  <si>
    <t>Niveau de complexité</t>
  </si>
  <si>
    <t>Total</t>
  </si>
  <si>
    <t>Enh / Exits / Badi</t>
  </si>
  <si>
    <t>APPLICATION</t>
  </si>
  <si>
    <t>ROLE</t>
  </si>
  <si>
    <t>PRINCIPALES DONNEES ENVOYEES PAR L'ERP</t>
  </si>
  <si>
    <t>PRINCIPALES DONNEES RECUES PAR L'ERP</t>
  </si>
  <si>
    <t>REPONSE SANS INTEGRATION SUITE</t>
  </si>
  <si>
    <t>REPONSE AVEC INTEGRATION SUITE</t>
  </si>
  <si>
    <t>ESTIMATION COUTS MISE EN ŒUVRE</t>
  </si>
  <si>
    <t>LIMITE DE VOLUME DE TRANSFERT O/N</t>
  </si>
  <si>
    <t>DETAIL DES  LIMITES DE TRANSFERT</t>
  </si>
  <si>
    <t>Planification des achats</t>
  </si>
  <si>
    <t>OPTIMATE</t>
  </si>
  <si>
    <t>Calcule les budgets d'achats à partir des budgets de ventes
Etablit les planning hebdomadaires d'achats</t>
  </si>
  <si>
    <t>-</t>
  </si>
  <si>
    <t>- Demandes d'achats (à la semaine)
     - par Modèle Coloris Taille
     - par client (Beaumanoir découpe ses commandes d'achat par canal et client)</t>
  </si>
  <si>
    <t>DEV. Interface spécifique à développer</t>
  </si>
  <si>
    <t>44J</t>
  </si>
  <si>
    <t>NON</t>
  </si>
  <si>
    <t>2 interfaces entrantes</t>
  </si>
  <si>
    <t>Développement des produits</t>
  </si>
  <si>
    <t>CENTRIX PLM</t>
  </si>
  <si>
    <t>Définit la liste des Articles et leurs données / attributs
Gère les assortiments (segmentation client et magasins)</t>
  </si>
  <si>
    <t>- Données articles  détaillées : codes, désignations, attributs</t>
  </si>
  <si>
    <t>CUS. Connecteur spécifique existant</t>
  </si>
  <si>
    <t>66J</t>
  </si>
  <si>
    <t>3 interfaces entrantes , accélérateurs delaware pour SAP Intégration Suite</t>
  </si>
  <si>
    <t>Portail fournisseurs et partenaires</t>
  </si>
  <si>
    <t>SAP SNC</t>
  </si>
  <si>
    <t>Met à jour les commandes d'achat (saisie fournisseurs via portail)
Transmet des données relatives aux commandes d'achat (messages transitaire, étiquettes au partenaire dédiée, etc.)</t>
  </si>
  <si>
    <t>- Données de commandes détaillées (à la ligne)
- Références articles et données essentielles (pour étiquettes composition)
- Données d'étiquettage retail (index et donnés tailles et prix)</t>
  </si>
  <si>
    <t>- Mise à jour de commandes d'achats</t>
  </si>
  <si>
    <t>70J</t>
  </si>
  <si>
    <t>3 interfaces sortantes
1 interface entrante</t>
  </si>
  <si>
    <t>Gestion d'entrepôts</t>
  </si>
  <si>
    <t>INCONSO WMS
MANHATTAN WMS
REFLEX WMS</t>
  </si>
  <si>
    <t>Pilote les opérations entrepôt (stocks, commandes) en lien avec l'ERP</t>
  </si>
  <si>
    <t>- Données articles détaillées
- Données de commandes d'achat détaillées
- Données de commandes de vente détaillées</t>
  </si>
  <si>
    <t>- Mouvements de stocks
- Mise à jour statuts de commandes de vente
- Mise à jour statuts de commandes d'achat</t>
  </si>
  <si>
    <t>361J</t>
  </si>
  <si>
    <t>9 interfaces sortantes
9 interfaces entrantes</t>
  </si>
  <si>
    <t>Calcul des optimums de stocks magasins</t>
  </si>
  <si>
    <t>SCOR-TEX</t>
  </si>
  <si>
    <t>Calcule les stocks magasin idéaux sur la base des données de ventes et de stocks
Peut calculer des propositions de réapprovisionnement à partir des données de ventes et d'écoulement et des stocks</t>
  </si>
  <si>
    <t>- Données de stocks centraux, par Modèle Coloris Taille</t>
  </si>
  <si>
    <t>- Réception des optimum de stocks magasins calculés par SCOR-TEX, au niveau MCT / magasin</t>
  </si>
  <si>
    <t>38J</t>
  </si>
  <si>
    <t>1 interface entrante
1 interface sortante</t>
  </si>
  <si>
    <t>Gestion des points de vente (POS)</t>
  </si>
  <si>
    <t>CEGID Y2</t>
  </si>
  <si>
    <t>Gère l'ensemble des opérations des magasins, dont émission des demandes de réassort, réception des commandes de réassort et stocks magasins  au détail</t>
  </si>
  <si>
    <t>- Données articles détaillées
- Données de prix détaillées
- Données d'opérations promotionnelles
- Données de commandes de vente détaillées (MEP et réassort)
- Messages et annonces logistiques (livraisons, retours)</t>
  </si>
  <si>
    <t>- Ventes magasins (consolidées)
- Valeurs des stocks magasins
- Demandes de réassort</t>
  </si>
  <si>
    <t>183J</t>
  </si>
  <si>
    <t>6 interfaces sortantes 
4 interfaces entrantes</t>
  </si>
  <si>
    <t>UNIVERS RETAIL</t>
  </si>
  <si>
    <t>Gère l'ensemble des opérations des magasins, dont réception des commandes de réassort et stocks magasins  au détail</t>
  </si>
  <si>
    <t>Relation client (CRM)</t>
  </si>
  <si>
    <t>ZOHO CRM</t>
  </si>
  <si>
    <t>Pilote la relation client et la passation des commandes wholesale et e-commerce (appuyé par Elastic Search)
Publie les catalogues clients
Gère certaines opérations promotionnelles</t>
  </si>
  <si>
    <t>- Organisation commerciale
- Données articles détaillées
- Données de prix détaillées (dont conditions de vente)
- Données d'opérations promotionnelles
- Données de commandes détaillées (B2B, e-commerce)
- Messages et annonces logistiques (livraisons, retours)</t>
  </si>
  <si>
    <t>- Données clients essentielles (référentielles)
- Détail des commandes de vente à créer
- Détail des demandes de retours à traiter</t>
  </si>
  <si>
    <t>178J</t>
  </si>
  <si>
    <t>7 interfaces sortantes
3 interfaces entrantes</t>
  </si>
  <si>
    <t>SALESFORCE CRM</t>
  </si>
  <si>
    <t>STD. Connecteur standard existant</t>
  </si>
  <si>
    <t>7 interfaces sortantes
3 interfaces entrantes
'Package SAP Integration Suite pour Salesforce.</t>
  </si>
  <si>
    <t>Commissionnement</t>
  </si>
  <si>
    <t>SAP VISTEX</t>
  </si>
  <si>
    <t>Calcule les factures de commission (force de vente partenaire)</t>
  </si>
  <si>
    <t>- Organisation commerciale
- Données clients essentielles (référentielles)
- Données essentielles de commandes de vente (chiffre d'affaires et données de calcul)</t>
  </si>
  <si>
    <t>- Détail des "commandes de commissionnement" à régler (par partenaire FDV)</t>
  </si>
  <si>
    <t>124J</t>
  </si>
  <si>
    <t>Connecteur standard de Vistex
5 flux sortantes et 2 entrants</t>
  </si>
  <si>
    <t>Finance et comptabilité</t>
  </si>
  <si>
    <t>SAP FICO</t>
  </si>
  <si>
    <t>Génère et enregistre les factures
Assure la gestion financière et comptable</t>
  </si>
  <si>
    <t>- Données clients / tiers à facturer détaillées
- Données spécifiques à la facturation : template à utiliser, mentions particulières, etc.
- Données d'éditique : template complet, valeurs de champs
- Conditions contractuelles et conditions de remise détaillées
- Données de commandes de ventes détaillées (articles et prestations, prix, devise)</t>
  </si>
  <si>
    <t>80J</t>
  </si>
  <si>
    <t xml:space="preserve">Connexion RFC avec paramétrage d'IDOC standard. 
Vérifier si un DEV est à prévoir sur les données d'editique.
5 interfaces sortantes </t>
  </si>
  <si>
    <t>* il s'agit ici de recenser les données essentielles et susceptibles de représenter la volumétrie la plus importante</t>
  </si>
  <si>
    <t>LISTE DES CRITERES NON FONCTIONNELS</t>
  </si>
  <si>
    <t>COMPLEMENTS</t>
  </si>
  <si>
    <t xml:space="preserve">Architecture </t>
  </si>
  <si>
    <t>Généralités</t>
  </si>
  <si>
    <t>Quels langages de programmation sont utilisés pour le développement de votre ERP?</t>
  </si>
  <si>
    <t>Cf compléments</t>
  </si>
  <si>
    <t>Le développement de SAP S/4HANA repose sur un ensemble de langages de programmation et de technologies adaptés à différents niveaux de la plateforme (backend, frontend, intégration, extensions). Voici les principaux :
1. ABAP (Advanced Business Application Programming)
Langage principal pour le développement backend dans SAP S/4HANA
Utilisé pour :
La logique métier
Les rapports
Les extensions personnalisées (via ABAP RESTful Application Programming Model)
ABAP est exécuté sur la SAP NetWeaver Application Server ou SAP BTP ABAP Environment
2. JavaScript / TypeScript
Utilisés côté frontend, notamment avec SAP Fiori (interface utilisateur moderne)
Développement d’applications avec SAPUI5 (framework basé sur JavaScript)
TypeScript est souvent utilisé dans les projets Fiori Elements ou CAP (Cloud Application Programming)
3. Java
Utilisé dans certains services de la SAP Business Technology Platform (BTP)
Présent dans les microservices, les intégrations, ou les extensions cloud
4. SQLScript
Langage de requête utilisé dans SAP HANA pour écrire des procédures stockées et des vues calculées
Optimisé pour le traitement in-memory
5. Node.js / Python (dans certains cas)
Utilisés pour des extensions cloud, des API, ou des intégrations personnalisées via SAP BTP
Pas natifs à SAP S/4HANA, mais compatibles via des environnements comme SAP Kyma ou SAP Cloud Foundry
🔧 Environnement de développement
Eclipse avec ABAP Development Tools (ADT) pour le backend
SAP Business Application Studio ou Visual Studio Code pour le frontend et les extensions cloud</t>
  </si>
  <si>
    <t xml:space="preserve">Quelles sont les bases de données actuellement supportées par votre ERP?  </t>
  </si>
  <si>
    <t>HANA</t>
  </si>
  <si>
    <t>SAP S/4HANA est conçu pour fonctionner exclusivement avec la base de données SAP HANA, qui est une base de données en mémoire (In-Memory) développée par SAP.</t>
  </si>
  <si>
    <t>Modularité</t>
  </si>
  <si>
    <t>Votre solution permet-elle des développements spécifiques ? Si oui, dans quel langage ?</t>
  </si>
  <si>
    <t>Oui, SAP S/4HANA permet des développements spécifiques, appelés aussi extensions ou custom developments, pour répondre aux besoins métiers particuliers d’une entreprise.
🧩 Types de développements spécifiques possibles
1. Développements dans le core (In-App)
Réalisés directement dans le système SAP S/4HANA
Utilisent le langage ABAP (Advanced Business Application Programming)
Exemples :
Ajout de champs personnalisés
Création de rapports spécifiques
Développement de modules fonctionnels sur mesure
2. Développements en dehors du core (Side-by-Side)
Réalisés sur la SAP Business Technology Platform (SAP BTP)
Permettent de ne pas impacter le cœur standard de S/4HANA
Utilisent des langages modernes comme :
JavaScript / TypeScript (via SAP Fiori / SAPUI5)
Java (pour les microservices)
Node.js ou Python (dans des environnements comme SAP Kyma ou Cloud Foundry)
SQLScript (pour les traitements dans SAP HANA)
🛠️ Outils de développement
Eclipse avec ABAP Development Tools (ADT) : pour le backend ABAP
SAP Business Application Studio : pour les applications Fiori, CAP, extensions cloud
SAP Web IDE (ancien, en voie de remplacement)</t>
  </si>
  <si>
    <t>Les domaines fonctionnels suivants sont-ils couverts par le socle principal, ou des modules / solutions annexes ?</t>
  </si>
  <si>
    <t xml:space="preserve">                    - Planning (amont)</t>
  </si>
  <si>
    <t>SOC. Socle central</t>
  </si>
  <si>
    <t>La fonctionnalité de planning amont est bien intégrée dans SAP S/4HANA, notamment via les modules PP/DS (Production Planning and Detailed Scheduling) et SAP Integrated Business Planning (IBP).
🧠 1. Planning amont dans SAP S/4HANA (PP/DS intégré)
Depuis les dernières versions, PP/DS est intégré nativement dans le cœur de SAP S/4HANA, ce qui permet :
De planifier la production en amont, en tenant compte des contraintes de capacité, de ressources et de disponibilité des composants.
D’utiliser des outils comme :
Le detailed scheduling planning board (planification graphique).
Le product planning table.
Des heuristiques standard et des optimisations automatiques pour ajuster les séquences de production 1.
🔄 2. Synchronisation avec la planification globale
SAP S/4HANA permet une planification intégrée entre les achats, la production, les ventes et la logistique.
Le planning amont est synchronisé avec :
Les prévisions de demande.
Les contraintes de production.
Les engagements clients (ATP – Available to Promise).
🌐 3. Extension avec SAP IBP (optionnel)
Pour des scénarios plus complexes ou multi-sites :
SAP Integrated Business Planning (IBP) peut être utilisé en complément.
Il permet une planification stratégique et tactique (S&amp;OP, planification de la demande, planification des approvisionnements).
Intégration fluide avec S/4HANA via des connecteurs standards 2.
✅ En résumé :  SAP S/4HANA intègre nativement des fonctionnalités de planning amont, via PP/DS, avec des capacités avancées de planification, d’optimisation et de synchronisation des processus industriels.</t>
  </si>
  <si>
    <t xml:space="preserve">                    - Gestion des achats</t>
  </si>
  <si>
    <t>a gestion des achats est entièrement intégrée dans SAP S/4HANA. Elle fait partie du module central de gestion des approvisionnements, appelé SAP S/4HANA Sourcing and Procurement.
🛒 Fonctionnalités principales de la gestion des achats dans SAP S/4HANA
✅ 1. Gestion des fournisseurs
Création et gestion des fiches fournisseurs.
Évaluation des performances fournisseurs.
Intégration avec des portails fournisseurs (ex. : SAP Ariba).
✅ 2. Demandes et commandes d’achat
Création de demandes d’achat (DA) manuelles ou automatiques.
Transformation en commandes d’achat.
Suivi des confirmations, livraisons et factures.
✅ 3. Contrats et accords-cadres
Gestion des contrats d’achat à long terme.
Suivi des consommations et des engagements.
✅ 4. Intégration logistique et financière
Intégration avec :
La gestion des stocks (réceptions, mouvements).
La comptabilité fournisseurs (facturation, paiements).
Le contrôle budgétaire.
✅ 5. Analyse et pilotage
Tableaux de bord Fiori pour :
Suivre les dépenses.
Identifier les fournisseurs critiques.
Optimiser les délais et les coûts.
🧠 Extensions possibles
SAP Ariba : pour la gestion collaborative des achats (sourcing, appels d’offres, catalogues).
SAP Fieldglass : pour les achats de prestations externes.
SAP Central Procurement : pour centraliser les achats dans des environnements multi-ERP.</t>
  </si>
  <si>
    <t xml:space="preserve">                    - Portail fournisseur (avec workflow intégré)</t>
  </si>
  <si>
    <t>MOD. Module complémentaire (MDD partagé avec socle principal)</t>
  </si>
  <si>
    <t>Le portail fournisseur n’est pas directement intégré au cœur de SAP S/4HANA, mais il peut être étroitement connecté à l’ERP via des solutions complémentaires de l’écosystème SAP, notamment :
🔗 1. SAP Ariba – Portail fournisseur principal
SAP Ariba est la solution dédiée de SAP pour la gestion des fournisseurs, des appels d’offres, des contrats et des commandes.
Elle est intégrée nativement avec SAP S/4HANA, notamment via des connecteurs standards.
Elle permet aux fournisseurs de :
Répondre à des appels d’offres.
Gérer les commandes et les factures.
Suivre les paiements et les litiges.
🧩 2. Intégration avec SAP S/4HANA
Dans SAP S/4HANA, les modules Achats (MM) et Gestion des fournisseurs permettent de gérer les données fournisseurs, les commandes, les réceptions et les paiements.
Le portail fournisseur (via Ariba ou autre) s’appuie sur ces modules pour afficher les données en temps réel.
L’intégration est facilitée par des API standardisées et des interfaces Fiori.
🛠️ 3. Alternatives personnalisées
Il est aussi possible de créer un portail fournisseur personnalisé directement connecté à SAP S/4HANA via :
SAP Fiori apps.
SAP Business Technology Platform (BTP).
SAP Integration Suite.
✅ En résumé :
Le portail fournisseur n’est pas dans le cœur natif de SAP S/4HANA, mais il est pleinement intégré via SAP Ariba ou des solutions personnalisées, avec une synchronisation en temps réel des données ERP.</t>
  </si>
  <si>
    <t xml:space="preserve">                    - Gestion des stocks</t>
  </si>
  <si>
    <t>Oui, la gestion des stocks est bien intégrée dans SAP S/4HANA. Elle fait partie du module SAP Materials Management (MM), plus précisément dans la composante Inventory Management (IM).
📦 Fonctionnalités principales de la gestion des stocks dans SAP S/4HANA
✅ 1. Suivi des mouvements de stock
Entrées et sorties de marchandises (réceptions, livraisons, transferts internes).
Mouvements automatiques liés aux commandes d’achat, de production ou de vente.
Gestion des types de mouvements (101, 201, 301, etc.).
✅ 2. Gestion multi-emplacements
Suivi des stocks par :
Site (plant),
Magasin (storage location),
Lot, numéro de série, unité de manutention.
✅ 3. Inventaire physique
Planification et exécution des comptages d’inventaire.
Ajustements automatiques des écarts.
Historique et traçabilité des écarts.
✅ 4. Intégration avec d'autres modules
Achats : réception de marchandises.
Ventes : sorties de stock.
Production : consommation de composants.
Finance : valorisation des stocks en temps réel.
✅ 5. Gestion des stocks spéciaux
Stocks consignés, en transit, bloqués, en sous-traitance, etc.
🧠 Extensions possibles
SAP Extended Warehouse Management (EWM) : pour une gestion avancée des entrepôts.
SAP Fiori apps : pour une gestion moderne et mobile des stocks</t>
  </si>
  <si>
    <t xml:space="preserve">                    - Gestion des ventes </t>
  </si>
  <si>
    <t>La gestion des ventes est intégrée dans SAP S/4HANA, via le module Sales and Distribution (SD), qui fait partie du cœur fonctionnel de l’ERP.
🛍️ Fonctionnalités principales de la gestion des ventes dans SAP S/4HANA
✅ 1. Gestion du cycle de vente complet
Création de devis, commandes clients, livraisons, factures.
Suivi des conditions commerciales (remises, frais, taxes).
Gestion des retours et avoirs.
✅ 2. Intégration logistique et financière
Coordination avec :
La gestion des stocks pour les livraisons.
La comptabilité clients pour la facturation et les paiements.
La planification de la production pour les produits fabriqués à la commande.
✅ 3. Disponibilité produit et promesse client (ATP)
Fonction Available-to-Promise (ATP) pour vérifier la disponibilité des produits en temps réel.
Planification des livraisons selon les capacités logistiques.
✅ 4. Analyse des ventes
Tableaux de bord Fiori pour :
Suivre les performances commerciales.
Analyser les marges, volumes, délais.
Identifier les clients et produits stratégiques.
✅ 5. Gestion des contrats et abonnements
Contrats-cadres, commandes périodiques.
Intégration possible avec SAP Subscription Billing pour les modèles récurrents.
🧠 Extensions possibles
SAP Customer Experience (CX) : pour CRM, e-commerce, marketing.
SAP CPQ : pour la configuration de produits complexes.
SAP Commerce Cloud : pour les ventes en ligne.</t>
  </si>
  <si>
    <t xml:space="preserve">                    - Transport </t>
  </si>
  <si>
    <t>La gestion du transport est bien prise en charge dans SAP S/4HANA, mais elle dépend du niveau de complexité requis et du module utilisé.
🚚 1. Gestion de base du transport dans SAP S/4HANA (core ERP)
SAP S/4HANA intègre des fonctionnalités de logistique de transport dans les modules suivants :
Sales and Distribution (SD) : pour la planification des livraisons, la création de documents de transport, la gestion des expéditions.
Materials Management (MM) : pour les mouvements de marchandises liés aux achats et transferts.
Warehouse Management (WM) ou Stock Room Management : pour la coordination des mouvements internes.
Ces fonctions couvrent :
La création de livraisons.
L’affectation de transporteurs.
Le suivi des expéditions.
La gestion des coûts de transport (via conditions de prix).
🚛 2. SAP Transportation Management (SAP TM)
Pour des besoins plus avancés, SAP propose SAP Transportation Management, qui peut être :
Intégré nativement dans SAP S/4HANA (Embedded TM).
Ou utilisé comme solution autonome (side-car).
SAP TM permet :
La planification optimisée des transports (multi-modal, multi-étapes).
La gestion des transporteurs et des contrats.
Le suivi en temps réel des expéditions.
La facturation du fret et la gestion des litiges.
🧩 3. Intégration avec d'autres modules
SAP TM s’intègre avec :
SAP EWM (gestion d’entrepôt avancée).
SAP GTS (gestion du commerce international).
SAP Event Management (suivi des événements logistiques).
✅ En résumé :  SAP S/4HANA prend en charge la gestion du transport, soit via des fonctions de base intégrées, soit via SAP Transportation Management pour des processus logistiques complexes.</t>
  </si>
  <si>
    <t xml:space="preserve">                    - Portail / communication prestataires transport (avec workflow intégré)</t>
  </si>
  <si>
    <t>Oui, SAP S/4HANA peut couvrir la communication avec les prestataires de transport via un portail, avec des workflows intégrés, mais cela dépend de la solution utilisée et de son niveau d’intégration.
🚚 1. SAP S/4HANA avec SAP Transportation Management (SAP TM)
SAP TM, intégré à SAP S/4HANA (en version Embedded TM), permet :
La gestion complète des opérations de transport (planification, exécution, suivi).
L’intégration avec les prestataires de transport via des interfaces EDI/API.
La gestion des workflows pour l’approbation, la validation des coûts de transport, ou la gestion des litiges.
🌐 2. Portail fournisseur / transporteur (via SAP Business Network ou Ariba Network)
SAP propose des portails collaboratifs pour les fournisseurs et transporteurs :
SAP Business Network for Logistics (anciennement Ariba Network Logistics).
Permet aux transporteurs de :
Recevoir des ordres de transport.
Confirmer les livraisons.
Suivre les expéditions.
Gérer les documents (CMR, factures, etc.).
Ces portails sont connectés à SAP S/4HANA et peuvent déclencher des workflows intégrés (ex. : validation de réception, approbation de facture).
🔄 3. Workflows intégrés dans SAP S/4HANA
SAP S/4HANA propose des workflows flexibles (via Fiori) pour :
La gestion des commandes de transport.
L’approbation des coûts logistiques.
La validation des prestations de transport.
Ces workflows peuvent être personnalisés et transportés entre environnements (DEV → QAS → PROD) via l’outil Adaptation Transport Organizer (ATO) 1.
✅ En résumé : SAP S/4HANA permet la gestion des prestataires de transport via un portail connecté, avec des workflows intégrés, notamment grâce à SAP TM et SAP Business Network for Logistics</t>
  </si>
  <si>
    <t xml:space="preserve">                    - ADV</t>
  </si>
  <si>
    <t>Oui, SAP peut tout à fait gérer l’ADV (Administration Des Ventes). Dans SAP, cette fonction est généralement couverte par le module SD (Sales and Distribution).
Voici ce que le module SD permet de gérer pour l’ADV :
📦 Fonctions principales de l’ADV dans SAP SD :
Gestion des devis et commandes clients : création, modification, suivi.
Disponibilité des produits (ATP) : vérification des stocks en temps réel.
Livraisons : préparation, expédition, gestion des bons de livraison.
Facturation : génération automatique des factures à partir des livraisons.
Suivi des paiements : en lien avec le module FI (Finance).
Gestion des retours : retours produits, avoirs, etc.
Reporting : tableaux de bord, analyses des ventes, délais, etc.
🔗 Intégration avec d'autres modules :
MM (Materials Management) : pour la gestion des stocks.
FI (Financial Accounting) : pour la facturation et le suivi des paiements.
CO (Contrôle de gestion) : pour l’analyse de la rentabilité.
CRM : pour la gestion de la relation client</t>
  </si>
  <si>
    <t>Sécurité et conformité</t>
  </si>
  <si>
    <t>Sécurité</t>
  </si>
  <si>
    <t>La localisation des serveurs est elle en France ?</t>
  </si>
  <si>
    <t>Dépend de l'hyperscaler</t>
  </si>
  <si>
    <t>Possibilité de gérer des accès basés sur les rôles (Role-Based Access Control)</t>
  </si>
  <si>
    <t>Oui, SAP S/4HANA prend en charge la gestion des accès basée sur les rôles, via un mécanisme appelé Role-Based Access Control (RBAC). C’est un pilier fondamental de la sécurité dans les environnements SAP.
🔐 Fonctionnement du RBAC dans SAP S/4HANA
1. Objets de sécurité clés
Rôles (Roles) : regroupent des autorisations liées à des tâches ou fonctions spécifiques (ex. : comptable, acheteur, RH)
Profils d’autorisations (Authorization Profiles) : définissent les droits d’accès à des objets SAP (transactions, vues, champs)
Utilisateurs (Users) : se voient attribuer un ou plusieurs rôles
2. Types de rôles
Rôles SAP standard : fournis par SAP pour les fonctions classiques (FI, MM, SD, etc.)
Rôles personnalisés : créés par les administrateurs pour répondre aux besoins spécifiques de l’entreprise
3. Outils utilisés
PFCG (Profile Generator) : outil principal pour créer et gérer les rôles et autorisations
SU01 : gestion des utilisateurs
SUIM : rapports sur les autorisations
SAP Fiori Launchpad : permet de gérer les accès aux applications Fiori via des catalogues et groupes liés aux rôles
✅ Exemples d’usage
Un responsable achats peut avoir accès uniquement aux transactions de commande (ME21N, ME22N)
Un utilisateur Fiori peut voir uniquement les tuiles correspondant à ses rôles (ex. : "Créer une commande", "Consulter les fournisseurs")</t>
  </si>
  <si>
    <t>Possibilité de gérer le MFA (Multi-Factor Authentication)</t>
  </si>
  <si>
    <t>Oui, SAP S/4HANA prend en charge l’authentification multifacteur (MFA), notamment dans les environnements cloud et hybrides, via des intégrations avec des solutions d’identité et de sécurité.
🔐 Fonctionnalités MFA dans SAP S/4HANA
✅ 1. Intégration avec SAP Identity Authentication Service (IAS)
SAP IAS permet de configurer :
MFA native (via application mobile, SMS, email, etc.)
Authentification unique (SSO) avec MFA en amont
Compatible avec SAP S/4HANA Cloud et SAP Fiori Launchpad
✅ 2. Intégration avec des fournisseurs tiers (IdP)
SAP peut être intégré avec des solutions comme :
Microsoft Entra ID (ex-Azure AD)
Okta
Ping Identity
Google Workspace
Ces fournisseurs peuvent imposer une MFA centralisée pour tous les accès SAP
✅ 3. Support via SAP Business Technology Platform (BTP)
Pour les extensions ou applications connectées à S/4HANA via BTP, la MFA peut être activée au niveau de la gestion des identités cloud
🛠️ Exemples de méthodes MFA supportées
Application mobile (TOTP)
SMS ou email avec code à usage unique
Clé de sécurité (FIDO2, YubiKey)
Authentification biométrique (via IdP)</t>
  </si>
  <si>
    <t>Le système permet-il de gérer l’approbation des demandes d’accès (workflows d’approbation pour la création ou modification de rôles) ?</t>
  </si>
  <si>
    <t>Oui, SAP permet de gérer les workflows d’approbation pour les demandes d’accès, y compris la création ou la modification de rôles, via plusieurs modules et outils intégrés :
1. SAP GRC Access Control
Le module SAP GRC (Governance, Risk, and Compliance), en particulier Access Control, est conçu pour :
Gérer les demandes d’accès utilisateurs.
Définir des workflows d’approbation personnalisés.
Automatiser les contrôles de séparation des tâches (SoD).
Suivre et auditer les modifications de rôles et d’autorisations 1.
2. Workflows d’approbation dans SAP
SAP propose des outils pour créer et modifier des procédures d’approbation :
Utilisation d’un éditeur graphique pour concevoir des workflows complexes (approbateurs en série ou parallèles).
Possibilité de définir des approbateurs ou réviseurs directement dans les tâches.
Intégration avec des règles de gestion pour déclencher des approbations conditionnelles (ex. : selon le niveau de risque ou le type de rôle demandé) 2.
3. SAP Business Technology Platform (BTP) – Workflow Management
Pour des besoins plus avancés ou personnalisés, SAP BTP permet de :
Créer des workflows entièrement digitalisés.
Intégrer des règles métiers complexes.
Suivre l’état des demandes en temps réel</t>
  </si>
  <si>
    <t>Des mécanismes existent-ils pour revoir et actualiser régulièrement les autorisations d’accès ?</t>
  </si>
  <si>
    <t>Voici les principaux mécanismes :
🔁 1. Revue des accès (Access Review) via SAP GRC Access Control
Le module Access Risk Analysis (ARA) et Access Request Management (ARM) de SAP GRC permet de :
Planifier des campagnes de revue des accès (périodiques ou ad hoc).
Impliquer les managers ou propriétaires d’applications pour valider ou révoquer les accès.
Générer des rapports d’audit sur les décisions prises.
Automatiser les rappels et escalades en cas de non-réponse.
🧩 2. Segregation of Duties (SoD) et analyse des risques
SAP GRC permet aussi de :
Détecter les conflits d’autorisations (SoD).
Proposer des mesures correctives ou des compensations.
Mettre à jour les rôles pour éviter les risques futurs.
📅 3. Expiration automatique des autorisations
Il est possible de configurer :
Des dates d’expiration pour certains rôles ou accès temporaires.
Des workflows de renouvellement si l’accès est encore nécessaire.
🛠️ 4. SAP Identity Management (IdM)
SAP IdM permet :
Une gestion centralisée du cycle de vie des identités.
Des revues périodiques automatisées des rôles et autorisations.
L’intégration avec des systèmes externes pour synchroniser les accès</t>
  </si>
  <si>
    <t>Possibilité de chiffrement des données critiques</t>
  </si>
  <si>
    <t>Oui, SAP propose plusieurs mécanismes de chiffrement pour protéger les données critiques, que ce soit au repos, en transit ou dans les bases de données. Voici un aperçu des principales options disponibles :
🔐 1. Chiffrement des données au repos (Data at Rest)
SAP prend en charge :
SAP NetWeaver Secure Store and Forward (SSF) : pour chiffrer les fichiers sensibles.
SAP HANA Native Encryption :
Chiffrement des volumes de données et de journaux avec AES-256.
Gestion des clés via SAP HANA Secure Store ou SAP Data Custodian.
SAP ASE (Adaptive Server Enterprise) et SAP MaxDB offrent également des options de chiffrement natif.
🔄 2. Chiffrement des données en transit (Data in Transit)
Utilisation de TLS/SSL pour sécuriser les communications entre :
Clients SAP GUI et serveurs SAP.
SAP Gateway, SAP Web Dispatcher, SAP Fiori, etc.
Prise en charge de SAML 2.0, OAuth 2.0, et OpenID Connect pour l’authentification sécurisée.
🧩 3. SAP Data Custodian
Un service cloud de SAP pour :
Gérer les clés de chiffrement (Key Management Service).
Appliquer des politiques de souveraineté des données.
Fournir une traçabilité complète des accès et des opérations sur les données.
🛡️ 4. Intégration avec des solutions tierces
SAP peut s’intégrer avec :
HSM (Hardware Security Modules) pour la gestion sécurisée des clés.
Solutions de chiffrement d’entreprise comme Thales, Vormetric, ou Microsoft Azure Key Vault.</t>
  </si>
  <si>
    <t>Possibilité de duplication des données</t>
  </si>
  <si>
    <t>Oui, SAP permet la duplication des données, mais cela dépend du contexte fonctionnel et des outils utilisés. Voici les principales options disponibles :
📄 1. Duplication de données dans SAP ERP / S/4HANA
SAP permet de dupliquer des objets métiers (clients, fournisseurs, articles, etc.) via :
Fonctions de copie standard dans les transactions (ex. : copier une fiche article ou un rôle).
LTMC (Legacy Transfer Migration Cockpit) ou SAP Data Services pour migrer ou dupliquer des ensembles de données.
BDC (Batch Data Communication) ou LSMW (Legacy System Migration Workbench) pour automatiser la duplication de données en masse.
🧰 2. SAP Data Intelligence / SAP BTP
Pour des scénarios plus complexes :
SAP Data Intelligence permet de créer des pipelines de duplication, transformation et transfert de données entre systèmes SAP et non-SAP.
SAP BTP (Business Technology Platform) permet de répliquer des données via des services comme SAP HANA Smart Data Integration ou Smart Data Access.
🔄 3. SAP Landscape Transformation (SLT)
SLT permet :
La réplication en temps réel de données entre systèmes SAP (ou vers des bases HANA).
La duplication de tables entières ou de sous-ensembles filtrés.
L’intégration avec des outils d’analyse ou de reporting.
☁️ 4. SAP Cloud Integration / CPI
Dans un environnement cloud, SAP Cloud Platform Integration permet :
La duplication ou synchronisation de données entre applications cloud (ex. : SAP SuccessFactors, Ariba, etc.).
L’orchestration de flux de données avec transformation à la volée.</t>
  </si>
  <si>
    <t>Le système conserve-t-il un journal des accès utilisateur (logs de connexion et actions critiques) ?</t>
  </si>
  <si>
    <t>Oui, SAP conserve un journal des accès utilisateur, y compris les connexions et les actions critiques, grâce à plusieurs mécanismes intégrés. Voici les principaux composants :
📘 1. Security Audit Log (SAL)
Le Security Audit Log est l’outil principal pour tracer :
Les connexions et déconnexions des utilisateurs.
Les échecs d’authentification.
Les modifications critiques (rôles, profils, mots de passe, etc.).
Les accès aux transactions sensibles.
🔧 Il est configurable pour :
Définir les événements à tracer.
Choisir les utilisateurs ou groupes à surveiller.
Exporter les logs pour audit ou analyse.
🧾 2. Change Documents (CDHDR/CDPOS)
SAP enregistre les modifications de données (clients, fournisseurs, rôles, etc.) dans des tables de documents de modification, notamment :
CDHDR : en-tête du changement (qui, quand, quoi).
CDPOS : détails du changement (ancienne et nouvelle valeur).
🧠 3. SAP GRC Audit Management
Pour les environnements réglementés, SAP GRC permet :
De centraliser les logs d’audit.
De générer des rapports sur les accès et les actions critiques.
D’automatiser les alertes en cas d’activité suspecte.
☁️ 4. SAP Cloud Identity Services &amp; SAP BTP Audit Logs
Dans les environnements cloud :
SAP Cloud Identity Authentication trace les connexions, tentatives échouées, MFA, etc.
SAP BTP fournit des Audit Logs pour toutes les applications et services utilisés</t>
  </si>
  <si>
    <t>L’audit trail est-il consultable via une interface utilisateur ou exportable à des fins d’audit ?</t>
  </si>
  <si>
    <t>Oui, l’audit trail dans SAP est consultable via une interface utilisateur et exportable à des fins d’audit, selon les outils utilisés. Voici comment cela fonctionne :
🖥️ 1. Consultation via interface utilisateur
🔹 Security Audit Log (SAL)
Accessible via la transaction SM20 (consultation des logs) et SM19 (configuration).
Permet de filtrer par :
Utilisateur
Type d’événement (connexion, modification, échec, etc.)
Date/heure
Système cible
Interface conviviale avec affichage des événements sous forme de liste.
🔹 Change Documents
Consultables via des transactions spécifiques selon l’objet (ex. : SUIM pour les rôles, XD03 pour les clients).
Affichage des anciennes et nouvelles valeurs, avec date et utilisateur.
🔹 SAP GRC Access Control
Interface web (NWBC ou Fiori) pour :
Visualiser les logs d’accès.
Suivre les workflows d’approbation.
Générer des rapports d’audit.
📤 2. Exportation des logs
🔸 Formats disponibles :
CSV, TXT, PDF selon le module.
Export possible depuis :
SM20 (via bouton d’export)
SAP GRC (rapports personnalisés ou standard)
SAP Solution Manager (via EWA ou Root Cause Analysis)
🔸 Automatisation possible :
Planification de rapports périodiques.
Intégration avec des outils SIEM (ex. : Splunk, QRadar) via SAP Enterprise Threat Detection ou SAP BTP Audit Log Service.</t>
  </si>
  <si>
    <t>Est-il possible d’identifier précisément l’utilisateur, la date et l’heure de chaque action critique ?</t>
  </si>
  <si>
    <t>🔍 1. Security Audit Log (SAL)
Chaque événement enregistré contient :
Nom d’utilisateur
Horodatage précis (date et heure)
Type d’action (connexion, modification, accès à une transaction sensible)
Adresse IP ou terminal (si configuré)
Exemple d’événement :
User: JDOE | Date: 08.07.2025 | Time: 14:32:10 | Action: SU01 - Modification de rôle
🧾 2. Change Documents (CDHDR/CDPOS)
Pour les objets métiers (clients, fournisseurs, rôles, etc.), chaque modification est enregistrée avec :
Utilisateur ayant effectué l’action
Date et heure
Ancienne et nouvelle valeur
Type d’opération (création, modification, suppression)
🛡️ 3. SAP GRC Access Control
Les workflows d’approbation et les demandes d’accès incluent :
Trace complète des étapes (demande, approbation, provisionnement)
Identité des intervenants
Horodatage de chaque étape
Rapports disponibles pour audit interne ou externe.
☁️ 4. SAP BTP Audit Logs / Cloud Identity Services
Dans les environnements cloud :
Chaque action est loggée avec identifiant utilisateur, timestamp, application concernée, et résultat (succès/échec).
Export possible vers des outils d’analyse ou SIEM.</t>
  </si>
  <si>
    <t>Disposez-vous d’une politique formelle de gestion des incidents de sécurité ?</t>
  </si>
  <si>
    <t>Conformité</t>
  </si>
  <si>
    <t>La solution est elle en conformité avec la RGPD?</t>
  </si>
  <si>
    <t>SAP S/4HANA est conçu pour être conforme au Règlement Général sur la Protection des Données (RGPD), mais cette conformité dépend aussi de la manière dont l’entreprise configure et utilise la solution.
Voici les éléments clés :
✅ 1. Conformité intégrée dans SAP S/4HANA
SAP a intégré dans S/4HANA plusieurs fonctionnalités pour répondre aux exigences du RGPD :
Gestion du cycle de vie des données personnelles : suppression, anonymisation, archivage.
SAP Information Lifecycle Management (ILM) : permet de définir des règles de conservation et de suppression des données personnelles.
Contrôle d’accès et traçabilité : journalisation des accès, gestion des autorisations, séparation des tâches.
Fonctionnalités de blocage et de destruction des données : pour répondre aux demandes de suppression ou de limitation du traitement 1.
🛡️ 2. Engagement de SAP en matière de protection des données
SAP a mis en place un Data Protection Management System (DPMS) conforme aux standards internationaux, et applique les principes de "privacy by design" et "by default" dans ses produits 2.
SAP a également :
Adhéré au EU Cloud Code of Conduct, approuvé par le Comité européen de la protection des données.
Intégré les clauses contractuelles types de la Commission européenne pour les transferts de données hors UE.
⚠️ 3. Responsabilité partagée
Même si SAP fournit les outils, la conformité RGPD dépend aussi de l’entreprise utilisatrice, notamment pour :
Configurer correctement les règles de conservation.
Répondre aux demandes d’accès ou de suppression des données.
Former les utilisateurs et documenter les traitements.</t>
  </si>
  <si>
    <t>L'hébergement des données est il en Europe?</t>
  </si>
  <si>
    <t>Ce point est traité par les hyperscaler</t>
  </si>
  <si>
    <t>Votre solution ERP est-elle certifiée selon la norme ISO/IEC 27001</t>
  </si>
  <si>
    <t>Oui, SAP S/4HANA est certifié conforme à la norme ISO/IEC 27001, qui est la norme internationale de référence pour les systèmes de management de la sécurité de l'information (ISMS).
🔐 Ce que cela signifie concrètement :
SAP applique une approche systématique et documentée pour gérer les risques liés à la sécurité de l'information.
La certification couvre :
La confidentialité, intégrité et disponibilité des données.
La gestion des accès, la surveillance, et la réponse aux incidents.
Des contrôles techniques et organisationnels pour protéger les données clients.
📄 SAP Trust Center
SAP publie ses certifications, y compris ISO/IEC 27001, sur son Trust Center officiel 1. On y trouve également :
ISO/IEC 27017 (sécurité dans le cloud)
ISO/IEC 27018 (protection des données personnelles dans le cloud)
SOC 1, SOC 2, et autres attestations de conformité
☁️ Important à noter :
La certification ISO/IEC 27001 s’applique à SAP en tant que fournisseur de services cloud (ex. : SAP S/4HANA Cloud).
Pour les déploiements on-premise, la conformité dépend aussi de l’organisation cliente, qui doit mettre en œuvre ses propres contrôles de sécurité.</t>
  </si>
  <si>
    <t>Disposez-vous d’un rapport SOC 1  pour votre solution ERP ?</t>
  </si>
  <si>
    <t>Oui, SAP dispose bien d’un rapport SOC 1 (ISAE 3402) pour SAP S/4HANA Cloud, notamment dans le cadre de l’offre RISE with SAP et SAP Enterprise Cloud Services.
📄 Détails du rapport SOC 1 pour SAP S/4HANA
Le rapport couvre :
SAP S/4HANA Cloud, Private Edition
SAP S/4HANA Cloud, Extended Edition
SAP HANA Enterprise Cloud
Il est conforme à la norme ISAE 3402, qui est l’équivalent international du SOC 1 Type II.
Il fournit des garanties sur les contrôles internes liés à la sécurité, la disponibilité et l’intégrité des données, en lien avec les états financiers des clients.
🔍 Où le trouver ?
Le rapport est disponible via le SAP Trust Center ou via le portail client SAP for Me, réservé aux clients SAP authentifiés 1.
📌 Important à noter :
Le rapport n’est pas public : il est accessible uniquement aux clients SAP ou sur demande via le support ou votre Customer Engagement Executive.
Il est mis à jour deux fois par an (H1 et H2).</t>
  </si>
  <si>
    <t>Disposez-vous d'un rapport SOC 2 pour votre solution ERP?</t>
  </si>
  <si>
    <t>Oui, SAP S/4HANA Cloud dispose d’un rapport SOC 2 Type 2, préparé par un auditeur indépendant, couvrant les principes de sécurité, disponibilité et confidentialité.
📄 Détails du rapport SOC 2 pour SAP S/4HANA
Le rapport est conforme à la norme AT-C Section 205 (AICPA) et à l’ISAE 3000.
Il couvre la période du 1er avril 2024 au 31 mars 2025.
Il s’applique aux services SAP Enterprise Management Cloud, y compris SAP S/4HANA Cloud dans le cadre de SAP Central Cloud Services.
Il évalue :
La description du système.
La conception et l’efficacité opérationnelle des contrôles internes.
Les critères de sécurité, disponibilité et confidentialité.
🔐 Accès au rapport
Le rapport est disponible pour tous les clients SAP (et prospects) sous accord de confidentialité (NDA).
Il peut être demandé via :
Le SAP Trust Center 1.
Votre Customer Success Partner ou Account Executive.
L’adresse email : CloudAudits@sap.com.</t>
  </si>
  <si>
    <t>Votre solution respecte-t-elle d'autres normes ou cadres de sécurité ?</t>
  </si>
  <si>
    <t>Oui, SAP S/4HANA respecte plusieurs normes et cadres de sécurité internationaux, en plus du RGPD, afin de garantir un haut niveau de protection des données et de conformité réglementaire. Voici les principaux :
✅ Normes et certifications de sécurité respectées par SAP S/4HANA
🔐 1. ISO/IEC 27001
Norme internationale pour les systèmes de management de la sécurité de l'information (ISMS).
SAP est certifié ISO/IEC 27001 pour ses services cloud, y compris SAP S/4HANA Cloud 1.
☁️ 2. ISO/IEC 27017 &amp; 27018
ISO 27017 : bonnes pratiques pour la sécurité dans le cloud.
ISO 27018 : protection des données personnelles dans les environnements cloud publics 1.
🔄 3. ISO 22301
Norme pour la gestion de la continuité d’activité, garantissant la résilience des services SAP face aux interruptions 1.
📋 4. BS 10012
Norme britannique pour la gestion des informations personnelles, complémentaire au RGPD 1.
🧠 Cadres de cybersécurité adoptés
🛡️ 5. NIST Cybersecurity Framework (CSF)
SAP a implémenté le cadre NIST CSF v1.1 pour structurer sa gestion des risques cyber et renforcer sa posture de sécurité dans le cloud 2.
Ce cadre est reconnu mondialement pour sa flexibilité et son adaptabilité aux environnements technologiques évolutifs.
📄 Autres attestations disponibles
SOC 1 Type II (ISAE 3402)
SOC 2 Type II (AT-C 205)
EU Cloud Code of Conduct (niveau 3, le plus élevé)
Conformité avec DORA (Digital Operational Resilience Act) et NIS2 (directive européenne sur la cybersécurité) 1</t>
  </si>
  <si>
    <t>Propriété des données</t>
  </si>
  <si>
    <t>L'utilisateur conserve-t-il la propriété légale exclusive de ses données ?</t>
  </si>
  <si>
    <t>Oui, dans SAP S/4HANA, l’utilisateur (le client de SAP) conserve la propriété légale exclusive de ses données.
⚖️ Voici ce que cela signifie concrètement :
✅ 1. Propriété des données
SAP agit en tant que sous-traitant au sens du RGPD.
Le client SAP (l’entreprise utilisatrice) reste le responsable du traitement et propriétaire légal des données.
Cela inclut toutes les données personnelles, commerciales, financières ou opérationnelles hébergées dans SAP S/4HANA.
🔐 2. Engagement contractuel de SAP
SAP s’engage contractuellement à :
Ne pas utiliser les données à d’autres fins que celles définies par le client.
Ne pas transférer les données à des tiers sans autorisation.
Fournir des outils pour l’accès, la rectification, la suppression et la portabilité des données 1.
🧰 3. Fonctionnalités RGPD intégrées
SAP S/4HANA intègre des outils pour garantir cette maîtrise :
Consent Management : gestion des consentements des personnes concernées.
Read Access Logging (RAL) : journalisation des accès aux données personnelles.
Information Retrieval Framework : extraction des données personnelles sur demande.
Suppression et anonymisation : suppression automatisée après la durée de conservation 1.
📌 En résumé :
Oui, vous conservez la pleine propriété de vos données dans SAP S/4HANA. SAP fournit l’infrastructure et les outils, mais vous contrôlez l’accès, l’usage et la durée de conservation.</t>
  </si>
  <si>
    <t>En cas de résiliation, garantissez-vous la restitution complète des données ?</t>
  </si>
  <si>
    <t>Oui, SAP S/4HANA Cloud garantit la restitution complète des données en cas de résiliation, mais cela se fait à l’initiative du client et via des outils spécifiques fournis par SAP.
📦 Restitution des données à la résiliation : ce que propose SAP
✅ 1. Outil dédié : Customer Data Return App
SAP met à disposition l’application Customer Data Return, qui permet aux clients de :
Extraire l’ensemble de leurs données métier (données de base, données transactionnelles).
Télécharger les données dans un format exploitable.
Cette application est conçue pour faciliter la migration vers un autre système ou la conservation des données après résiliation 1.
🔄 2. SAP S/4HANA Migration Cockpit
Peut être utilisé pour transférer les données extraites vers un autre environnement SAP ou non-SAP.
Permet de structurer les données selon les modèles cibles.
📋 Conditions à respecter
Le client doit initier la demande de restitution avant la fin du contrat.
SAP recommande de planifier cette extraction avec le support ou le gestionnaire de compte.
Les données sont restituées dans un format brut ou structuré, selon les outils utilisés (CDS Views, extracteurs, etc.).
⚠️ À noter
SAP ne conserve pas les données après la résiliation, sauf obligation légale ou contractuelle.
Il est de la responsabilité du client de sauvegarder les données extraites avant la suppression définitive.</t>
  </si>
  <si>
    <t>En cas de résiliation, garantissez-vous la suppression définitive des données de vos serveurs ?</t>
  </si>
  <si>
    <t>Oui, SAP S/4HANA garantit la suppression définitive des données des clients en cas de résiliation, conformément aux engagements contractuels et aux exigences réglementaires comme le RGPD.
🧹 Voici comment cela fonctionne :
✅ 1. Suppression via SAP Information Lifecycle Management (ILM)
SAP utilise ILM pour gérer la suppression des données selon des règles de conservation définies.
Une fois la période de conservation expirée (ou à la demande du client), les données sont :
Archivée temporairement (si nécessaire),
Puis supprimées définitivement de la base de données et des archives 1.
🔐 2. Suppression des données personnelles
SAP permet de bloquer puis supprimer les données personnelles lorsqu’elles ne sont plus nécessaires (ex. : après résiliation ou expiration des obligations légales).
Cela inclut les données de contrat, les données RH, les données clients, etc. 2.
📋 3. Engagement contractuel
SAP s’engage à ne pas conserver les données au-delà de la durée du contrat, sauf obligation légale.
Le client peut demander la confirmation écrite de la suppression.
La suppression est documentée et traçable.
⚠️ À noter :
Le client doit initier la demande de suppression ou s’assurer que les règles ILM sont bien configurées.
Dans certains cas (SAP S/4HANA Cloud Public Edition), la suppression peut être plus encadrée et nécessite une planification spécifique</t>
  </si>
  <si>
    <t>Est-il possible d'exporter les données à tout moment?</t>
  </si>
  <si>
    <t xml:space="preserve"> SAP S/4HANA permet aux clients d’exporter leurs données à tout moment, sous réserve de disposer des droits d’accès appropriés et des outils nécessaires.
📤 Fonctionnalités d’exportation disponibles
✅ 1. SAP HANA Cockpit (ou Migration Cockpit)
Accessible via l’interface Fiori.
Permet d’extraire les données de base et transactionnelles (clients, fournisseurs, commandes, factures, etc.).
Utilise des modèles de migration pour structurer les exports.
Adapté aux environnements Cloud Public, Cloud Privé et On-Premise 1.
✅ 2. Exportation manuelle ou automatisée
Les utilisateurs peuvent exporter des données via :
CDS Views (Core Data Services)
SAP Query / SQVI
Rapports standards avec export Excel/CSV
Possibilité de planifier des exports réguliers via des jobs de fond.
✅ 3. SAP Data Intelligence ou SAP BTP
Pour des besoins plus complexes (intégration avec d’autres systèmes, entrepôts de données, etc.).
Permet des exports automatisés, filtrés et transformés.
🔐 Conditions d’accès
L’exportation est soumise aux autorisations utilisateur.
Certaines données sensibles peuvent nécessiter des droits spécifiques ou des journaux d’accès (RAL).</t>
  </si>
  <si>
    <t>La récupération des données est elle possible de manière automatisée?</t>
  </si>
  <si>
    <t>Oui, la récupération des données dans SAP S/4HANA peut être automatisée, à condition d’utiliser les bons outils et d’avoir les autorisations nécessaires. Voici les principales options :
🔄 1. SAP APIs (OData / REST / SOAP)
SAP expose de nombreuses API standardisées pour accéder aux données en temps réel.
Ces API permettent d’automatiser :
L’extraction de données clients, fournisseurs, commandes, etc.
L’intégration avec des outils tiers (BI, CRM, entrepôts de données).
Utilisation possible avec des outils comme Postman, SAP API Business Hub, ou via des scripts personnalisés.
🧰 2. SAP Data Intelligence / SAP BTP Integration Suite
Permet de créer des pipelines automatisés pour extraire, transformer et charger (ETL) les données.
Intégration possible avec des systèmes non-SAP (Azure, AWS, Snowflake, etc.).
Planification des flux de données (quotidien, horaire, événementiel).
📦 3. SAP S/4HANA Migration Cockpit (en mode extraction)
Peut être utilisé pour automatiser l’export de données vers un autre système SAP ou non-SAP.
Fonctionne avec des modèles prédéfinis et peut être intégré dans des scripts.
📊 4. SAP BW/4HANA ou SAP Analytics Cloud
Pour les environnements analytiques, les données peuvent être extraites automatiquement via des requêtes planifiées ou des connecteurs directs.
🔐 Conditions
L’automatisation nécessite :
Des droits d’accès appropriés.
Une configuration sécurisée (authentification, journalisation).
Parfois, l’intervention de l’équipe technique SAP ou d’un intégrateur.</t>
  </si>
  <si>
    <t>L'intégralité des données peut-elles être exportée ?</t>
  </si>
  <si>
    <t>Oui, il est possible d’exporter l’intégralité des données dans SAP S/4HANA, mais cela dépend du type de déploiement (Cloud Public, Cloud Privé ou On-Premise) et des outils utilisés.
✅ Outils permettant l’exportation complète des données
1. Customer Data Return App
Permet aux clients de récupérer toutes leurs données métier (données de base, transactionnelles, etc.) en cas de résiliation ou à tout moment.
Données exportées dans un format structuré, lisible et réutilisable.
Disponible dans SAP S/4HANA Cloud Public Edition 1.
2. Customer Data Browser + CDS Views
Permet d’accéder à toutes les données visibles par le client, y compris via des Custom CDS Views (vues personnalisées).
Ces vues peuvent être utilisées pour extraire automatiquement des ensembles complets de données.
Compatible avec des outils d’intégration ou d’analyse externes 2.
3. SAP S/4HANA Migration Cockpit
Utilisé pour extraire ou charger des données dans ou depuis SAP S/4HANA.
Prend en charge des modèles de données complets (clients, fournisseurs, commandes, etc.).
Fonctionne aussi bien pour les migrations que pour les exports planifiés 2.
⚠️ Points d’attention
L’exportation complète nécessite :
Des droits d’accès étendus.
Une planification technique (surtout pour les très grands volumes).
Parfois, l’assistance de SAP ou d’un intégrateur.</t>
  </si>
  <si>
    <t>VOLUMES D'ACTIVITE</t>
  </si>
  <si>
    <t>COMMENTAIRES</t>
  </si>
  <si>
    <t>Volumes de données référentielles et transactionnelles</t>
  </si>
  <si>
    <t>En vous référant au fichier ANNEXE - Volumétrie, 
La solution peut-elle prendre en charge tous les volumes de données, de transactions et d'activité du Groupe Beaumanoir tels que décrits, sans dégradation des performances ?</t>
  </si>
  <si>
    <t>La solution peut-elle prendre gérer des traitements de reporting, import et export sur les volumes suivants, sans dégradation des performances ?</t>
  </si>
  <si>
    <t xml:space="preserve">                    - Références articles Modèles-Coloris : 30 000</t>
  </si>
  <si>
    <t xml:space="preserve">                    - Référence articles Modèle-Coloris-Taille : 260 000</t>
  </si>
  <si>
    <t xml:space="preserve">                    - Fournisseur actifs : 1 000</t>
  </si>
  <si>
    <t xml:space="preserve">                    - Clients WholeSale : 10 000</t>
  </si>
  <si>
    <t xml:space="preserve">                    - Dépôts logiques : 160</t>
  </si>
  <si>
    <t>Gestion des pics de charge</t>
  </si>
  <si>
    <t>La solution peut-elle prendre en charge des pics de charge tels qu'indiqués ci-dessous, sans dégradation des performances ?</t>
  </si>
  <si>
    <t xml:space="preserve">                    - Utilisateurs simultanés : 950</t>
  </si>
  <si>
    <t xml:space="preserve">                    - Commandes de vente créées en une journée : 400 000</t>
  </si>
  <si>
    <t xml:space="preserve">                    - Commandes d'achat créées en une journée : 11 000</t>
  </si>
  <si>
    <t>Volumes en entrée et sortie</t>
  </si>
  <si>
    <t>Indiquer ci-après les limites éventuelles, en nombre de lignes, pour le traitement d'un FICHIER PLAT  en import direct (sur un même fichier) :</t>
  </si>
  <si>
    <t xml:space="preserve">                    - Limites de lignes de traitement en entrée / import</t>
  </si>
  <si>
    <t xml:space="preserve">                    - Limites de lignes de traitement en sortie / export</t>
  </si>
  <si>
    <t>Indiquer ci-après les limites éventuelles, en nombre de lignes, pour le traitement de données via API (sur un même fichier / batch / traitement) :</t>
  </si>
  <si>
    <t>MONTEE EN CHARGE - SCENARIO 1</t>
  </si>
  <si>
    <t>Montée en charge : x3</t>
  </si>
  <si>
    <t>Etes-vous capable de gérer ce scénario (hypothétique) de montée en charge ?</t>
  </si>
  <si>
    <t xml:space="preserve">                    - Références articles Modèles-Coloris : 90 000</t>
  </si>
  <si>
    <t xml:space="preserve">                    - Référence articles Modèle-Coloris-Taille : 780 000</t>
  </si>
  <si>
    <t xml:space="preserve">                    - Fournisseur actifs : 3 000</t>
  </si>
  <si>
    <t xml:space="preserve">                    - Clients WholeSale : 30 000</t>
  </si>
  <si>
    <t xml:space="preserve">                    - Dépôts logiques : 480</t>
  </si>
  <si>
    <t xml:space="preserve">                    - Utilisateurs simultanés : 2 850</t>
  </si>
  <si>
    <t xml:space="preserve">                    - Commandes de vente créées en une journée : 1 200 000</t>
  </si>
  <si>
    <t xml:space="preserve">                    - Commandes d'achat créées en une journée : 33 000</t>
  </si>
  <si>
    <t>MONTEE EN CHARGE - SCENARIO 2</t>
  </si>
  <si>
    <t>Montée en charge : x10</t>
  </si>
  <si>
    <t xml:space="preserve">                    - Références articles Modèles-Coloris : 300 000</t>
  </si>
  <si>
    <t xml:space="preserve">                    - Référence articles Modèle-Coloris-Taille : 2 600 000</t>
  </si>
  <si>
    <t xml:space="preserve">                    - Fournisseur actifs : 10 000</t>
  </si>
  <si>
    <t xml:space="preserve">                    - Clients WholeSale : 100 000</t>
  </si>
  <si>
    <t xml:space="preserve">                    - Dépôts logiques : 1 600</t>
  </si>
  <si>
    <t xml:space="preserve">                    - Utilisateurs simultanés : 9 500</t>
  </si>
  <si>
    <t xml:space="preserve">                    - Commandes de vente créées en une journée : 4 000 000</t>
  </si>
  <si>
    <t xml:space="preserve">                    - Commandes d'achat créées en une journée : 110 000</t>
  </si>
  <si>
    <t>LISTE DES CRITERES SUPPORT &amp; DISPONIBILITE</t>
  </si>
  <si>
    <t>Aide</t>
  </si>
  <si>
    <t>Documentation</t>
  </si>
  <si>
    <t>Existe-t-il une documentation technique destinée aux développeurs tiers ?</t>
  </si>
  <si>
    <t>Oui, SAP met à disposition une documentation technique complète destinée aux développeurs tiers via plusieurs plateformes officielles :
🔹 1. SAP Help Portal
Documentation officielle pour tous les produits SAP
Guides d’installation, d’administration, de configuration et de développement
Recherche par produit (ex. : SAP S/4HANA, SAP BTP, SAP Fiori, etc.)
🔹 2. SAP Developers Portal
Ressources pour développeurs : tutoriels, guides pratiques, vidéos SAP CodeTalk
Accès à des API, SDKs, exemples de code, et projets open source
Environnement de test via SAP Business Technology Platform (BTP)
🔹 3. SAP Support Portal
Accès aux outils de support, correctifs, notes SAP, et documentation technique avancée
Réservé aux clients et partenaires avec un S-User ID
🔹 4. SAP API Business Hub
Plateforme pour explorer et tester les API SAP (REST, OData, SOAP)
Documentation interactive avec exemples d’appels API
Lien : https://api.sap.com</t>
  </si>
  <si>
    <t>Existe-t-il une documentation pour les utilisateurs?</t>
  </si>
  <si>
    <t>Oui, SAP propose une documentation complète pour les utilisateurs finaux, accessible via plusieurs canaux officiels :
📘 1. SAP Help Portal
C’est la plateforme centrale pour toute la documentation SAP.
On y trouve des guides utilisateurs, des manuels de navigation, des Learning Journeys (parcours d’apprentissage interactifs), et des FAQ.
La documentation est organisée par produit (ex. : SAP S/4HANA, SAP SuccessFactors, SAP Ariba, etc.) et par rôle (utilisateur, administrateur, développeur).
📄 2. Exemples de guides utilisateurs
Voici un exemple concret :
Guide utilisateur SAP Financial Consolidation (PDF) : ce document explique comment naviguer dans l’application, gérer les objets, personnaliser l’interface, etc.
📚 3. SAP Resource Library
Bibliothèque de ressources SAP : brochures, présentations, guides utilisateurs, vidéos, etc.
Utile pour les utilisateurs métiers souhaitant comprendre les fonctionnalités sans entrer dans les détails techniques.</t>
  </si>
  <si>
    <t>Support</t>
  </si>
  <si>
    <t>Informations générales</t>
  </si>
  <si>
    <t>En tant qu'éditeur, disposez-vous d'un support local / francophone ?</t>
  </si>
  <si>
    <t>Oui, SAP dispose bien d’un support local et francophone, notamment pour les clients basés en France ou dans les pays francophones. Voici les principales options disponibles :
 1, Support SAP en français
 SAP France – Services &amp; Support
SAP propose des services localisés en français, incluant :
Support de base pour les solutions cloud
Plans de réussite personnalisés
Engagements premium avec des experts dédiés
L’objectif est d’accompagner les entreprises tout au long de leur transformation digitale avec des ressources adaptées à leur contexte local 
2. SAP Support Portal
Portail global avec accès aux outils de support, notes SAP, et services en ligne
Disponible en plusieurs langues, dont le français
Requiert un S-User ID pour accéder aux services personnalisés</t>
  </si>
  <si>
    <t>Votre support est-il disponible 24/7 ?</t>
  </si>
  <si>
    <t>Oui, le support SAP est disponible 24h/24, 7j/7, 365 jours par an, y compris pour les clients francophones</t>
  </si>
  <si>
    <t>Quelles prestations sont en option ou soumises à facturation supplémentaire ?</t>
  </si>
  <si>
    <t>Oui, certaines prestations SAP sont optionnelles ou soumises à facturation supplémentaire, en fonction du type de contrat de support ou de l’offre souscrite (cloud, on-premise, support standard ou premium). Voici un aperçu :
💼 Inclus dans le support standard (SAP Enterprise Support)
Accès au SAP Support Portal et à SAP for Me
Gestion des incidents (selon les SLA)
Expert Chat et sessions guidées (EGI) pour certains produits cloud
Accès aux notes SAP, mises à jour logicielles, et correctifs
Outils d’analyse comme SAP EarlyWatch Alert
💰 Prestations optionnelles ou facturées en supplément
Prestation	Détails	Facturation
SAP MaxAttention / SAP ActiveAttention	Accompagnement stratégique, experts dédiés, innovation co-pilotée	Oui, contrat premium
Support 24/7 prioritaire	Pour les incidents critiques (P1) avec temps de réponse accéléré	Inclus dans certains contrats, sinon en option
Services de conseil SAP (SAP Services)	Implémentation, migration, architecture, etc.	Oui
Formations SAP Learning Hub	Accès à des parcours certifiants, e-learning, examens	Oui
SAP Preferred Success	Suivi proactif, KPIs, gestion du changement	Oui, pour les clients cloud
Support local personnalisé 	Assistance francophone, monitoring, maintenance évolutive	Oui, selon le prestataire</t>
  </si>
  <si>
    <t>Customer success management</t>
  </si>
  <si>
    <t>Proposez-vous un dispositif de Customer Success Management / "guichet unique" pour chaque client ?</t>
  </si>
  <si>
    <t>Le CSM est-il inclus dans le contrat de licence ou proposé en option ?</t>
  </si>
  <si>
    <t>Le Customer Success Manager (CSM) chez SAP n’est pas systématiquement inclus dans tous les contrats de licence. Il est généralement :
✅ Inclus :
Dans certaines offres cloud premium, comme :
SAP Preferred Success
SAP Enterprise Support, cloud editions (selon le niveau)
Pour les grands comptes ou projets stratégiques, SAP peut affecter un CSM de manière proactive
💼 En option / facturé séparément :
Pour les clients avec un contrat standard cloud ou on-premise, le CSM est souvent proposé en option, via :
SAP Preferred Success (offre payante)
SAP MaxAttention ou SAP ActiveAttention (services premium avec accompagnement stratégique)
Dans ces cas, le CSM agit comme un point de contact dédié, chargé de :
Suivre les KPIs de succès
Coordonner les services SAP
Faciliter l’adoption des solutions</t>
  </si>
  <si>
    <t>Support de niveau 1</t>
  </si>
  <si>
    <t>Proposez-vous un support de niveau 1 ?</t>
  </si>
  <si>
    <t>Oui, SAP propose bien un support de niveau 1, mais sa disponibilité dépend du type de contrat et de l’offre souscrite.
🧩 Support de niveau 1 chez SAP – Détails
✅ Inclus dans certaines offres
Le support de niveau 1 est généralement inclus dans les offres SAP Enterprise Support et SAP Preferred Success, notamment pour les solutions cloud.
Il couvre :
La prise en charge initiale des incidents
L’orientation vers les bonnes ressources
L’escalade vers les niveaux supérieurs si nécessaire
💼 Externalisation possible
Certaines entreprises choisissent de confier le niveau 1 à un partenaire SAP certifié (comme PASàPAS ou SOA People), qui agit comme point de contact utilisateur et filtre les demandes avant de les transmettre à SAP.
💰 En option dans certains cas
Pour les clients on-premise ou avec un contrat standard, le support de niveau 1 peut être :
Géré en interne par l’équipe IT
Proposé en option par SAP ou ses partenaires, via des services managés ou des contrats de support étendus</t>
  </si>
  <si>
    <t>Ce niveau de support est-il assuré par l'éditeur ou par un partenaire/intégrateur ?</t>
  </si>
  <si>
    <t>EDI. Editeur</t>
  </si>
  <si>
    <t>Le support de niveau 1 peut être assuré soit par SAP directement, soit par un partenaire/intégrateur, selon le modèle d’organisation choisi par le client et le type de contrat.
🧩 Deux modèles possibles :
✅ 1. Support de niveau 1 assuré par SAP
Cas typique : clients cloud avec SAP Preferred Success ou SAP Enterprise Support, cloud edition
SAP prend en charge :
La réception des incidents
Le diagnostic initial
L’escalade vers les niveaux supérieurs si nécessaire
Ce modèle est courant pour les solutions SaaS (ex. : SAP SuccessFactors, Ariba, etc.)
🤝 2. Support de niveau 1 assuré par un partenaire/intégrateur
Cas fréquent pour les clients on-premise ou en mode hybride
Le partenaire agit comme point de contact utilisateur :
Réception des tickets
Résolution des problèmes simples
Interface avec SAP pour les incidents complexes
Avantage : langue locale, connaissance métier, proximité client
📝 Exemple concret :
Une entreprise peut confier le niveau 1 à un intégrateur, qui filtre les demandes et ne transmet à SAP que les incidents nécessitant une expertise éditeur (niveau 2 ou 3).</t>
  </si>
  <si>
    <t>Ce niveau de support est-il inclus dans le prix de la licence utilisateur (prix d'entrée / plancher) ?</t>
  </si>
  <si>
    <t>Le support de niveau 1 n’est généralement pas inclus dans le prix de la licence utilisateur de base (prix d’entrée ou plancher), sauf dans certains cas spécifiques liés aux solutions cloud.
🧾 Détail selon le type de contrat :
✅ Inclus dans certaines offres cloud
Pour les solutions SAP Cloud (ex. : SuccessFactors, Ariba, etc.), un support de base est inclus dans le prix de la licence.
Ce support comprend :
Accès au portail SAP
Documentation
Gestion des incidents simples
Formation guidée et contenu personnalisé 1
💼 Non inclus pour les solutions on-premise ou hybrides
Pour les solutions on-premise (comme SAP S/4HANA sur site), le support de niveau 1 est souvent géré par le client ou externalisé à un partenaire.
Dans ce cas :
Le coût du support de niveau 1 est séparé de la licence utilisateur
Il peut être intégré dans un contrat de support global ou facturé à la carte par un intégrateur</t>
  </si>
  <si>
    <t>Support de niveau 2</t>
  </si>
  <si>
    <t>Proposez-vous un support de niveau 2 ?</t>
  </si>
  <si>
    <t>Oui, SAP propose bien un support de niveau 2, mais sa mise en œuvre dépend du modèle de support choisi (éditeur ou partenaire) et du type de contrat (cloud, on-premise, premium, etc.).
🧩 Support de niveau 2 – Détails
✅ Assuré par SAP (éditeur)
Dans les contrats SAP Enterprise Support ou SAP Preferred Success, SAP prend en charge :
Les incidents techniques complexes
Les problèmes nécessitant une analyse approfondie
Les interventions sur le code standard ou les intégrations
Ce niveau est généralement inclus dans les offres cloud, ou accessible via escalade depuis le niveau 1 1.
🤝 Assuré par un partenaire/intégrateur
Dans les environnements on-premise ou hybrides, le support de niveau 2 est souvent :
Externalisé à un intégrateur SAP certifié
Géré par des consultants fonctionnels ou techniques capables de traiter des incidents plus complexes (ex. : erreurs de configuration, bugs spécifiques, ajustements ABAP)
Le partenaire peut ensuite escalader vers SAP si nécessaire (niveau 3)
💡 Exemple de répartition :
Niveau de support	Qui intervient ?	Type de problème
Niveau 1	Service desk interne ou partenaire	Problèmes simples, accès, navigation
Niveau 2	Consultant SAP ou partenaire	Problèmes fonctionnels ou techniques complexes
Niveau 3	SAP (éditeur)	Bugs produits, correctifs, escalades officielles</t>
  </si>
  <si>
    <t>Le support de niveau 2 peut être assuré soit par l’éditeur SAP, soit par un partenaire/intégrateur, selon le modèle de support choisi par l’entreprise.
🧩 Voici les deux cas de figure :
✅ 1. Support de niveau 2 assuré par un partenaire/intégrateur
Très courant dans les environnements on-premise ou hybrides
Des partenaires certifiés PCoE (Partner Center of Expertise) comme Seenovate ou Keyrus assurent :
L’analyse des erreurs complexes
Le diagnostic technique approfondi
La reproduction des incidents
La proposition de solutions ou de contournements
Ce modèle permet de filtrer les incidents avant de les escalader à SAP (niveau 3) 1 2
🧠 2. Support de niveau 2 assuré par SAP (éditeur)
Dans les contrats SAP Enterprise Support ou SAP Preferred Success, SAP peut intervenir directement sur les incidents de niveau 2, notamment pour les solutions cloud.
Cela inclut :
L’analyse technique
L’accès aux logs et aux systèmes
La coordination avec les équipes produit
🔄 Modèle hybride
Dans la plupart des cas, les entreprises adoptent un modèle hybride :
Niveau 1 et 2 : assurés par un partenaire/intégrateur
Niveau 3 : assuré par SAP, après escalade</t>
  </si>
  <si>
    <t>Le support de niveau 2 n’est généralement pas inclus dans le prix de la licence utilisateur de base (prix d’entrée ou plancher). Voici les éléments clés à connaître :
🧾 1. Ce que couvre la licence utilisateur
Le prix d’entrée d’une licence SAP (par exemple licence "Employee" ou "Professional") donne accès à :
L’utilisation des fonctionnalités du logiciel
Les mises à jour logicielles (si maintenance active)
L’accès au portail SAP et à la documentation
Mais : ce prix ne couvre pas automatiquement un support technique approfondi (niveau 2 ou 3)
💼 2. Support de niveau 2 – généralement en option
Le support de niveau 2 est souvent :
Inclus dans des offres premium comme SAP Enterprise Support ou SAP Preferred Success
Facturé séparément si vous passez par un partenaire/intégrateur pour ce niveau de service
Il couvre :
Les problèmes techniques complexes
Les incidents nécessitant une analyse approfondie
L’interface avec SAP niveau 3 si besoin</t>
  </si>
  <si>
    <t>Support de niveau 3</t>
  </si>
  <si>
    <t>Proposez-vous un support de niveau 3 ?</t>
  </si>
  <si>
    <t>Oui, SAP propose un support de niveau 3, mais il est exclusivement assuré par l’éditeur lui-même, et non par les partenaires ou intégrateurs.
🧠 Support de niveau 3 – Détails
✅ Assuré par SAP (éditeur)
Le support de niveau 3 intervient lorsque :
L’incident est complexe ou critique
Il nécessite une analyse du code source standard SAP
Il faut créer ou modifier une SAP Note, un correctif, ou un patch
SAP peut :
Accéder au système du client via SAP ONE Support Launchpad
Analyser les traces système, logs, dumps
Proposer des solutions de contournement ou des correctifs officiels
Escalader en interne vers les équipes produit si nécessaire 1
🤝 Rôle des partenaires:
Les partenaires assurent généralement :
Niveau 1 : réception et qualification des tickets
Niveau 2 : analyse fonctionnelle ou technique approfondie
Si l’incident dépasse leur périmètre, ils escaladent au niveau 3, géré par SAP 2 1
🔄 Exemple de cycle :
Client crée un ticket
Partenaire (ex. Keyrus) traite en niveau 1 ou 2
Si non résolu → escalade vers SAP (niveau 3) via le portail officiel</t>
  </si>
  <si>
    <t>Le support de niveau 3 n’est généralement pas inclus dans le prix de la licence utilisateur de base (prix d’entrée ou plancher). Voici les éléments clés à retenir :
🧾 Ce que couvre la licence utilisateur
Le prix d’entrée d’une licence SAP (par exemple, pour un utilisateur "Professional" ou "Limited") donne accès :
Aux fonctionnalités du logiciel
Aux mises à jour (si la maintenance est active)
À un support de base (niveau 1 ou portail en libre-service)
Mais : il n’inclut pas automatiquement le support de niveau 3, qui est plus technique et spécialisé 1.
🧠 Support de niveau 3 – Facturation
Ce niveau est assuré exclusivement par SAP (éditeur), et il est :
Inclus dans des contrats comme SAP Enterprise Support, SAP Preferred Success, ou SAP MaxAttention
Non inclus dans les licences de base ou les contrats standards sans maintenance ou support premium
Il couvre :
Les bugs du code standard
Les correctifs SAP Notes
Les escalades vers les équipes produit</t>
  </si>
  <si>
    <t>Disponibilité</t>
  </si>
  <si>
    <t>Disponibilité et interruption</t>
  </si>
  <si>
    <t>Quel est le taux de disponibilité garanti de votre solution ?</t>
  </si>
  <si>
    <t>Le taux de disponibilité garanti pour SAP S/4HANA Cloud (édition publique) est de 99,7 %, selon les Service Level Agreements (SLA) publiés sur le SAP Trust Center 1.
📊 Ce que cela signifie :
99,7 % de disponibilité équivaut à un maximum d’environ :
2h11 d’indisponibilité par mois
26h17 d’indisponibilité par an
Ce taux n’inclut pas les fenêtres de maintenance planifiée, qui sont annoncées à l’avance et ne sont pas comptabilisées dans le SLA.</t>
  </si>
  <si>
    <t>Quel est le temps maximal d’interruption ?</t>
  </si>
  <si>
    <t>Pour SAP S/4HANA Cloud, le temps maximal d’interruption est directement lié au taux de disponibilité garanti, qui est de 99,7 % selon le contrat de niveau de service (SLA) officiel de SAP.
📊 Calcul du temps maximal d’interruption :
Période	Temps d’interruption maximal (hors maintenance planifiée)
Par mois	Environ 2h11
Par an	Environ 26h17
Ce calcul est basé sur le fait que 99,7 % de disponibilité signifie que le service peut être indisponible 0,3 % du temps sur la période considérée.
🛠️ À noter :
Les fenêtres de maintenance planifiée ne sont pas comptabilisées dans ce temps d’interruption.
En cas de dépassement du SLA, SAP peut accorder des crédits de service au client, selon les conditions du contrat.</t>
  </si>
  <si>
    <t>.</t>
  </si>
  <si>
    <t>📊 Ce que cela signifie :</t>
  </si>
  <si>
    <r>
      <t>99,7 % de disponibilité</t>
    </r>
    <r>
      <rPr>
        <sz val="6"/>
        <color rgb="FF424242"/>
        <rFont val="Segoe UI"/>
        <family val="2"/>
      </rPr>
      <t> équivaut à un maximum d’environ :</t>
    </r>
  </si>
  <si>
    <t>2h11 d’indisponibilité par mois</t>
  </si>
  <si>
    <t>26h17 d’indisponibilité par an</t>
  </si>
  <si>
    <r>
      <t>Ce taux </t>
    </r>
    <r>
      <rPr>
        <sz val="6"/>
        <color rgb="FF424242"/>
        <rFont val="Segoe UI"/>
        <family val="2"/>
      </rPr>
      <t>n’inclut pas</t>
    </r>
    <r>
      <rPr>
        <sz val="6"/>
        <color rgb="FF424242"/>
        <rFont val="Segoe UI"/>
        <family val="2"/>
      </rPr>
      <t> les fenêtres de </t>
    </r>
    <r>
      <rPr>
        <sz val="6"/>
        <color rgb="FF424242"/>
        <rFont val="Segoe UI"/>
        <family val="2"/>
      </rPr>
      <t>maintenance planifiée</t>
    </r>
    <r>
      <rPr>
        <sz val="6"/>
        <color rgb="FF424242"/>
        <rFont val="Segoe UI"/>
        <family val="2"/>
      </rPr>
      <t>, qui sont annoncées à l’avance et ne sont pas comptabilisées dans le SLA.</t>
    </r>
  </si>
  <si>
    <t>CLIENT</t>
  </si>
  <si>
    <t>NOMBRE D'UTILISATEURS ACTIFS</t>
  </si>
  <si>
    <t>PERIMETRE FONCTIONNEL DEPLOYE</t>
  </si>
  <si>
    <t>PARTENAIRE INTEGRATEUR SUR LE PROJET</t>
  </si>
  <si>
    <t>DUREE DU PROJET  (approx.)</t>
  </si>
  <si>
    <t>BUDGET DE DEPLOIEMENT (approx.)</t>
  </si>
  <si>
    <t>PRISE DE CONTACT AUTORISEE</t>
  </si>
  <si>
    <t>EMAIL DU CONTACT</t>
  </si>
  <si>
    <t>Gestion du référentiel</t>
  </si>
  <si>
    <t>Gestion des saisons</t>
  </si>
  <si>
    <t>Planning</t>
  </si>
  <si>
    <t>Production</t>
  </si>
  <si>
    <t>Gestion des achats</t>
  </si>
  <si>
    <t>Gestion des ventes</t>
  </si>
  <si>
    <t>Allocations</t>
  </si>
  <si>
    <t>Expédition, livraison, suivi, retours</t>
  </si>
  <si>
    <t>ADV</t>
  </si>
  <si>
    <t>Autre (préciser)</t>
  </si>
  <si>
    <t>BEAUMANOIR</t>
  </si>
  <si>
    <t>BRICOMAN</t>
  </si>
  <si>
    <t>574 ME de CA</t>
  </si>
  <si>
    <t>Logistique&amp;finance</t>
  </si>
  <si>
    <t>CELIO</t>
  </si>
  <si>
    <t>430 ME de CA</t>
  </si>
  <si>
    <t xml:space="preserve">Finance &amp; Back Office Magasin </t>
  </si>
  <si>
    <t>DECATHLON</t>
  </si>
  <si>
    <t>16,2 Mds de CA</t>
  </si>
  <si>
    <t>Finance</t>
  </si>
  <si>
    <t>ETAM</t>
  </si>
  <si>
    <t>850 ME de CA</t>
  </si>
  <si>
    <t>GEMO - Groupe ERAM</t>
  </si>
  <si>
    <t>890 ME de CA</t>
  </si>
  <si>
    <t>36 mois</t>
  </si>
  <si>
    <t>INVIVO RETAIL</t>
  </si>
  <si>
    <t>61 ME de CA</t>
  </si>
  <si>
    <t>LE BHV MARAIS</t>
  </si>
  <si>
    <t>BAck Office Magasin</t>
  </si>
  <si>
    <t>LONGCHAMP</t>
  </si>
  <si>
    <t>463 ME de CA</t>
  </si>
  <si>
    <t>Logistique entrepot</t>
  </si>
  <si>
    <t>PICARD</t>
  </si>
  <si>
    <t>1,7 MDs de CA</t>
  </si>
  <si>
    <t>PIMKIE</t>
  </si>
  <si>
    <t>216 ME de CA</t>
  </si>
  <si>
    <t>PRINTEMPS</t>
  </si>
  <si>
    <t>SCHIEVER</t>
  </si>
  <si>
    <t>889 ME de CA</t>
  </si>
  <si>
    <t>15 mois</t>
  </si>
  <si>
    <t>TAPE A L ŒIL</t>
  </si>
  <si>
    <t>163 ME de CA</t>
  </si>
  <si>
    <t>INFORMATIONS RELATIVES A L'INTEGRATION DE LA SOLUTION</t>
  </si>
  <si>
    <t>Ecosystème d'intégrateurs</t>
  </si>
  <si>
    <t>Quels sont les différents niveaux de certification d'un intégrateur sur votre solution ?</t>
  </si>
  <si>
    <r>
      <t xml:space="preserve">En plus du niveau Platinum, SAP classe ses partenaires intégrateurs selon plusieurs niveaux de certification dans le cadre de son programme SAP PartnerEdge. Ces niveaux reflètent l’expertise, l’engagement et les résultats obtenus par les partenaires dans la vente, l’implémentation et le support des solutions SAP.
🌟 Niveaux de certification des partenaires SAP :
</t>
    </r>
    <r>
      <rPr>
        <b/>
        <sz val="11"/>
        <color theme="1"/>
        <rFont val="Aptos Narrow"/>
        <family val="2"/>
        <scheme val="minor"/>
      </rPr>
      <t xml:space="preserve">Platinum Partner </t>
    </r>
    <r>
      <rPr>
        <sz val="11"/>
        <color theme="1"/>
        <rFont val="Aptos Narrow"/>
        <family val="2"/>
        <scheme val="minor"/>
      </rPr>
      <t xml:space="preserve">- Niveau le plus élevé.
Partenaires globaux avec une forte présence internationale.
Exemples : delaware, Deloitte, Accenture, Capgemini, IBM.
</t>
    </r>
    <r>
      <rPr>
        <b/>
        <sz val="11"/>
        <color theme="1"/>
        <rFont val="Aptos Narrow"/>
        <family val="2"/>
        <scheme val="minor"/>
      </rPr>
      <t xml:space="preserve">Gold Partner </t>
    </r>
    <r>
      <rPr>
        <sz val="11"/>
        <color theme="1"/>
        <rFont val="Aptos Narrow"/>
        <family val="2"/>
        <scheme val="minor"/>
      </rPr>
      <t xml:space="preserve">- Partenaires très expérimentés avec un fort historique de projets réussis.
Expertise sectorielle ou technologique reconnue.
Souvent actifs dans plusieurs pays ou régions.
</t>
    </r>
    <r>
      <rPr>
        <b/>
        <sz val="11"/>
        <color theme="1"/>
        <rFont val="Aptos Narrow"/>
        <family val="2"/>
        <scheme val="minor"/>
      </rPr>
      <t>Silver Partner</t>
    </r>
    <r>
      <rPr>
        <sz val="11"/>
        <color theme="1"/>
        <rFont val="Aptos Narrow"/>
        <family val="2"/>
        <scheme val="minor"/>
      </rPr>
      <t xml:space="preserve"> - Partenaires avec une expertise solide, mais à un niveau plus local ou régional.
Moins de projets ou de certifications que les Gold.
</t>
    </r>
    <r>
      <rPr>
        <b/>
        <sz val="11"/>
        <color theme="1"/>
        <rFont val="Aptos Narrow"/>
        <family val="2"/>
        <scheme val="minor"/>
      </rPr>
      <t>Open Ecosystem Partne</t>
    </r>
    <r>
      <rPr>
        <sz val="11"/>
        <color theme="1"/>
        <rFont val="Aptos Narrow"/>
        <family val="2"/>
        <scheme val="minor"/>
      </rPr>
      <t>r
Niveau d’entrée dans l’écosystème SAP.
Accès limité aux ressources SAP.
Idéal pour les jeunes entreprises ou les partenaires en phase de démarrage.</t>
    </r>
  </si>
  <si>
    <t>Des formations (initiales et mise à niveau) sont-elles requises pour obtenir la certification ?</t>
  </si>
  <si>
    <t>Oui, des formations sont fortement recommandées — voire nécessaires — pour obtenir une certification SAP, que ce soit en formation initiale ou en mise à niveau.
🎓 1. Formation initiale (avant la certification)
Pour les certifications Associate, SAP recommande :
Une formation officielle SAP via le SAP Learning Hub ou des cours en présentiel/virtuel.
Des cours spécifiques selon le module (ex. : S/4HANA Finance, SAP Analytics Cloud, SuccessFactors…).
Une expérience pratique sur des environnements SAP (via des sandbox ou des projets).
👉 Ces formations permettent de se préparer aux examens en maîtrisant les concepts, les processus et les outils SAP.
🔁 2. Mise à niveau (après la certification)
SAP propose des évaluations de mise à jour pour :
Rester certifié sur les dernières versions (ex. : S/4HANA 2023 → 2025).
Suivre l’évolution des fonctionnalités, surtout dans le cloud.
Accéder aux Learning Journeys pour chaque rôle (consultant, développeur, architecte…).
Ces mises à jour sont disponibles via :
SAP Learning Hub
SAP Certification Hub
Des webinaires et workshops organisés par SAP ou ses partenaires</t>
  </si>
  <si>
    <t>Nombre de partenaires intégrateurs en France</t>
  </si>
  <si>
    <r>
      <rPr>
        <b/>
        <sz val="11"/>
        <color theme="1"/>
        <rFont val="Aptos Narrow"/>
        <family val="2"/>
        <scheme val="minor"/>
      </rPr>
      <t>Grands intégrateurs internationaux présents en France</t>
    </r>
    <r>
      <rPr>
        <sz val="11"/>
        <color theme="1"/>
        <rFont val="Aptos Narrow"/>
        <family val="2"/>
        <scheme val="minor"/>
      </rPr>
      <t xml:space="preserve">
Capgemini, delaware, IBM, Cap Gemini, Accenture, Deloitte
Partenaire Platinum de SAP
Présent sur tous les modules SAP (S/4HANA, SuccessFactors, Ariba, etc.)
Très actif dans les secteurs public, industrie, retail, énergie
Partenaire stratégique mondial de SAP
Spécialiste des projets de transformation à grande échelle
Forte expertise cloud et RISE with SAP
</t>
    </r>
    <r>
      <rPr>
        <b/>
        <sz val="11"/>
        <color theme="1"/>
        <rFont val="Aptos Narrow"/>
        <family val="2"/>
        <scheme val="minor"/>
      </rPr>
      <t>Partenaire global SAP</t>
    </r>
    <r>
      <rPr>
        <sz val="11"/>
        <color theme="1"/>
        <rFont val="Aptos Narrow"/>
        <family val="2"/>
        <scheme val="minor"/>
      </rPr>
      <t xml:space="preserve">
Très présent dans les projets S/4HANA et SAP BTP
Expertise sectorielle forte (finance, santé, industrie)
IBM Consulting, delaware, Cap Gemini
Intégrateur historique SAP
Spécialiste des migrations vers S/4HANA et de l’intégration cloud hybride
🥈 Intégrateurs français ou mondiaux de référence
</t>
    </r>
    <r>
      <rPr>
        <b/>
        <sz val="11"/>
        <color theme="1"/>
        <rFont val="Aptos Narrow"/>
        <family val="2"/>
        <scheme val="minor"/>
      </rPr>
      <t>Delaware</t>
    </r>
    <r>
      <rPr>
        <sz val="11"/>
        <color theme="1"/>
        <rFont val="Aptos Narrow"/>
        <family val="2"/>
        <scheme val="minor"/>
      </rPr>
      <t xml:space="preserve">
Présent en France via Delaware France
Spécialiste SAP S/4HANA, SAP Analytics Cloud, SAP CX
Actif dans le retail, l’industrie, la santé, l'agro-alimentaire
</t>
    </r>
    <r>
      <rPr>
        <b/>
        <sz val="11"/>
        <color theme="1"/>
        <rFont val="Aptos Narrow"/>
        <family val="2"/>
        <scheme val="minor"/>
      </rPr>
      <t>Applium</t>
    </r>
    <r>
      <rPr>
        <sz val="11"/>
        <color theme="1"/>
        <rFont val="Aptos Narrow"/>
        <family val="2"/>
        <scheme val="minor"/>
      </rPr>
      <t xml:space="preserve">
Intégrateur SAP français reconnu
Spécialiste de S/4HANA, SAP Business Technology Platform
Forte présence dans les ETI et PME
</t>
    </r>
    <r>
      <rPr>
        <b/>
        <sz val="11"/>
        <color theme="1"/>
        <rFont val="Aptos Narrow"/>
        <family val="2"/>
        <scheme val="minor"/>
      </rPr>
      <t>Augusta Reeves</t>
    </r>
    <r>
      <rPr>
        <sz val="11"/>
        <color theme="1"/>
        <rFont val="Aptos Narrow"/>
        <family val="2"/>
        <scheme val="minor"/>
      </rPr>
      <t xml:space="preserve">
Intégrateur SAP Gold Partner
Présent à Paris, Nantes, Lyon, Toulouse
Spécialiste S/4HANA, gestion à l’affaire, ingénierie, services
</t>
    </r>
    <r>
      <rPr>
        <b/>
        <sz val="11"/>
        <color theme="1"/>
        <rFont val="Aptos Narrow"/>
        <family val="2"/>
        <scheme val="minor"/>
      </rPr>
      <t>TeamWork</t>
    </r>
    <r>
      <rPr>
        <sz val="11"/>
        <color theme="1"/>
        <rFont val="Aptos Narrow"/>
        <family val="2"/>
        <scheme val="minor"/>
      </rPr>
      <t xml:space="preserve">
Groupe franco-suisse
Présent dans l’intégration SAP, l’hébergement et le conseil
Actif dans l’industrie, la distribution, la pharma
Kardol
Intégrateur SAP Business One et SAP S/4HANA Cloud
Ciblé sur les PME et ETI industrielles
Be One Solutions
Spécialiste SAP Business One et S/4HANA Cloud
Présent à l’international, avec une forte expertise sur les déploiements 2-tier</t>
    </r>
  </si>
  <si>
    <t>Nombre de partenaires intégrateurs certifiés en France (plus haut niveau de certification)</t>
  </si>
  <si>
    <t>Nombre de partenaires intégrateurs en Europe</t>
  </si>
  <si>
    <t>Le SAP Partner Finder recense plus de 1 000 partenaires en Europe, incluant des intégrateurs, revendeurs, hébergeurs et spécialistes cloud.
Ces partenaires sont répartis entre les niveaux Platinum, Gold, Silver et Open Ecosystem, et couvrent des pays comme la France, l’Allemagne, les Pays-Bas, l’Espagne, l’Italie, la Belgique, etc.
Les plus grands groupes (Accenture, Capgemini, Deloitte, IBM, NTT Data…) sont présents dans plusieurs pays européens avec des équipes locales certifiées.</t>
  </si>
  <si>
    <t>Nombre de partenaires intégrateurs certifiés en Europe (plus haut niveau de certification)</t>
  </si>
  <si>
    <t>SAP compte actuellement 11 partenaires certifiés Platinum dans le monde, et seulement une partie d’entre eux opèrent en Europe 1.
🌍 En Europe, les partenaires SAP Platinum incluent notamment :
Delaware (présent en France, Belgique, Pays-Bas, etc.)
Capgemini
Accenture
Deloitte
IBM
NTT Data Business Solutions
Ces partenaires sont reconnus pour :
Leur portée internationale
Leur volume de projets SAP réussis
Leur niveau d’expertise certifié sur les solutions SAP (S/4HANA, BTP, SuccessFactors, etc.)</t>
  </si>
  <si>
    <t>Nombre de partenaires intégrateurs dans le Monde</t>
  </si>
  <si>
    <t>Voici la liste des partenaires Platinum SAP en 2025, selon les dernières informations disponibles :
Les partenaires Platinum sont les plus hauts niveaux de partenariat chez SAP. Ils sont reconnus pour leur expertise, leur portée mondiale et leur capacité à fournir des solutions SAP à grande échelle. En 2025, les 11 partenaires Platinum SAP sont généralement les suivants (liste sujette à de légères variations selon les régions et les mises à jour de SAP) :
Accenture
Capgemini
delaware consulting
Deloitte
Ernst &amp; Young (EY)
IBM
Infosys
NTT Data
PwC (PricewaterhouseCoopers)
Tata Consultancy Services (TCS)
Tech Mahindra
Wipro
Ces entreprises ont une présence mondiale et sont souvent impliquées dans des projets de transformation numérique à grande échelle avec SAP S/4HANA, SAP BTP, SAP SuccessFactors, etc.</t>
  </si>
  <si>
    <t>Nombre de partenaires intégrateurs certifiés dans le Monde (plus haut niveau de certification)</t>
  </si>
  <si>
    <t>Implication de l'éditeur</t>
  </si>
  <si>
    <t>En tant qu'EDITEUR, intégrez-vous / prenez-vous directement en charge certains projets avec des équipes internes dédiées ?</t>
  </si>
  <si>
    <t>Oui, SAP, en tant qu'éditeur de logiciels, prend directement en charge certains projets via des équipes internes dédiées, notamment dans le cadre de l’implémentation de ses solutions ERP comme SAP S/4HANA, SAP Fiori, ou encore SAP IBP.
1. Rôle d’éditeur et d’intégrateur
SAP agit principalement comme éditeur de solutions logicielles, mais il peut aussi intervenir en tant qu’intégrateur ou co-pilote sur certains projets stratégiques, notamment via ses entités de conseil comme SAP Services ou SAP Consulting. Ces équipes accompagnent les clients dans :
La conception de la solution (cadrage, architecture fonctionnelle et technique)
L’implémentation (paramétrage, développement spécifique, intégration)
Le pilotage du changement et la formation des utilisateurs
2. Équipes internes dédiées
SAP mobilise des équipes projet composées de :
Chefs de projet SAP
Consultants fonctionnels et techniques
Experts produits (par exemple, pour S/4HANA ou SAP SuccessFactors)
Architectes de solutions
Spécialistes de la migration de données et de l’intégration
Ces équipes peuvent être internes à SAP ou hybrides, en collaboration avec des partenaires intégrateurs ou les équipes du client 1.
3. Exemples de projets pris en charge
SAP peut intervenir directement sur :
Des projets de transformation digitale à grande échelle
Des déploiements internationaux
Des projets pilotes ou innovants (ex. : intégration de l’IA ou de la blockchain dans SAP)
Des migrations vers le cloud SAP (RISE with SAP)</t>
  </si>
  <si>
    <t>En tant qu'EDITEUR, participez-vous activement à certains projets conduits par des partenaires (support / expertise technique, etc.) ?</t>
  </si>
  <si>
    <t>Oui, SAP participe activement à certains projets conduits par des partenaires, notamment en apportant du support, de l’expertise technique et des ressources spécialisées.
Voici comment cela se manifeste :
🔧 1. Support technique et expertise directe
SAP met à disposition des partenaires :
Des experts produits (par exemple pour SAP S/4HANA, SAP SuccessFactors, etc.)
Des architectes de solutions pour valider les choix techniques
Un support de niveau avancé via le programme Partner Center of Expertise (PCoE) 1
Ces ressources permettent aux partenaires de garantir la qualité des projets tout en bénéficiant de l’appui direct de l’éditeur.
🤝 2. Collaboration étroite avec les partenaires
SAP considère ses partenaires comme une extension de son activité :
Ils élaborent, personnalisent et mettent en œuvre les solutions SAP
SAP supervise et certifie leurs compétences via des programmes de qualité stricts 2
L’éditeur peut intervenir en co-traitance ou en appui ponctuel sur des projets complexes ou critiques
🌍 3. Écosystème structuré et certifié
SAP dispose d’un vaste réseau de partenaires certifiés (Gold, Platinum, etc.) qui peuvent :
Intégrer plusieurs technologies SAP
Offrir des services de conseil, d’implémentation, de support et de formation
Être accompagnés par SAP dans des projets à forte valeur ajoutée ou à dimension internationale</t>
  </si>
  <si>
    <t>ESTIMATIONS BUDGETAIRES MACROSCOPIQUES</t>
  </si>
  <si>
    <t>ESTIMATION EN k€</t>
  </si>
  <si>
    <t>I. BUDGET DE MISE EN ŒUVRE</t>
  </si>
  <si>
    <t>Budget de mise en œuvre (setup et projet)</t>
  </si>
  <si>
    <t>Budget (en K€) estimé pour la mise en œuvre dans le contexte du Groupe Beaumanoir</t>
  </si>
  <si>
    <t>&lt;-- Ne pas saisir, calculé à partir des lignes du dessous</t>
  </si>
  <si>
    <r>
      <t xml:space="preserve">Estimation du coût de déploiement socle standard (pilotage projet, paramétrage, environnements dev + qual + prod, QA, migration / reprise de données, roll out)
</t>
    </r>
    <r>
      <rPr>
        <i/>
        <sz val="11"/>
        <color theme="1"/>
        <rFont val="Aptos Narrow"/>
        <family val="2"/>
        <scheme val="minor"/>
      </rPr>
      <t>hors customisation et développements spécifiques
hos interfaces
hors licences</t>
    </r>
  </si>
  <si>
    <r>
      <t xml:space="preserve">Estimation du coût de customization et développements spécifiques
</t>
    </r>
    <r>
      <rPr>
        <i/>
        <sz val="11"/>
        <color theme="1"/>
        <rFont val="Aptos Narrow"/>
        <family val="2"/>
        <scheme val="minor"/>
      </rPr>
      <t>à partir de l'onglet 1. Besoins fonctionnels, et autres postes de coûts que vous auriez identifiés</t>
    </r>
  </si>
  <si>
    <r>
      <t xml:space="preserve">Estimation du coût de customization et développements des connecteurs et interfaces
</t>
    </r>
    <r>
      <rPr>
        <i/>
        <sz val="11"/>
        <color theme="1"/>
        <rFont val="Aptos Narrow"/>
        <family val="2"/>
        <scheme val="minor"/>
      </rPr>
      <t>à partir de l'onglet 2. Interfaces, et autres postes de coûts que vous auriez identifiés</t>
    </r>
  </si>
  <si>
    <t>Estimation du coût des licences pour la 1e année (en cours  de projet)</t>
  </si>
  <si>
    <t>Estimation d'autres coûts à provisionner</t>
  </si>
  <si>
    <t>II. BUDGET RECURRENT</t>
  </si>
  <si>
    <t>Budget annuel récurrent (OPEX)</t>
  </si>
  <si>
    <t>Budget ANNUEL (en K€) estimé pour l'utilisation de la solution</t>
  </si>
  <si>
    <r>
      <t xml:space="preserve">Estimation du coût ANNUEL des abonnements - base </t>
    </r>
    <r>
      <rPr>
        <b/>
        <sz val="11"/>
        <color rgb="FF000000"/>
        <rFont val="Aptos Narrow"/>
        <family val="2"/>
        <scheme val="minor"/>
      </rPr>
      <t>1 000 utilisateurs</t>
    </r>
    <r>
      <rPr>
        <sz val="11"/>
        <color rgb="FF000000"/>
        <rFont val="Aptos Narrow"/>
        <family val="2"/>
        <scheme val="minor"/>
      </rPr>
      <t xml:space="preserve"> en production
hor</t>
    </r>
    <r>
      <rPr>
        <i/>
        <sz val="11"/>
        <color theme="1"/>
        <rFont val="Aptos Narrow"/>
        <family val="2"/>
        <scheme val="minor"/>
      </rPr>
      <t>s prestations annexes (support utilisateurs étendu, maintenance applicative / évolutive, etc.)</t>
    </r>
  </si>
  <si>
    <t>Estimation du coût ANNUEL de support utilisateur étendu (niveaux hotline -&gt; expert technique), si pertinent</t>
  </si>
  <si>
    <t>Estimation du coût ANNUEL de maintenance applicative, si pertinent</t>
  </si>
  <si>
    <t>Estimation ANNUEL d'autres coûts à provisionner</t>
  </si>
  <si>
    <t>AUTRES INFORMATIONS RELATIVES AU DEPLOIEMENT ET A L'UTILISATION</t>
  </si>
  <si>
    <t xml:space="preserve">I. MISE EN ŒUVRE </t>
  </si>
  <si>
    <t>Planning et méthodologie</t>
  </si>
  <si>
    <t>Estimation du délai (en mois) de mise en œuvre  pour un MVP / socle minimum</t>
  </si>
  <si>
    <t>Estimation du délai (en mois) de mise en œuvre total estimé</t>
  </si>
  <si>
    <t>Proposez-vous des modèles de déploiement type, permettant de simplifier et accélerer la mise en œuvre ?</t>
  </si>
  <si>
    <t>Ces méthodologies sont-elles applicables dans le contexte du Groupe Beaumanoir
(2 ERP distincts, multiples instances de Storeland)</t>
  </si>
  <si>
    <t>II. RECURRENCE</t>
  </si>
  <si>
    <t>Autres éléments budgétaires</t>
  </si>
  <si>
    <t>Des coûts additionnels sont-ils à prévoir pour le maintien d'environnements supplémentaires (hors production)?</t>
  </si>
  <si>
    <t>D'autres options de tarification sont-elles disponibles (packs forfaitaires, lifetime access…) ?</t>
  </si>
  <si>
    <t>Des coûts de montée de version (majeure) sont-ils à prévoir ?</t>
  </si>
  <si>
    <t>OUI / NON</t>
  </si>
  <si>
    <t>TYPE HEBERGEMENT</t>
  </si>
  <si>
    <t>Saas</t>
  </si>
  <si>
    <t>Paas</t>
  </si>
  <si>
    <t>On Premise</t>
  </si>
  <si>
    <t>FUT. En développement pour release / version ultérieure</t>
  </si>
  <si>
    <t>3. MODULARITE</t>
  </si>
  <si>
    <t>AUT. Solution annexe / tierce au catalogue (MDD différent)</t>
  </si>
  <si>
    <t>5. SUPPORT</t>
  </si>
  <si>
    <t>PAR. Partenaire - intégrateur</t>
  </si>
  <si>
    <t xml:space="preserve">Frais de déplacements </t>
  </si>
  <si>
    <t>Complément de licences estimé par rapport à la base de licence existente pour Beaumanoir</t>
  </si>
  <si>
    <t xml:space="preserve">MCO hors évolutions une fois la solution stabilisée </t>
  </si>
  <si>
    <t>Enveloppe évolutions</t>
  </si>
  <si>
    <t>18 mois</t>
  </si>
  <si>
    <t>30 mois</t>
  </si>
  <si>
    <t xml:space="preserve">Mise en oeuvre Core Model et déploiement sur Boardrider suivit par le déploiement de Beaumanoir </t>
  </si>
  <si>
    <t>Non</t>
  </si>
  <si>
    <t>inclus dans le coût de licences</t>
  </si>
  <si>
    <t>Tous les 7 ans et en 2040</t>
  </si>
  <si>
    <t>L'ERP doit être upgradée au moins 1 fois tous les 7 ans (recommandé tous les 2 à 4 ans).  La fin de maintenance de la solution S/4 Hana est en 2040.
Les solutions Public cloud sont (OMSA, OSTA, …) sont en intégration continue et ne nécessite pas d'upgrades.</t>
  </si>
  <si>
    <t>Monitoring des flux</t>
  </si>
  <si>
    <t>licences et infrastructures</t>
  </si>
  <si>
    <t>oui</t>
  </si>
  <si>
    <t>Dépôts logiques : 160
Gestion : Ce volume est relativement faible et ne devrait poser aucun problème de performance.
Performance : Les opérations de gestion des dépôts devraient être rapides et efficaces.
Traitements de Reporting, Import et Export
Reporting :
Capacité : SAP S/4HANA est conçu pour fournir des rapports en temps réel et peut gérer des volumes de données importants pour le reporting.
Performance : L'utilisation de l'architecture in-memory permet des opérations de reporting rapides et efficaces.
Import :
Capacité : SAP S/4HANA peut gérer des imports volumineux grâce à ses capacités de traitement en mémoire.
Performance : L'utilisation de techniques de batching et de parallélisation peut améliorer les performances des imports.
Export :
Capacité : De même, les exports peuvent être gérés efficacement.
Performance : L'utilisation de batching et de parallélisation peut également améliorer les performances des exports.
Recommandations Générales
Dimensionnement Approprié : Assurez-vous que l'infrastructure matérielle (CPU, mémoire, stockage) est correctement dimensionnée pour gérer les volumes de données et les transactions attendus.
Optimisation des Processus : Optimisez les processus métiers et les configurations du système pour améliorer l'efficacité et réduire les temps de traitement.
Tests de Charge : Effectuez des tests de charge pour valider les performances du système sous des conditions de charge élevées.
Répartition des Charges : Utilisez des techniques de répartition des charges et de load balancing pour distribuer les requêtes de manière égale sur les ressources disponibles.
Surveillance et Réglage : Mettez en place une surveillance proactive des performances et des alertes pour détecter et résoudre rapidement les problèmes de performance.
Conclusion
SAP S/4HANA Private Cloud est conçu pour gérer des volumes de données et des transactions importants sans dégradation des performances. Les volumes de données référentielles et transactionnelles décrits pour le Groupe Beaumanoir sont gérables avec une configuration et une optimisation appropriées. Cependant, il est crucial de suivre les meilleures pratiques de gestion des données, de réaliser des tests de charge et de surveiller les performances de manière proactive pour garantir une expérience utilisateur optimale. Il est recommandé de consulter des experts en infrastructure SAP pour s'assurer que la solution est correctement configurée et optimisée pour les besoins spécifiques du Groupe Beaumanoir.</t>
  </si>
  <si>
    <t>Clients Wholesale : 10 000
Gestion : Ce volume est modéré et devrait être facilement gérable.
Performance : Les opérations de gestion des clients devraient être performantes.</t>
  </si>
  <si>
    <t>Fournisseurs actifs : 1 000
Gestion : Ce volume est relativement faible et ne devrait poser aucun problème de performance.
Performance : Les opérations liées aux fournisseurs devraient être rapides et efficaces.</t>
  </si>
  <si>
    <t xml:space="preserve">Ces points seront à rediscuter pour préciser notre réponse en fonction de différents paramètres. Un technical assesment devra être fait.
dans un cadre S4 Private: 
Pour déterminer si SAP S/4HANA Private Cloud peut gérer les volumes de données, de transactions et d'activité du Groupe Beaumanoir sans dégradation des performances, il est essentiel de considérer plusieurs facteurs clés, notamment la configuration matérielle, l'optimisation du système et les meilleures pratiques de gestion des données.
Volumes de Données Référentielles et Transactionnelles
Références articles Modèles-Coloris : 30 000
Gestion : Ce volume est relativement modéré et devrait être facilement gérable par SAP S/4HANA.
Performance : Les opérations de création, de mise à jour et de consultation de ces références devraient être rapides et efficaces.
</t>
  </si>
  <si>
    <t>Référence articles Modèle-Coloris-Taille : 260 000
Gestion : Ce volume est plus important mais reste gérable par SAP S/4HANA grâce à son architecture in-memory.
Performance : L'architecture in-memory de HANA permet des opérations rapides même sur des volumes de données plus importants. Des indexations appropriées et des optimisations de base de données seront nécessaires.</t>
  </si>
  <si>
    <r>
      <t xml:space="preserve">Le technical assesment devra le confirmer. Les montées en charge doivent être anticipées pour s'assurer que Sap S/4 poura répondre à ces pics de charges dans les temps attendus.
SAP S/4HANA Private Cloud est conçu pour être très performant et capable de gérer des pics de charge importants grâce à sa capacité de traitement en temps réel et à sa base de données in-memory HANA. Cependant, la capacité à gérer des pics de charge sans dégradation des performances dépend de plusieurs facteurs, notamment la configuration matérielle, l'optimisation du système, la stratégie de gestion des charges de travail et les configurations spécifiques de l'application.
</t>
    </r>
    <r>
      <rPr>
        <b/>
        <sz val="11"/>
        <color theme="1"/>
        <rFont val="Aptos Narrow"/>
        <family val="2"/>
        <scheme val="minor"/>
      </rPr>
      <t>Utilisateurs simultanés : 950</t>
    </r>
    <r>
      <rPr>
        <sz val="11"/>
        <color theme="1"/>
        <rFont val="Aptos Narrow"/>
        <family val="2"/>
        <scheme val="minor"/>
      </rPr>
      <t xml:space="preserve">
Capacité de Base : SAP S/4HANA Private Cloud peut généralement gérer un nombre élevé d'utilisateurs simultanés, surtout si le système est correctement dimensionné et optimisé.
Optimisations : L'utilisation de techniques de mise en cache, de load balancing et de répartition des charges de travail peut aider à gérer efficacement un grand nombre d'utilisateurs.
Tests de Charge : Il est crucial de réaliser des tests de charge pour s'assurer que le système peut gérer ce nombre d'utilisateurs sans dégradation des performances.
</t>
    </r>
  </si>
  <si>
    <t xml:space="preserve">Commandes de vente créées en une journée : 400 000
Performance de la Base de Données : La base de données SAP HANA est conçue pour gérer de très grandes quantités de données en temps réel. Les opérations de lecture et d'écriture sont rapides grâce à l'architecture in-memory.
Optimisation des Processus : L'utilisation de batch jobs optimisés et de techniques de traitement parallèle peut aider à gérer un grand nombre de commandes de vente.
Scalabilité : Assurez-vous que le système est configuré pour être scalable, avec des ressources matérielles adéquates pour gérer les pics de charge.
</t>
  </si>
  <si>
    <t>Commandes d'achat créées en une journée : 11 000
Volume Relatif : Comparativement aux commandes de vente, ce volume est moins élevé et devrait être gérable sans problème par SAP S/4HANA Private Cloud.
Intégration des Processus : Assurez-vous que les processus de commande d'achat sont bien intégrés et optimisés pour éviter les goulots d'étranglement.
Surveillance et Réglage : Utilisez des outils de surveillance pour suivre les performances en temps réel et effectuer des ajustements si nécessaire.
Recommandations Générales
Dimensionnement Approprié : Assurez-vous que l'infrastructure matérielle (CPU, mémoire, stockage) est correctement dimensionnée pour gérer les pics de charge attendus.
Optimisation des Processus : Optimisez les processus métiers et les configurations du système pour améliorer l'efficacité et réduire les temps de traitement.
Tests de Charge : Effectuez des tests de charge réguliers pour valider les performances du système sous des conditions de charge élevées.
Répartition des Charges : Utilisez des techniques de répartition des charges et de load balancing pour distribuer les requêtes de manière égale sur les ressources disponibles.
Surveillance et Réglage : Mettez en place une surveillance proactive des performances et des alertes pour détecter et résoudre rapidement les problèmes de performance.
En conclusion, SAP S/4HANA Private Cloud est conçu pour gérer des pics de charge élevés, mais une planification et une optimisation rigoureuses sont essentielles pour garantir des performances optimales.</t>
  </si>
  <si>
    <t>Limites de lignes de traitement en sortie / export :
Les API d'export peuvent également avoir des limites similaires. Les données de sortie sont souvent paginées, avec des limites de quelques milliers à quelques dizaines de milliers de lignes par appel.
Il est important de consulter la documentation spécifique de chaque API pour connaître les limites exactes et les meilleures pratiques pour la pagination et la gestion des lots.
Recommandations Générales
Optimisation des Performances : Utilisez des techniques de batching et de pagination pour optimiser les performances et la gestion des données.
Test et Validation : Effectuez des tests de performance pour valider les limites en fonction de votre configuration spécifique et des volumes de données attendus.
Documentation : Consultez la documentation officielle de SAP S/4HANA et les notes de support pour obtenir des informations précises sur les limites et les meilleures pratiques.
En résumé, bien que SAP S/4HANA soit capable de gérer des volumes de données importants, il est essentiel de prendre en compte les limites spécifiques des fichiers plats et des API pour optimiser les performances et éviter les problèmes de traitement.</t>
  </si>
  <si>
    <t>Traitement via API
Limites de lignes de traitement en entrée / import :
Les API de SAP S/4HANA sont généralement conçues pour gérer des lots de données plus petits par rapport aux fichiers plats. Les limites spécifiques peuvent varier en fonction de l'API utilisée, mais il est courant de voir des limites de quelques milliers à quelques dizaines de milliers de lignes par appel.
Il est souvent nécessaire de paginer les appels API pour traiter de grands volumes de données.</t>
  </si>
  <si>
    <t xml:space="preserve">Les limites de traitement de données en entrée et en sortie pour les fichiers plats et les API peuvent varier en fonction de plusieurs facteurs, notamment la configuration du système, les ressources disponibles et les spécifications des logiciels utilisés. Voici quelques lignes directrices générales pour vous aider à comprendre ces limites dans le cadre de SAP S/4HANA Private Cloud Edition (S4 Private):
Fichiers Plats (Fichiers PLATS)
Limites de lignes de traitement en entrée / import :
Les limites peuvent varier en fonction de la taille des enregistrements et de la configuration du système. En général, SAP S/4HANA peut gérer des fichiers plats volumineux, mais il est recommandé de limiter les fichiers à quelques millions de lignes pour éviter des temps de traitement excessifs et des problèmes de performance.
Il est également important de considérer la taille maximale des fichiers supportés par le système de fichiers et les limitations de mémoire.
</t>
  </si>
  <si>
    <t>Limites de lignes de traitement en sortie / export :
Les mêmes considérations s'appliquent pour l'export. Les fichiers volumineux peuvent être gérés, mais il est conseillé de diviser les fichiers en plusieurs parties pour améliorer la gestion et la performance.
Les formats de sortie et les exigences de reporting peuvent également influencer les limites.</t>
  </si>
  <si>
    <t>Commandes d'Achat Créées en une Journée : 33 000
Gestion : Ce volume est plus important mais reste gérable.
Performance : Les opérations de gestion des commandes d'achat devraient rester performantes si le système est bien optimisé.
Recommandations Générales
Dimensionnement Approprié : Assurez-vous que l'infrastructure matérielle (CPU, mémoire, stockage) est correctement dimensionnée pour gérer les volumes de données et les transactions attendus. Une analyse de capacité détaillée est nécessaire.
Optimisation des Processus : Optimisez les processus métiers et les configurations du système pour améliorer l'efficacité et réduire les temps de traitement.
Tests de Charge : Effectuez des tests de charge rigoureux pour valider les performances du système sous des conditions de charge élevées.
Répartition des Charges : Utilisez des techniques de répartition des charges et de load balancing pour distribuer les requêtes de manière égale sur les ressources disponibles.
Surveillance et Réglage : Mettez en place une surveillance proactive des performances et des alertes pour détecter et résoudre rapidement les problèmes de performance.
Scalabilité : Assurez-vous que la solution est conçue pour être évolutive, permettant d'ajouter des ressources matérielles et logicielles au besoin.
Conclusion
SAP S/4HANA Private Cloud est capable de gérer des volumes de données et des transactions importants, mais une montée en charge de cette ampleur nécessite une planification minutieuse et une optimisation rigoureuse. Il est fortement recommandé de consulter des experts en infrastructure SAP pour s'assurer que la solution est correctement configurée et optimisée pour les besoins spécifiques du Groupe Beaumanoir. Des tests de charge et une surveillance continue sont essentiels pour garantir des performances optimales et éviter les dégradations.</t>
  </si>
  <si>
    <t>Commandes de Vente Créées en une Journée : 1 200 000
Gestion : Ce volume est très élevé et nécessite une optimisation rigoureuse.
Performance : L'utilisation de batch jobs optimisés, de traitement parallèle et de stratégies de partitionnement est essentielle pour gérer efficacement ce nombre de commandes de vente.</t>
  </si>
  <si>
    <t>Utilisateurs Simultanés : 2 850
Gestion : Gérer un tel nombre d'utilisateurs simultanés nécessite une infrastructure robuste et bien dimensionnée.
Performance : L'utilisation de techniques de load balancing, de mise en cache et de répartition des charges de travail est cruciale pour maintenir des performances optimales.</t>
  </si>
  <si>
    <t>Dépôts Logiques : 480
Gestion : Ce volume est modéré et ne devrait pas poser de problème majeur.
Performance : Les opérations de gestion des dépôts devraient rester rapides et efficaces.</t>
  </si>
  <si>
    <t>Clients Wholesale : 30 000
Gestion : Ce volume est plus important mais reste gérable.
Performance : Les opérations de gestion des clients devraient rester performantes, surtout si des stratégies de partitionnement et de cache sont mises en place.</t>
  </si>
  <si>
    <t>Fournisseurs Actifs : 3 000
Gestion : Ce volume est modéré et ne devrait pas poser de problème majeur.
Performance : Les opérations liées aux fournisseurs devraient rester rapides et efficaces.</t>
  </si>
  <si>
    <t xml:space="preserve">Nous pourrons valider ces points lors du technical assessment. Nous aurons besoin d'identifier dans quelles conditions ces pics de charges auront lieu.
Montée en charge *3
Gérer une montée en charge de cette ampleur dans SAP S/4HANA Private Cloud nécessite une planification minutieuse, une optimisation des processus et une infrastructure robuste. Voici une analyse détaillée de chaque composant pour évaluer la faisabilité de ce scénario hypothétique :
Références Articles Modèles-Coloris : 90 000
Gestion : Ce volume est plus important mais reste gérable par SAP S/4HANA grâce à son architecture in-memory et ses capacités de traitement en temps réel.
Performance : Les opérations de création, de mise à jour et de consultation de ces références devraient rester performantes, surtout si le système est correctement optimisé.
</t>
  </si>
  <si>
    <t>Références Articles Modèle-Coloris-Taille : 780 000
Gestion : Ce volume est substantiel mais peut être géré par SAP S/4HANA.
Performance : L'architecture in-memory de HANA permet des opérations rapides même sur des volumes de données plus importants. Des indexations appropriées et des optimisations de base de données seront nécessaires.</t>
  </si>
  <si>
    <t>Commandes d'Achat Créées en une Journée : 110 000
Gestion : Ce volume est élevé mais gérable avec une optimisation appropriée.
Performance : Les opérations de gestion des commandes d'achat devraient rester performantes si le système est bien optimisé.
Recommandations Générales
Dimensionnement Approprié : Assurez-vous que l'infrastructure matérielle (CPU, mémoire, stockage) est correctement dimensionnée pour gérer les volumes de données et les transactions attendus. Une analyse de capacité détaillée est nécessaire.
Optimisation des Processus : Optimisez les processus métiers et les configurations du système pour améliorer l'efficacité et réduire les temps de traitement.
Tests de Charge : Effectuez des tests de charge rigoureux pour valider les performances du système sous des conditions de charge élevées.
Répartition des Charges : Utilisez des techniques de répartition des charges et de load balancing pour distribuer les requêtes de manière égale sur les ressources disponibles.
Surveillance et Réglage : Mettez en place une surveillance proactive des performances et des alertes pour détecter et résoudre rapidement les problèmes de performance.
Scalabilité : Assurez-vous que la solution est conçue pour être évolutive, permettant d'ajouter des ressources matérielles et logicielles au besoin.
Conclusion
SAP S/4HANA Private Cloud est capable de gérer des volumes de données et des transactions importants, mais une montée en charge de cette ampleur (x10) nécessite une planification minutieuse, une optimisation rigoureuse et une infrastructure très robuste. Il est fortement recommandé de consulter des experts en infrastructure SAP pour s'assurer que la solution est correctement configurée et optimisée pour les besoins spécifiques du Groupe Beaumanoir. Des tests de charge et une surveillance continue sont essentiels pour garantir des performances optimales et éviter les dégradations.</t>
  </si>
  <si>
    <t>Commandes de Vente Créées en une Journée : 4 000 000
Gestion : Ce volume est extrêmement élevé et nécessite une optimisation rigoureuse.
Performance : L'utilisation de batch jobs optimisés, de traitement parallèle et de stratégies de partitionnement est essentielle pour gérer efficacement ce nombre de commandes de vente.</t>
  </si>
  <si>
    <t>Utilisateurs Simultanés : 9 500
Gestion : Gérer un tel nombre d'utilisateurs simultanés nécessite une infrastructure très robuste et bien dimensionnée.
Performance : L'utilisation de techniques de load balancing, de mise en cache et de répartition des charges de travail est cruciale pour maintenir des performances optimales.</t>
  </si>
  <si>
    <t>Dépôts Logiques : 1 600
Gestion : Ce volume est élevé et nécessite une gestion efficace.
Performance : Les opérations de gestion des dépôts devraient rester rapides et efficaces avec une optimisation appropriée.</t>
  </si>
  <si>
    <t>Clients Wholesale : 100 000
Gestion : Ce volume est élevé et nécessite une gestion et une optimisation rigoureuses.
Performance : Les opérations de gestion des clients devraient rester performantes, surtout si des stratégies de partitionnement et de cache sont mises en place.</t>
  </si>
  <si>
    <t>Fournisseurs Actifs : 10 000
Gestion : Ce volume est modéré mais nécessite une gestion efficace.
Performance : Les opérations liées aux fournisseurs devraient rester rapides et efficaces avec une optimisation appropriée.</t>
  </si>
  <si>
    <t xml:space="preserve">Nous pourrons valider ces points lors du technical assessment.
Montée en charge : x10
Gérer une montée en charge de cette ampleur (x10) dans SAP S/4HANA Private Cloud représente un défi significatif et nécessite une planification minutieuse, une optimisation rigoureuse et une infrastructure robuste. Voici une analyse détaillée de chaque composant pour évaluer la faisabilité de ce scénario hypothétique :
Références Articles Modèles-Coloris : 300 000
Gestion : Ce volume est très élevé et nécessite une optimisation rigoureuse.
Performance : Les opérations de création, de mise à jour et de consultation de ces références devraient rester performantes, mais cela nécessitera une optimisation des index, des partitions et des configurations de la base de données.
</t>
  </si>
  <si>
    <t>Références Articles Modèle-Coloris-Taille : 2 600 000
Gestion : Ce volume est extrêmement élevé et nécessite une architecture de base de données très bien optimisée.
Performance : L'architecture in-memory de HANA peut gérer des volumes de données importants, mais des optimisations spécifiques seront nécessaires pour maintenir les performances.</t>
  </si>
  <si>
    <t>Cout mensuel sur 30 mois de projet</t>
  </si>
  <si>
    <t>ESTIMATION COUTS MISE EN ŒUVRE (Numérique)</t>
  </si>
  <si>
    <t>Jours de développement des interfaces.</t>
  </si>
  <si>
    <t>1,28 Mds de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</si>
</sst>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43">
    <font>
      <sz val="11"/>
      <color theme="1"/>
      <name val="Aptos Narrow"/>
      <family val="2"/>
      <scheme val="minor"/>
    </font>
    <font>
      <sz val="11"/>
      <color indexed="9"/>
      <name val="Calibri"/>
      <family val="2"/>
    </font>
    <font>
      <sz val="10"/>
      <name val="Arial"/>
      <family val="2"/>
    </font>
    <font>
      <b/>
      <sz val="10"/>
      <name val="Aptos Display"/>
      <family val="2"/>
      <scheme val="major"/>
    </font>
    <font>
      <sz val="10"/>
      <name val="Aptos Display"/>
      <family val="2"/>
      <scheme val="major"/>
    </font>
    <font>
      <b/>
      <sz val="16"/>
      <color theme="0"/>
      <name val="Aptos Display"/>
      <family val="2"/>
      <scheme val="major"/>
    </font>
    <font>
      <b/>
      <sz val="11"/>
      <color theme="1"/>
      <name val="Aptos Narrow"/>
      <family val="2"/>
      <scheme val="minor"/>
    </font>
    <font>
      <b/>
      <sz val="10"/>
      <color theme="1"/>
      <name val="Aptos Display"/>
      <family val="2"/>
      <scheme val="major"/>
    </font>
    <font>
      <sz val="10"/>
      <color theme="1"/>
      <name val="Aptos Display"/>
      <family val="2"/>
      <scheme val="major"/>
    </font>
    <font>
      <sz val="11"/>
      <color rgb="FF000000"/>
      <name val="Aptos Narrow"/>
      <family val="2"/>
      <scheme val="minor"/>
    </font>
    <font>
      <sz val="8"/>
      <color rgb="FF000000"/>
      <name val="Inherit"/>
    </font>
    <font>
      <b/>
      <sz val="8"/>
      <color rgb="FF000000"/>
      <name val="Inherit"/>
    </font>
    <font>
      <b/>
      <sz val="11"/>
      <color theme="0"/>
      <name val="Aptos Narrow"/>
      <family val="2"/>
      <scheme val="minor"/>
    </font>
    <font>
      <sz val="11"/>
      <name val="Aptos Narrow"/>
      <family val="2"/>
      <scheme val="minor"/>
    </font>
    <font>
      <b/>
      <sz val="11"/>
      <color indexed="81"/>
      <name val="Tahoma"/>
      <family val="2"/>
    </font>
    <font>
      <sz val="11"/>
      <color indexed="81"/>
      <name val="Tahoma"/>
      <family val="2"/>
    </font>
    <font>
      <b/>
      <sz val="11"/>
      <color rgb="FF000000"/>
      <name val="Aptos"/>
      <family val="2"/>
    </font>
    <font>
      <b/>
      <sz val="16"/>
      <color theme="0"/>
      <name val="Aptos Narrow"/>
      <family val="2"/>
      <scheme val="minor"/>
    </font>
    <font>
      <sz val="11"/>
      <color theme="1"/>
      <name val="Aptos Display"/>
      <family val="2"/>
      <scheme val="major"/>
    </font>
    <font>
      <b/>
      <sz val="11"/>
      <color theme="1"/>
      <name val="Aptos Display"/>
      <family val="2"/>
      <scheme val="major"/>
    </font>
    <font>
      <b/>
      <sz val="12"/>
      <color theme="0"/>
      <name val="Aptos Display"/>
      <family val="2"/>
      <scheme val="major"/>
    </font>
    <font>
      <sz val="12"/>
      <color theme="1"/>
      <name val="Aptos Display"/>
      <family val="2"/>
      <scheme val="major"/>
    </font>
    <font>
      <sz val="12"/>
      <color theme="1"/>
      <name val="Aptos Narrow"/>
      <family val="2"/>
      <scheme val="minor"/>
    </font>
    <font>
      <b/>
      <sz val="28"/>
      <color rgb="FF000000"/>
      <name val="Aptos Narrow"/>
      <family val="2"/>
      <scheme val="minor"/>
    </font>
    <font>
      <b/>
      <sz val="14"/>
      <color rgb="FF6E8DFF"/>
      <name val="Aptos Narrow"/>
      <family val="2"/>
      <scheme val="minor"/>
    </font>
    <font>
      <u/>
      <sz val="11"/>
      <color theme="1"/>
      <name val="Aptos Narrow"/>
      <family val="2"/>
      <scheme val="minor"/>
    </font>
    <font>
      <b/>
      <u/>
      <sz val="11"/>
      <color theme="1"/>
      <name val="Aptos Narrow"/>
      <family val="2"/>
      <scheme val="minor"/>
    </font>
    <font>
      <sz val="9"/>
      <color indexed="81"/>
      <name val="Tahoma"/>
      <family val="2"/>
    </font>
    <font>
      <b/>
      <sz val="9"/>
      <color indexed="81"/>
      <name val="Tahoma"/>
      <family val="2"/>
    </font>
    <font>
      <b/>
      <sz val="12"/>
      <color theme="0"/>
      <name val="Aptos Narrow"/>
      <family val="2"/>
      <scheme val="minor"/>
    </font>
    <font>
      <i/>
      <sz val="11"/>
      <color theme="1"/>
      <name val="Aptos Narrow"/>
      <family val="2"/>
      <scheme val="minor"/>
    </font>
    <font>
      <b/>
      <sz val="12"/>
      <color rgb="FFFFFFFF"/>
      <name val="Aptos Display"/>
      <family val="2"/>
    </font>
    <font>
      <b/>
      <sz val="11"/>
      <color rgb="FF000000"/>
      <name val="Aptos Narrow"/>
      <family val="2"/>
      <scheme val="minor"/>
    </font>
    <font>
      <b/>
      <u/>
      <sz val="11"/>
      <color rgb="FFC00000"/>
      <name val="Aptos Narrow"/>
      <family val="2"/>
      <scheme val="minor"/>
    </font>
    <font>
      <sz val="8"/>
      <color theme="1"/>
      <name val="Aptos Narrow"/>
      <family val="2"/>
      <scheme val="minor"/>
    </font>
    <font>
      <sz val="6"/>
      <color rgb="FF424242"/>
      <name val="Segoe UI"/>
      <family val="2"/>
    </font>
    <font>
      <sz val="8"/>
      <color rgb="FF424242"/>
      <name val="Segoe UI"/>
      <family val="2"/>
    </font>
    <font>
      <b/>
      <sz val="9"/>
      <color rgb="FFFFFFFF"/>
      <name val="Aptos Narrow"/>
      <family val="2"/>
      <scheme val="minor"/>
    </font>
    <font>
      <sz val="9"/>
      <name val="Aptos Narrow"/>
      <family val="2"/>
      <scheme val="minor"/>
    </font>
    <font>
      <b/>
      <sz val="9"/>
      <name val="Aptos Narrow"/>
      <family val="2"/>
      <scheme val="minor"/>
    </font>
    <font>
      <b/>
      <sz val="12"/>
      <color theme="0"/>
      <name val="Aptos Display"/>
      <scheme val="major"/>
    </font>
    <font>
      <sz val="10"/>
      <name val="Aptos Display"/>
      <scheme val="major"/>
    </font>
    <font>
      <b/>
      <sz val="9"/>
      <color indexed="81"/>
      <name val="Tahoma"/>
    </font>
  </fonts>
  <fills count="16">
    <fill>
      <patternFill patternType="none"/>
    </fill>
    <fill>
      <patternFill patternType="gray125"/>
    </fill>
    <fill>
      <patternFill patternType="solid">
        <fgColor indexed="62"/>
      </patternFill>
    </fill>
    <fill>
      <patternFill patternType="solid">
        <fgColor theme="0"/>
        <bgColor indexed="64"/>
      </patternFill>
    </fill>
    <fill>
      <patternFill patternType="solid">
        <fgColor rgb="FF6E8DFF"/>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0070C0"/>
        <bgColor indexed="64"/>
      </patternFill>
    </fill>
    <fill>
      <patternFill patternType="solid">
        <fgColor rgb="FFFFFFCC"/>
        <bgColor indexed="64"/>
      </patternFill>
    </fill>
    <fill>
      <patternFill patternType="solid">
        <fgColor rgb="FF002060"/>
        <bgColor indexed="64"/>
      </patternFill>
    </fill>
    <fill>
      <patternFill patternType="solid">
        <fgColor rgb="FF6E8DFF"/>
        <bgColor rgb="FF000000"/>
      </patternFill>
    </fill>
    <fill>
      <patternFill patternType="solid">
        <fgColor theme="0" tint="-0.499984740745262"/>
        <bgColor indexed="64"/>
      </patternFill>
    </fill>
    <fill>
      <patternFill patternType="solid">
        <fgColor theme="3" tint="0.89999084444715716"/>
        <bgColor indexed="64"/>
      </patternFill>
    </fill>
    <fill>
      <patternFill patternType="solid">
        <fgColor rgb="FFFFFF00"/>
        <bgColor indexed="64"/>
      </patternFill>
    </fill>
    <fill>
      <patternFill patternType="solid">
        <fgColor rgb="FF3C7D22"/>
        <bgColor rgb="FF000000"/>
      </patternFill>
    </fill>
    <fill>
      <patternFill patternType="solid">
        <fgColor rgb="FFFFFFFF"/>
        <bgColor rgb="FF000000"/>
      </patternFill>
    </fill>
  </fills>
  <borders count="109">
    <border>
      <left/>
      <right/>
      <top/>
      <bottom/>
      <diagonal/>
    </border>
    <border>
      <left style="thin">
        <color indexed="64"/>
      </left>
      <right style="thin">
        <color indexed="64"/>
      </right>
      <top style="thin">
        <color indexed="64"/>
      </top>
      <bottom style="thin">
        <color indexed="64"/>
      </bottom>
      <diagonal/>
    </border>
    <border>
      <left style="thin">
        <color indexed="64"/>
      </left>
      <right/>
      <top style="dotted">
        <color indexed="64"/>
      </top>
      <bottom style="dotted">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medium">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dotted">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bottom/>
      <diagonal/>
    </border>
    <border>
      <left/>
      <right/>
      <top style="dotted">
        <color indexed="64"/>
      </top>
      <bottom style="thin">
        <color indexed="64"/>
      </bottom>
      <diagonal/>
    </border>
    <border>
      <left style="thin">
        <color indexed="64"/>
      </left>
      <right/>
      <top style="dotted">
        <color indexed="64"/>
      </top>
      <bottom style="thin">
        <color indexed="64"/>
      </bottom>
      <diagonal/>
    </border>
    <border>
      <left/>
      <right style="medium">
        <color indexed="64"/>
      </right>
      <top style="dotted">
        <color indexed="64"/>
      </top>
      <bottom style="medium">
        <color indexed="64"/>
      </bottom>
      <diagonal/>
    </border>
    <border>
      <left/>
      <right style="medium">
        <color indexed="64"/>
      </right>
      <top style="dotted">
        <color indexed="64"/>
      </top>
      <bottom style="thin">
        <color indexed="64"/>
      </bottom>
      <diagonal/>
    </border>
    <border>
      <left/>
      <right style="medium">
        <color indexed="64"/>
      </right>
      <top style="dotted">
        <color indexed="64"/>
      </top>
      <bottom style="dotted">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dotted">
        <color indexed="64"/>
      </bottom>
      <diagonal/>
    </border>
    <border>
      <left/>
      <right style="medium">
        <color indexed="64"/>
      </right>
      <top/>
      <bottom style="dotted">
        <color indexed="64"/>
      </bottom>
      <diagonal/>
    </border>
    <border>
      <left/>
      <right style="medium">
        <color indexed="64"/>
      </right>
      <top style="dotted">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dotted">
        <color indexed="64"/>
      </bottom>
      <diagonal/>
    </border>
    <border>
      <left/>
      <right/>
      <top/>
      <bottom style="thin">
        <color indexed="64"/>
      </bottom>
      <diagonal/>
    </border>
    <border>
      <left/>
      <right/>
      <top style="medium">
        <color indexed="64"/>
      </top>
      <bottom style="dotted">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dotted">
        <color indexed="64"/>
      </top>
      <bottom style="medium">
        <color indexed="64"/>
      </bottom>
      <diagonal/>
    </border>
    <border>
      <left/>
      <right/>
      <top style="dotted">
        <color indexed="64"/>
      </top>
      <bottom/>
      <diagonal/>
    </border>
    <border>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medium">
        <color indexed="64"/>
      </left>
      <right/>
      <top style="dotted">
        <color indexed="64"/>
      </top>
      <bottom style="dotted">
        <color indexed="64"/>
      </bottom>
      <diagonal/>
    </border>
    <border>
      <left style="medium">
        <color indexed="64"/>
      </left>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indexed="64"/>
      </left>
      <right/>
      <top style="dotted">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medium">
        <color indexed="64"/>
      </bottom>
      <diagonal/>
    </border>
    <border>
      <left style="medium">
        <color indexed="64"/>
      </left>
      <right/>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right style="thin">
        <color indexed="64"/>
      </right>
      <top style="medium">
        <color indexed="64"/>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indexed="64"/>
      </left>
      <right style="medium">
        <color indexed="64"/>
      </right>
      <top/>
      <bottom style="dotted">
        <color indexed="64"/>
      </bottom>
      <diagonal/>
    </border>
  </borders>
  <cellStyleXfs count="3">
    <xf numFmtId="0" fontId="0" fillId="0" borderId="0"/>
    <xf numFmtId="0" fontId="1" fillId="2" borderId="0" applyNumberFormat="0" applyBorder="0" applyAlignment="0" applyProtection="0"/>
    <xf numFmtId="0" fontId="2" fillId="0" borderId="0"/>
  </cellStyleXfs>
  <cellXfs count="411">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8" fillId="0" borderId="0" xfId="0" applyFont="1" applyAlignment="1">
      <alignment horizontal="left" vertical="center" wrapText="1"/>
    </xf>
    <xf numFmtId="0" fontId="8" fillId="0" borderId="23" xfId="0" applyFont="1" applyBorder="1" applyAlignment="1">
      <alignment horizontal="left" vertical="center" wrapText="1"/>
    </xf>
    <xf numFmtId="0" fontId="9" fillId="0" borderId="0" xfId="0" applyFont="1"/>
    <xf numFmtId="0" fontId="11" fillId="0" borderId="0" xfId="0" applyFont="1" applyAlignment="1">
      <alignment horizontal="left" vertical="center" wrapText="1" indent="1" readingOrder="1"/>
    </xf>
    <xf numFmtId="0" fontId="11" fillId="0" borderId="0" xfId="0" applyFont="1" applyAlignment="1">
      <alignment horizontal="left" vertical="center" wrapText="1" indent="2" readingOrder="1"/>
    </xf>
    <xf numFmtId="0" fontId="10" fillId="0" borderId="0" xfId="0" applyFont="1" applyAlignment="1">
      <alignment horizontal="left" vertical="center" wrapText="1" indent="1" readingOrder="1"/>
    </xf>
    <xf numFmtId="0" fontId="0" fillId="0" borderId="1" xfId="0" applyBorder="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9" fillId="0" borderId="0" xfId="0" applyFont="1" applyAlignment="1">
      <alignment horizontal="left" vertical="center" wrapText="1"/>
    </xf>
    <xf numFmtId="0" fontId="18"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horizontal="left" vertical="center" wrapText="1"/>
    </xf>
    <xf numFmtId="0" fontId="21" fillId="0" borderId="0" xfId="0" applyFont="1" applyAlignment="1">
      <alignment horizontal="left" vertical="center"/>
    </xf>
    <xf numFmtId="0" fontId="20" fillId="4" borderId="22" xfId="1" applyFont="1" applyFill="1" applyBorder="1" applyAlignment="1">
      <alignment vertical="center" wrapText="1"/>
    </xf>
    <xf numFmtId="0" fontId="22" fillId="0" borderId="0" xfId="0" applyFont="1"/>
    <xf numFmtId="0" fontId="8" fillId="0" borderId="0" xfId="0" applyFont="1" applyAlignment="1">
      <alignment horizontal="left" vertical="center"/>
    </xf>
    <xf numFmtId="0" fontId="4" fillId="0" borderId="2" xfId="2" applyFont="1" applyBorder="1" applyAlignment="1">
      <alignment vertical="center" wrapText="1"/>
    </xf>
    <xf numFmtId="0" fontId="20" fillId="4" borderId="27" xfId="1" applyFont="1" applyFill="1" applyBorder="1" applyAlignment="1">
      <alignment vertical="center" wrapText="1"/>
    </xf>
    <xf numFmtId="0" fontId="20" fillId="4" borderId="12" xfId="1" applyFont="1" applyFill="1" applyBorder="1" applyAlignment="1">
      <alignment vertical="center" wrapText="1"/>
    </xf>
    <xf numFmtId="0" fontId="4" fillId="0" borderId="17" xfId="2" applyFont="1" applyBorder="1" applyAlignment="1">
      <alignment vertical="center" wrapText="1"/>
    </xf>
    <xf numFmtId="0" fontId="4" fillId="0" borderId="18" xfId="2" applyFont="1" applyBorder="1" applyAlignment="1">
      <alignment vertical="center" wrapText="1"/>
    </xf>
    <xf numFmtId="0" fontId="4" fillId="0" borderId="37" xfId="2" applyFont="1" applyBorder="1" applyAlignment="1">
      <alignment vertical="center" wrapText="1"/>
    </xf>
    <xf numFmtId="0" fontId="4" fillId="0" borderId="17" xfId="2" applyFont="1" applyBorder="1" applyAlignment="1">
      <alignment horizontal="left" vertical="center" wrapText="1"/>
    </xf>
    <xf numFmtId="0" fontId="4" fillId="0" borderId="18" xfId="2" applyFont="1" applyBorder="1" applyAlignment="1">
      <alignment horizontal="left" vertical="center" wrapText="1"/>
    </xf>
    <xf numFmtId="0" fontId="4" fillId="0" borderId="37" xfId="2" applyFont="1" applyBorder="1" applyAlignment="1">
      <alignment horizontal="left" vertical="center" wrapText="1"/>
    </xf>
    <xf numFmtId="0" fontId="4" fillId="0" borderId="36" xfId="2" applyFont="1" applyBorder="1" applyAlignment="1">
      <alignment vertical="center" wrapText="1"/>
    </xf>
    <xf numFmtId="0" fontId="4" fillId="0" borderId="16" xfId="2" applyFont="1" applyBorder="1" applyAlignment="1">
      <alignment vertical="center" wrapText="1"/>
    </xf>
    <xf numFmtId="0" fontId="9" fillId="0" borderId="68" xfId="0" applyFont="1" applyBorder="1" applyAlignment="1">
      <alignment horizontal="left" vertical="center" wrapText="1"/>
    </xf>
    <xf numFmtId="0" fontId="3" fillId="5" borderId="75" xfId="2" applyFont="1" applyFill="1" applyBorder="1" applyAlignment="1">
      <alignment horizontal="left" vertical="center" wrapText="1"/>
    </xf>
    <xf numFmtId="0" fontId="8" fillId="0" borderId="76" xfId="0" applyFont="1" applyBorder="1" applyAlignment="1">
      <alignment horizontal="left" vertical="center" wrapText="1"/>
    </xf>
    <xf numFmtId="0" fontId="8" fillId="0" borderId="76" xfId="0" quotePrefix="1" applyFont="1" applyBorder="1" applyAlignment="1">
      <alignment horizontal="left" vertical="center"/>
    </xf>
    <xf numFmtId="0" fontId="8" fillId="0" borderId="76" xfId="0" quotePrefix="1" applyFont="1" applyBorder="1" applyAlignment="1">
      <alignment horizontal="left" vertical="center" wrapText="1"/>
    </xf>
    <xf numFmtId="0" fontId="4" fillId="0" borderId="76" xfId="2" applyFont="1" applyBorder="1" applyAlignment="1">
      <alignment horizontal="center" vertical="center"/>
    </xf>
    <xf numFmtId="0" fontId="8" fillId="0" borderId="77" xfId="0" quotePrefix="1" applyFont="1" applyBorder="1" applyAlignment="1">
      <alignment horizontal="left" vertical="center" wrapText="1"/>
    </xf>
    <xf numFmtId="0" fontId="20" fillId="4" borderId="39" xfId="1" applyFont="1" applyFill="1" applyBorder="1" applyAlignment="1">
      <alignment vertical="center" wrapText="1"/>
    </xf>
    <xf numFmtId="0" fontId="20" fillId="4" borderId="38" xfId="1" applyFont="1" applyFill="1" applyBorder="1" applyAlignment="1">
      <alignment vertical="center" wrapText="1"/>
    </xf>
    <xf numFmtId="0" fontId="20" fillId="4" borderId="63" xfId="1" applyFont="1" applyFill="1" applyBorder="1" applyAlignment="1">
      <alignment vertical="center" wrapText="1"/>
    </xf>
    <xf numFmtId="0" fontId="8" fillId="0" borderId="76" xfId="0" quotePrefix="1" applyFont="1" applyBorder="1" applyAlignment="1">
      <alignment vertical="center" wrapText="1"/>
    </xf>
    <xf numFmtId="0" fontId="12" fillId="9" borderId="1" xfId="0" applyFont="1" applyFill="1" applyBorder="1"/>
    <xf numFmtId="0" fontId="9" fillId="0" borderId="1" xfId="0" applyFont="1" applyBorder="1"/>
    <xf numFmtId="0" fontId="0" fillId="3" borderId="0" xfId="0" applyFill="1"/>
    <xf numFmtId="0" fontId="0" fillId="3" borderId="11" xfId="0" applyFill="1" applyBorder="1"/>
    <xf numFmtId="0" fontId="23" fillId="3" borderId="0" xfId="0" applyFont="1" applyFill="1"/>
    <xf numFmtId="0" fontId="24" fillId="3" borderId="0" xfId="0" applyFont="1" applyFill="1"/>
    <xf numFmtId="0" fontId="0" fillId="3" borderId="0" xfId="0" applyFill="1" applyAlignment="1">
      <alignment wrapText="1"/>
    </xf>
    <xf numFmtId="0" fontId="0" fillId="3" borderId="83" xfId="0" applyFill="1" applyBorder="1" applyAlignment="1">
      <alignment wrapText="1"/>
    </xf>
    <xf numFmtId="0" fontId="0" fillId="3" borderId="84" xfId="0" applyFill="1" applyBorder="1" applyAlignment="1">
      <alignment wrapText="1"/>
    </xf>
    <xf numFmtId="0" fontId="0" fillId="3" borderId="85" xfId="0" applyFill="1" applyBorder="1" applyAlignment="1">
      <alignment wrapText="1"/>
    </xf>
    <xf numFmtId="0" fontId="0" fillId="3" borderId="86" xfId="0" applyFill="1" applyBorder="1" applyAlignment="1">
      <alignment wrapText="1"/>
    </xf>
    <xf numFmtId="0" fontId="0" fillId="3" borderId="81" xfId="0" applyFill="1" applyBorder="1" applyAlignment="1">
      <alignment wrapText="1"/>
    </xf>
    <xf numFmtId="0" fontId="0" fillId="3" borderId="87" xfId="0" applyFill="1" applyBorder="1" applyAlignment="1">
      <alignment wrapText="1"/>
    </xf>
    <xf numFmtId="0" fontId="0" fillId="3" borderId="82" xfId="0" applyFill="1" applyBorder="1"/>
    <xf numFmtId="0" fontId="0" fillId="3" borderId="85" xfId="0" applyFill="1" applyBorder="1"/>
    <xf numFmtId="0" fontId="0" fillId="3" borderId="86" xfId="0" applyFill="1" applyBorder="1"/>
    <xf numFmtId="0" fontId="9" fillId="0" borderId="33" xfId="0" applyFont="1" applyBorder="1" applyAlignment="1">
      <alignment vertical="center"/>
    </xf>
    <xf numFmtId="0" fontId="9" fillId="0" borderId="31" xfId="0" applyFont="1" applyBorder="1" applyAlignment="1">
      <alignment vertical="center"/>
    </xf>
    <xf numFmtId="0" fontId="0" fillId="3" borderId="82" xfId="0" applyFill="1" applyBorder="1" applyAlignment="1">
      <alignment vertical="top" wrapText="1"/>
    </xf>
    <xf numFmtId="0" fontId="0" fillId="3" borderId="0" xfId="0" applyFill="1" applyAlignment="1">
      <alignment vertical="top" wrapText="1"/>
    </xf>
    <xf numFmtId="0" fontId="7" fillId="0" borderId="75" xfId="0" applyFont="1" applyBorder="1" applyAlignment="1">
      <alignment horizontal="left" vertical="center" wrapText="1"/>
    </xf>
    <xf numFmtId="0" fontId="7" fillId="0" borderId="76" xfId="0" applyFont="1" applyBorder="1" applyAlignment="1">
      <alignment horizontal="left" vertical="center"/>
    </xf>
    <xf numFmtId="0" fontId="7" fillId="0" borderId="76" xfId="0" applyFont="1" applyBorder="1" applyAlignment="1">
      <alignment horizontal="left" vertical="center" wrapText="1"/>
    </xf>
    <xf numFmtId="0" fontId="5" fillId="4" borderId="5" xfId="2" applyFont="1" applyFill="1" applyBorder="1" applyAlignment="1">
      <alignment horizontal="left" vertical="center"/>
    </xf>
    <xf numFmtId="0" fontId="5" fillId="4" borderId="6" xfId="2" applyFont="1" applyFill="1" applyBorder="1" applyAlignment="1">
      <alignment horizontal="left" vertical="center"/>
    </xf>
    <xf numFmtId="0" fontId="29" fillId="4" borderId="1" xfId="0" applyFont="1" applyFill="1" applyBorder="1" applyAlignment="1">
      <alignment horizontal="center" vertical="center" wrapText="1"/>
    </xf>
    <xf numFmtId="0" fontId="0" fillId="0" borderId="56" xfId="0" applyBorder="1" applyAlignment="1">
      <alignment vertical="center" wrapText="1"/>
    </xf>
    <xf numFmtId="0" fontId="0" fillId="0" borderId="72" xfId="0" applyBorder="1" applyAlignment="1">
      <alignment vertical="center"/>
    </xf>
    <xf numFmtId="0" fontId="0" fillId="0" borderId="30" xfId="0" applyBorder="1" applyAlignment="1">
      <alignment vertical="center" wrapText="1"/>
    </xf>
    <xf numFmtId="0" fontId="0" fillId="0" borderId="69" xfId="0" applyBorder="1" applyAlignment="1">
      <alignment vertical="center"/>
    </xf>
    <xf numFmtId="0" fontId="0" fillId="0" borderId="65" xfId="0" applyBorder="1" applyAlignment="1">
      <alignment vertical="center" wrapText="1"/>
    </xf>
    <xf numFmtId="0" fontId="0" fillId="0" borderId="65" xfId="0" applyBorder="1" applyAlignment="1">
      <alignment vertical="center"/>
    </xf>
    <xf numFmtId="0" fontId="0" fillId="0" borderId="41" xfId="0" applyBorder="1" applyAlignment="1">
      <alignment vertical="center"/>
    </xf>
    <xf numFmtId="0" fontId="0" fillId="0" borderId="68" xfId="0" applyBorder="1" applyAlignment="1">
      <alignment vertical="center" wrapText="1"/>
    </xf>
    <xf numFmtId="0" fontId="0" fillId="0" borderId="68" xfId="0" applyBorder="1" applyAlignment="1">
      <alignment vertical="center"/>
    </xf>
    <xf numFmtId="0" fontId="0" fillId="0" borderId="33" xfId="0" applyBorder="1" applyAlignment="1">
      <alignment vertical="center"/>
    </xf>
    <xf numFmtId="0" fontId="0" fillId="0" borderId="73" xfId="0" applyBorder="1" applyAlignment="1">
      <alignment vertical="center" wrapText="1"/>
    </xf>
    <xf numFmtId="0" fontId="0" fillId="0" borderId="73" xfId="0" applyBorder="1" applyAlignment="1">
      <alignment vertical="center"/>
    </xf>
    <xf numFmtId="0" fontId="0" fillId="0" borderId="48" xfId="0" applyBorder="1" applyAlignment="1">
      <alignment vertical="center" wrapText="1"/>
    </xf>
    <xf numFmtId="0" fontId="0" fillId="0" borderId="15" xfId="0" applyBorder="1" applyAlignment="1">
      <alignment vertical="center" wrapText="1"/>
    </xf>
    <xf numFmtId="0" fontId="0" fillId="0" borderId="29" xfId="0" applyBorder="1" applyAlignment="1">
      <alignment vertical="center" wrapText="1"/>
    </xf>
    <xf numFmtId="0" fontId="0" fillId="0" borderId="14" xfId="0" applyBorder="1" applyAlignment="1">
      <alignment vertical="center" wrapText="1"/>
    </xf>
    <xf numFmtId="0" fontId="0" fillId="0" borderId="70" xfId="0" applyBorder="1" applyAlignment="1">
      <alignment vertical="center"/>
    </xf>
    <xf numFmtId="0" fontId="0" fillId="3" borderId="15" xfId="0" applyFill="1" applyBorder="1" applyAlignment="1">
      <alignment vertical="center" wrapText="1"/>
    </xf>
    <xf numFmtId="0" fontId="0" fillId="3" borderId="53" xfId="0" applyFill="1" applyBorder="1" applyAlignment="1">
      <alignment vertical="center" wrapText="1"/>
    </xf>
    <xf numFmtId="0" fontId="0" fillId="0" borderId="40" xfId="0" applyBorder="1" applyAlignment="1">
      <alignment vertical="center"/>
    </xf>
    <xf numFmtId="0" fontId="0" fillId="0" borderId="10" xfId="0" applyBorder="1" applyAlignment="1">
      <alignment vertical="center"/>
    </xf>
    <xf numFmtId="0" fontId="0" fillId="0" borderId="50" xfId="0" applyBorder="1" applyAlignment="1">
      <alignment vertical="center" wrapText="1"/>
    </xf>
    <xf numFmtId="0" fontId="0" fillId="0" borderId="53" xfId="0" applyBorder="1" applyAlignment="1">
      <alignment vertical="center" wrapText="1"/>
    </xf>
    <xf numFmtId="0" fontId="0" fillId="0" borderId="54" xfId="0" applyBorder="1" applyAlignment="1">
      <alignment vertical="center" wrapText="1"/>
    </xf>
    <xf numFmtId="0" fontId="0" fillId="0" borderId="64" xfId="0" applyBorder="1" applyAlignment="1">
      <alignment vertical="center"/>
    </xf>
    <xf numFmtId="0" fontId="0" fillId="0" borderId="15" xfId="0" applyBorder="1" applyAlignment="1">
      <alignment horizontal="left" vertical="center" wrapText="1"/>
    </xf>
    <xf numFmtId="0" fontId="0" fillId="0" borderId="72" xfId="0" applyBorder="1" applyAlignment="1">
      <alignment vertical="center" wrapText="1"/>
    </xf>
    <xf numFmtId="0" fontId="9" fillId="0" borderId="68" xfId="0" applyFont="1" applyBorder="1" applyAlignment="1">
      <alignment vertical="center"/>
    </xf>
    <xf numFmtId="0" fontId="9" fillId="0" borderId="73" xfId="0" applyFont="1" applyBorder="1" applyAlignment="1">
      <alignment vertical="center"/>
    </xf>
    <xf numFmtId="0" fontId="20" fillId="4" borderId="4" xfId="1" applyFont="1" applyFill="1" applyBorder="1" applyAlignment="1">
      <alignment vertical="center" wrapText="1"/>
    </xf>
    <xf numFmtId="0" fontId="0" fillId="3" borderId="48" xfId="0" applyFill="1" applyBorder="1" applyAlignment="1">
      <alignment horizontal="left" vertical="center" wrapText="1"/>
    </xf>
    <xf numFmtId="0" fontId="0" fillId="0" borderId="65" xfId="0" applyBorder="1" applyAlignment="1">
      <alignment horizontal="left" vertical="center"/>
    </xf>
    <xf numFmtId="0" fontId="0" fillId="0" borderId="41" xfId="0" applyBorder="1" applyAlignment="1">
      <alignment horizontal="left" vertical="center"/>
    </xf>
    <xf numFmtId="0" fontId="13" fillId="0" borderId="15" xfId="0" applyFont="1" applyBorder="1" applyAlignment="1">
      <alignment horizontal="left" vertical="center" wrapText="1"/>
    </xf>
    <xf numFmtId="0" fontId="0" fillId="0" borderId="25" xfId="0" applyBorder="1" applyAlignment="1">
      <alignment horizontal="left" vertical="center"/>
    </xf>
    <xf numFmtId="0" fontId="13" fillId="0" borderId="29" xfId="0" applyFont="1" applyBorder="1" applyAlignment="1">
      <alignment horizontal="left" vertical="center" wrapText="1"/>
    </xf>
    <xf numFmtId="0" fontId="0" fillId="0" borderId="23" xfId="0" applyBorder="1" applyAlignment="1">
      <alignment horizontal="left" vertical="center"/>
    </xf>
    <xf numFmtId="0" fontId="13" fillId="0" borderId="53" xfId="0" applyFont="1" applyBorder="1" applyAlignment="1">
      <alignment horizontal="left" vertical="center" wrapText="1"/>
    </xf>
    <xf numFmtId="0" fontId="6" fillId="0" borderId="0" xfId="0" applyFont="1" applyAlignment="1">
      <alignment horizontal="left" vertical="center" wrapText="1"/>
    </xf>
    <xf numFmtId="0" fontId="29" fillId="4" borderId="35" xfId="0" applyFont="1" applyFill="1" applyBorder="1" applyAlignment="1">
      <alignment horizontal="left" vertical="center"/>
    </xf>
    <xf numFmtId="0" fontId="29" fillId="4" borderId="59" xfId="0" applyFont="1" applyFill="1" applyBorder="1" applyAlignment="1">
      <alignment horizontal="left" vertical="center"/>
    </xf>
    <xf numFmtId="0" fontId="13" fillId="0" borderId="33" xfId="0" applyFont="1" applyBorder="1" applyAlignment="1">
      <alignment horizontal="left" vertical="center" wrapText="1"/>
    </xf>
    <xf numFmtId="0" fontId="13" fillId="3" borderId="65" xfId="0" applyFont="1" applyFill="1" applyBorder="1" applyAlignment="1">
      <alignment horizontal="left" vertical="center" wrapText="1"/>
    </xf>
    <xf numFmtId="0" fontId="13" fillId="0" borderId="68" xfId="0" applyFont="1" applyBorder="1" applyAlignment="1">
      <alignment horizontal="left" vertical="center" wrapText="1"/>
    </xf>
    <xf numFmtId="0" fontId="13" fillId="0" borderId="0" xfId="0" applyFont="1" applyAlignment="1">
      <alignment horizontal="left" vertical="center" wrapText="1"/>
    </xf>
    <xf numFmtId="0" fontId="29" fillId="4" borderId="45" xfId="0" applyFont="1" applyFill="1" applyBorder="1" applyAlignment="1">
      <alignment horizontal="left" vertical="center"/>
    </xf>
    <xf numFmtId="0" fontId="13" fillId="0" borderId="14" xfId="0" applyFont="1" applyBorder="1" applyAlignment="1">
      <alignment horizontal="left" vertical="center" wrapText="1"/>
    </xf>
    <xf numFmtId="0" fontId="13" fillId="0" borderId="73" xfId="0" applyFont="1" applyBorder="1" applyAlignment="1">
      <alignment horizontal="left" vertical="center" wrapText="1"/>
    </xf>
    <xf numFmtId="0" fontId="13" fillId="0" borderId="31" xfId="0" applyFont="1" applyBorder="1" applyAlignment="1">
      <alignment horizontal="left" vertical="center" wrapText="1"/>
    </xf>
    <xf numFmtId="0" fontId="0" fillId="11" borderId="65" xfId="0" applyFill="1" applyBorder="1" applyAlignment="1">
      <alignment horizontal="left" vertical="center"/>
    </xf>
    <xf numFmtId="0" fontId="0" fillId="11" borderId="41" xfId="0" applyFill="1" applyBorder="1" applyAlignment="1">
      <alignment horizontal="left" vertical="center"/>
    </xf>
    <xf numFmtId="0" fontId="0" fillId="11" borderId="41" xfId="0" applyFill="1" applyBorder="1" applyAlignment="1">
      <alignment vertical="center"/>
    </xf>
    <xf numFmtId="0" fontId="0" fillId="0" borderId="25" xfId="0" applyBorder="1" applyAlignment="1">
      <alignment vertical="center" wrapText="1"/>
    </xf>
    <xf numFmtId="0" fontId="0" fillId="3" borderId="70" xfId="0" applyFill="1" applyBorder="1" applyAlignment="1">
      <alignment horizontal="left" vertical="center" wrapText="1"/>
    </xf>
    <xf numFmtId="0" fontId="5" fillId="4" borderId="55" xfId="2" applyFont="1" applyFill="1" applyBorder="1" applyAlignment="1">
      <alignment horizontal="left" vertical="center"/>
    </xf>
    <xf numFmtId="0" fontId="5" fillId="4" borderId="45" xfId="2" applyFont="1" applyFill="1" applyBorder="1" applyAlignment="1">
      <alignment horizontal="left" vertical="center"/>
    </xf>
    <xf numFmtId="0" fontId="9" fillId="0" borderId="68" xfId="0" applyFont="1" applyBorder="1" applyAlignment="1">
      <alignment vertical="center" wrapText="1"/>
    </xf>
    <xf numFmtId="0" fontId="0" fillId="12" borderId="35" xfId="0" applyFill="1" applyBorder="1" applyAlignment="1">
      <alignment vertical="center" wrapText="1"/>
    </xf>
    <xf numFmtId="164" fontId="0" fillId="12" borderId="35" xfId="0" applyNumberFormat="1" applyFill="1" applyBorder="1" applyAlignment="1">
      <alignment vertical="center" wrapText="1"/>
    </xf>
    <xf numFmtId="0" fontId="0" fillId="12" borderId="59" xfId="0" applyFill="1" applyBorder="1" applyAlignment="1">
      <alignment vertical="center" wrapText="1"/>
    </xf>
    <xf numFmtId="0" fontId="9" fillId="0" borderId="40" xfId="0" applyFont="1" applyBorder="1" applyAlignment="1">
      <alignment vertical="center"/>
    </xf>
    <xf numFmtId="164" fontId="9" fillId="0" borderId="89" xfId="0" applyNumberFormat="1" applyFont="1" applyBorder="1" applyAlignment="1">
      <alignment vertical="center" wrapText="1"/>
    </xf>
    <xf numFmtId="0" fontId="9" fillId="0" borderId="73" xfId="0" applyFont="1" applyBorder="1" applyAlignment="1">
      <alignment vertical="center" wrapText="1"/>
    </xf>
    <xf numFmtId="0" fontId="9" fillId="0" borderId="72" xfId="0" applyFont="1" applyBorder="1" applyAlignment="1">
      <alignment vertical="center" wrapText="1"/>
    </xf>
    <xf numFmtId="0" fontId="9" fillId="0" borderId="88" xfId="0" applyFont="1" applyBorder="1" applyAlignment="1">
      <alignment vertical="center" wrapText="1"/>
    </xf>
    <xf numFmtId="0" fontId="9" fillId="0" borderId="89" xfId="0" applyFont="1" applyBorder="1" applyAlignment="1">
      <alignment vertical="center" wrapText="1"/>
    </xf>
    <xf numFmtId="0" fontId="9" fillId="0" borderId="90" xfId="0" applyFont="1" applyBorder="1" applyAlignment="1">
      <alignment vertical="center" wrapText="1"/>
    </xf>
    <xf numFmtId="164" fontId="9" fillId="0" borderId="90" xfId="0" applyNumberFormat="1" applyFont="1" applyBorder="1" applyAlignment="1">
      <alignment vertical="center" wrapText="1"/>
    </xf>
    <xf numFmtId="0" fontId="31" fillId="10" borderId="60" xfId="0" applyFont="1" applyFill="1" applyBorder="1" applyAlignment="1">
      <alignment horizontal="left" vertical="center" wrapText="1"/>
    </xf>
    <xf numFmtId="0" fontId="22" fillId="0" borderId="0" xfId="0" applyFont="1" applyAlignment="1">
      <alignment horizontal="left" vertical="center"/>
    </xf>
    <xf numFmtId="0" fontId="20" fillId="7" borderId="4" xfId="2" applyFont="1" applyFill="1" applyBorder="1" applyAlignment="1">
      <alignment vertical="center"/>
    </xf>
    <xf numFmtId="0" fontId="20" fillId="7" borderId="5" xfId="2" applyFont="1" applyFill="1" applyBorder="1" applyAlignment="1">
      <alignment vertical="center"/>
    </xf>
    <xf numFmtId="0" fontId="20" fillId="7" borderId="6" xfId="2" applyFont="1" applyFill="1" applyBorder="1" applyAlignment="1">
      <alignment vertical="center"/>
    </xf>
    <xf numFmtId="0" fontId="20" fillId="7" borderId="3" xfId="2" applyFont="1" applyFill="1" applyBorder="1" applyAlignment="1">
      <alignment vertical="center"/>
    </xf>
    <xf numFmtId="0" fontId="21" fillId="0" borderId="0" xfId="0" applyFont="1" applyAlignment="1">
      <alignment vertical="center"/>
    </xf>
    <xf numFmtId="0" fontId="20" fillId="4" borderId="6" xfId="1" applyFont="1" applyFill="1" applyBorder="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0" fillId="3" borderId="83" xfId="0" applyFill="1" applyBorder="1" applyAlignment="1">
      <alignment vertical="top" wrapText="1"/>
    </xf>
    <xf numFmtId="0" fontId="17"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14" fontId="0" fillId="3" borderId="0" xfId="0" applyNumberFormat="1" applyFill="1"/>
    <xf numFmtId="14" fontId="34" fillId="3" borderId="11" xfId="0" applyNumberFormat="1" applyFont="1" applyFill="1" applyBorder="1" applyAlignment="1">
      <alignment horizontal="left"/>
    </xf>
    <xf numFmtId="0" fontId="20" fillId="7" borderId="5" xfId="2" applyFont="1" applyFill="1" applyBorder="1" applyAlignment="1">
      <alignment vertical="center" wrapText="1"/>
    </xf>
    <xf numFmtId="0" fontId="20" fillId="7" borderId="6" xfId="2" applyFont="1" applyFill="1" applyBorder="1" applyAlignment="1">
      <alignment horizontal="left" vertical="center" wrapText="1"/>
    </xf>
    <xf numFmtId="0" fontId="0" fillId="0" borderId="1" xfId="0" applyBorder="1" applyAlignment="1">
      <alignment horizontal="left" vertical="top" wrapText="1"/>
    </xf>
    <xf numFmtId="0" fontId="36" fillId="0" borderId="0" xfId="0" applyFont="1" applyAlignment="1">
      <alignment vertical="center" wrapText="1"/>
    </xf>
    <xf numFmtId="0" fontId="35" fillId="0" borderId="0" xfId="0" applyFont="1" applyAlignment="1">
      <alignment horizontal="left" vertical="center" wrapText="1" indent="1"/>
    </xf>
    <xf numFmtId="0" fontId="0" fillId="0" borderId="40" xfId="0" applyBorder="1" applyAlignment="1">
      <alignment vertical="center" wrapText="1"/>
    </xf>
    <xf numFmtId="0" fontId="0" fillId="0" borderId="31" xfId="0" applyBorder="1" applyAlignment="1">
      <alignment vertical="center" wrapText="1"/>
    </xf>
    <xf numFmtId="0" fontId="0" fillId="0" borderId="41" xfId="0" applyBorder="1" applyAlignment="1">
      <alignment vertical="center" wrapText="1"/>
    </xf>
    <xf numFmtId="0" fontId="0" fillId="0" borderId="69" xfId="0" applyBorder="1" applyAlignment="1">
      <alignment vertical="center" wrapText="1"/>
    </xf>
    <xf numFmtId="0" fontId="0" fillId="0" borderId="42" xfId="0" applyBorder="1" applyAlignment="1">
      <alignment vertical="center" wrapText="1"/>
    </xf>
    <xf numFmtId="0" fontId="0" fillId="0" borderId="24" xfId="0" applyBorder="1" applyAlignment="1">
      <alignment vertical="center" wrapText="1"/>
    </xf>
    <xf numFmtId="0" fontId="0" fillId="0" borderId="33" xfId="0" applyBorder="1" applyAlignment="1">
      <alignment vertical="center" wrapText="1"/>
    </xf>
    <xf numFmtId="0" fontId="0" fillId="0" borderId="32" xfId="0" applyBorder="1" applyAlignment="1">
      <alignment vertical="center" wrapText="1"/>
    </xf>
    <xf numFmtId="0" fontId="0" fillId="0" borderId="6" xfId="0" applyBorder="1" applyAlignment="1">
      <alignment vertical="center" wrapText="1"/>
    </xf>
    <xf numFmtId="0" fontId="0" fillId="11" borderId="65" xfId="0" applyFill="1" applyBorder="1" applyAlignment="1">
      <alignment vertical="center" wrapText="1"/>
    </xf>
    <xf numFmtId="0" fontId="0" fillId="0" borderId="70" xfId="0" applyBorder="1" applyAlignment="1">
      <alignment vertical="center" wrapText="1"/>
    </xf>
    <xf numFmtId="0" fontId="20" fillId="4" borderId="6" xfId="1" applyFont="1" applyFill="1" applyBorder="1" applyAlignment="1">
      <alignment horizontal="left" vertical="center" wrapText="1"/>
    </xf>
    <xf numFmtId="0" fontId="20" fillId="4" borderId="5" xfId="1" applyFont="1" applyFill="1" applyBorder="1" applyAlignment="1">
      <alignment vertical="center" wrapText="1"/>
    </xf>
    <xf numFmtId="0" fontId="21" fillId="0" borderId="0" xfId="0" applyFont="1" applyAlignment="1">
      <alignment horizontal="left" vertical="center" wrapText="1"/>
    </xf>
    <xf numFmtId="0" fontId="20" fillId="4" borderId="8" xfId="1" applyFont="1" applyFill="1" applyBorder="1" applyAlignment="1">
      <alignment vertical="center" wrapText="1"/>
    </xf>
    <xf numFmtId="0" fontId="20" fillId="4" borderId="9" xfId="1" applyFont="1" applyFill="1" applyBorder="1" applyAlignment="1">
      <alignment vertical="center" wrapText="1"/>
    </xf>
    <xf numFmtId="0" fontId="20" fillId="4" borderId="46" xfId="1" applyFont="1" applyFill="1" applyBorder="1" applyAlignment="1">
      <alignment vertical="center" wrapText="1"/>
    </xf>
    <xf numFmtId="0" fontId="4" fillId="0" borderId="35" xfId="2" applyFont="1" applyBorder="1" applyAlignment="1">
      <alignment vertical="center" wrapText="1"/>
    </xf>
    <xf numFmtId="0" fontId="4" fillId="0" borderId="35" xfId="2" applyFont="1" applyBorder="1" applyAlignment="1">
      <alignment horizontal="center" vertical="center"/>
    </xf>
    <xf numFmtId="0" fontId="4" fillId="0" borderId="59" xfId="2" applyFont="1" applyBorder="1" applyAlignment="1">
      <alignment horizontal="left" vertical="center" wrapText="1"/>
    </xf>
    <xf numFmtId="0" fontId="3" fillId="5" borderId="1" xfId="2" applyFont="1" applyFill="1" applyBorder="1" applyAlignment="1">
      <alignment horizontal="center" vertical="center" wrapText="1"/>
    </xf>
    <xf numFmtId="0" fontId="4" fillId="0" borderId="1" xfId="2" applyFont="1" applyBorder="1" applyAlignment="1">
      <alignment vertical="center" wrapText="1"/>
    </xf>
    <xf numFmtId="0" fontId="4" fillId="0" borderId="1" xfId="2" applyFont="1" applyBorder="1" applyAlignment="1">
      <alignment horizontal="center" vertical="center"/>
    </xf>
    <xf numFmtId="0" fontId="4" fillId="0" borderId="95" xfId="2" applyFont="1" applyBorder="1" applyAlignment="1">
      <alignment horizontal="left" vertical="center" wrapText="1"/>
    </xf>
    <xf numFmtId="0" fontId="4" fillId="0" borderId="22" xfId="2" applyFont="1" applyBorder="1" applyAlignment="1">
      <alignment vertical="center" wrapText="1"/>
    </xf>
    <xf numFmtId="0" fontId="4" fillId="0" borderId="22" xfId="2" applyFont="1" applyBorder="1" applyAlignment="1">
      <alignment horizontal="center" vertical="center"/>
    </xf>
    <xf numFmtId="0" fontId="4" fillId="0" borderId="96" xfId="2" applyFont="1" applyBorder="1" applyAlignment="1">
      <alignment horizontal="left" vertical="center" wrapText="1"/>
    </xf>
    <xf numFmtId="0" fontId="4" fillId="13" borderId="1" xfId="2" applyFont="1" applyFill="1" applyBorder="1" applyAlignment="1">
      <alignment vertical="center" wrapText="1"/>
    </xf>
    <xf numFmtId="0" fontId="4" fillId="13" borderId="22" xfId="2" applyFont="1" applyFill="1" applyBorder="1" applyAlignment="1">
      <alignment vertical="center" wrapText="1"/>
    </xf>
    <xf numFmtId="0" fontId="3" fillId="5" borderId="26" xfId="2" applyFont="1" applyFill="1" applyBorder="1" applyAlignment="1">
      <alignment vertical="center" wrapText="1"/>
    </xf>
    <xf numFmtId="0" fontId="4" fillId="0" borderId="58" xfId="2" applyFont="1" applyBorder="1" applyAlignment="1">
      <alignment vertical="center" wrapText="1"/>
    </xf>
    <xf numFmtId="0" fontId="3" fillId="5" borderId="27" xfId="2" applyFont="1" applyFill="1" applyBorder="1" applyAlignment="1">
      <alignment horizontal="center" vertical="center" wrapText="1"/>
    </xf>
    <xf numFmtId="0" fontId="4" fillId="0" borderId="62" xfId="2" applyFont="1" applyBorder="1" applyAlignment="1">
      <alignment vertical="center" wrapText="1"/>
    </xf>
    <xf numFmtId="0" fontId="3" fillId="5" borderId="47" xfId="2" applyFont="1" applyFill="1" applyBorder="1" applyAlignment="1">
      <alignment horizontal="center" vertical="center" wrapText="1"/>
    </xf>
    <xf numFmtId="0" fontId="3" fillId="5" borderId="26" xfId="2" applyFont="1" applyFill="1" applyBorder="1" applyAlignment="1">
      <alignment horizontal="center" vertical="center" wrapText="1"/>
    </xf>
    <xf numFmtId="0" fontId="3" fillId="5" borderId="20" xfId="2" applyFont="1" applyFill="1" applyBorder="1" applyAlignment="1">
      <alignment horizontal="center" vertical="center" wrapText="1"/>
    </xf>
    <xf numFmtId="0" fontId="4" fillId="0" borderId="92" xfId="2" applyFont="1" applyBorder="1" applyAlignment="1">
      <alignment vertical="center" wrapText="1"/>
    </xf>
    <xf numFmtId="0" fontId="3" fillId="5" borderId="56" xfId="2" applyFont="1" applyFill="1" applyBorder="1" applyAlignment="1">
      <alignment horizontal="left" vertical="center" wrapText="1"/>
    </xf>
    <xf numFmtId="0" fontId="4" fillId="0" borderId="61" xfId="2" applyFont="1" applyBorder="1" applyAlignment="1">
      <alignment vertical="center" wrapText="1"/>
    </xf>
    <xf numFmtId="0" fontId="4" fillId="0" borderId="34" xfId="2" applyFont="1" applyBorder="1" applyAlignment="1">
      <alignment vertical="center" wrapText="1"/>
    </xf>
    <xf numFmtId="0" fontId="4" fillId="0" borderId="34" xfId="2" applyFont="1" applyBorder="1" applyAlignment="1">
      <alignment horizontal="center" vertical="center"/>
    </xf>
    <xf numFmtId="0" fontId="4" fillId="0" borderId="97" xfId="2" applyFont="1" applyBorder="1" applyAlignment="1">
      <alignment horizontal="left" vertical="center" wrapText="1"/>
    </xf>
    <xf numFmtId="0" fontId="20" fillId="7" borderId="5" xfId="2" applyFont="1" applyFill="1" applyBorder="1" applyAlignment="1">
      <alignment horizontal="left" vertical="center" wrapText="1"/>
    </xf>
    <xf numFmtId="0" fontId="3" fillId="8" borderId="56" xfId="2" applyFont="1" applyFill="1" applyBorder="1" applyAlignment="1">
      <alignment vertical="center" wrapText="1"/>
    </xf>
    <xf numFmtId="0" fontId="4" fillId="3" borderId="58" xfId="2" applyFont="1" applyFill="1" applyBorder="1" applyAlignment="1">
      <alignment vertical="center" wrapText="1"/>
    </xf>
    <xf numFmtId="0" fontId="4" fillId="3" borderId="35" xfId="2" applyFont="1" applyFill="1" applyBorder="1" applyAlignment="1">
      <alignment vertical="center" wrapText="1"/>
    </xf>
    <xf numFmtId="0" fontId="3" fillId="8" borderId="26" xfId="2" applyFont="1" applyFill="1" applyBorder="1" applyAlignment="1">
      <alignment vertical="center" wrapText="1"/>
    </xf>
    <xf numFmtId="0" fontId="4" fillId="3" borderId="62" xfId="2" applyFont="1" applyFill="1" applyBorder="1" applyAlignment="1">
      <alignment vertical="center" wrapText="1"/>
    </xf>
    <xf numFmtId="0" fontId="4" fillId="3" borderId="1" xfId="2" applyFont="1" applyFill="1" applyBorder="1" applyAlignment="1">
      <alignment vertical="center" wrapText="1"/>
    </xf>
    <xf numFmtId="0" fontId="3" fillId="5" borderId="43" xfId="2" applyFont="1" applyFill="1" applyBorder="1" applyAlignment="1">
      <alignment vertical="center" wrapText="1"/>
    </xf>
    <xf numFmtId="0" fontId="4" fillId="0" borderId="23" xfId="2" applyFont="1" applyBorder="1" applyAlignment="1">
      <alignment horizontal="center" vertical="center"/>
    </xf>
    <xf numFmtId="0" fontId="3" fillId="5" borderId="44" xfId="2" applyFont="1" applyFill="1" applyBorder="1" applyAlignment="1">
      <alignment horizontal="center" vertical="center" wrapText="1"/>
    </xf>
    <xf numFmtId="0" fontId="4" fillId="0" borderId="35" xfId="2" applyFont="1" applyBorder="1" applyAlignment="1">
      <alignment horizontal="center" vertical="center" wrapText="1"/>
    </xf>
    <xf numFmtId="0" fontId="3" fillId="5" borderId="13" xfId="2" applyFont="1" applyFill="1" applyBorder="1" applyAlignment="1">
      <alignment horizontal="center" vertical="center" wrapText="1"/>
    </xf>
    <xf numFmtId="0" fontId="3" fillId="5" borderId="39" xfId="2" applyFont="1" applyFill="1" applyBorder="1" applyAlignment="1">
      <alignment vertical="center" wrapText="1"/>
    </xf>
    <xf numFmtId="0" fontId="3" fillId="5" borderId="28" xfId="2" applyFont="1" applyFill="1" applyBorder="1" applyAlignment="1">
      <alignment vertical="center" wrapText="1"/>
    </xf>
    <xf numFmtId="0" fontId="3" fillId="5" borderId="7" xfId="2" applyFont="1" applyFill="1" applyBorder="1" applyAlignment="1">
      <alignment vertical="center" wrapText="1"/>
    </xf>
    <xf numFmtId="0" fontId="3" fillId="5" borderId="27" xfId="2" applyFont="1" applyFill="1" applyBorder="1" applyAlignment="1">
      <alignment horizontal="left" vertical="center" wrapText="1"/>
    </xf>
    <xf numFmtId="0" fontId="3" fillId="5" borderId="27" xfId="2" applyFont="1" applyFill="1" applyBorder="1" applyAlignment="1">
      <alignment vertical="center" wrapText="1"/>
    </xf>
    <xf numFmtId="0" fontId="3" fillId="5" borderId="19" xfId="2" applyFont="1" applyFill="1" applyBorder="1" applyAlignment="1">
      <alignment vertical="center" wrapText="1"/>
    </xf>
    <xf numFmtId="0" fontId="3" fillId="8" borderId="43" xfId="2" applyFont="1" applyFill="1" applyBorder="1" applyAlignment="1">
      <alignment horizontal="left" vertical="center" wrapText="1"/>
    </xf>
    <xf numFmtId="0" fontId="3" fillId="5" borderId="56" xfId="2" applyFont="1" applyFill="1" applyBorder="1" applyAlignment="1">
      <alignment vertical="center" wrapText="1"/>
    </xf>
    <xf numFmtId="0" fontId="3" fillId="5" borderId="47" xfId="2" applyFont="1" applyFill="1" applyBorder="1" applyAlignment="1">
      <alignment vertical="center" wrapText="1"/>
    </xf>
    <xf numFmtId="0" fontId="3" fillId="5" borderId="47" xfId="2" applyFont="1" applyFill="1" applyBorder="1" applyAlignment="1">
      <alignment horizontal="left" vertical="center" wrapText="1"/>
    </xf>
    <xf numFmtId="0" fontId="4" fillId="0" borderId="62" xfId="2" applyFont="1" applyBorder="1" applyAlignment="1">
      <alignment horizontal="center" vertical="center" wrapText="1"/>
    </xf>
    <xf numFmtId="0" fontId="7" fillId="5" borderId="27" xfId="0" applyFont="1" applyFill="1" applyBorder="1" applyAlignment="1">
      <alignment vertical="center" wrapText="1"/>
    </xf>
    <xf numFmtId="0" fontId="3" fillId="5" borderId="8" xfId="2" applyFont="1" applyFill="1" applyBorder="1" applyAlignment="1">
      <alignment vertical="center" wrapText="1"/>
    </xf>
    <xf numFmtId="0" fontId="3" fillId="5" borderId="20" xfId="2" applyFont="1" applyFill="1" applyBorder="1" applyAlignment="1">
      <alignment vertical="center" wrapText="1"/>
    </xf>
    <xf numFmtId="0" fontId="3" fillId="5" borderId="21" xfId="2" applyFont="1" applyFill="1" applyBorder="1" applyAlignment="1">
      <alignment vertical="center" wrapText="1"/>
    </xf>
    <xf numFmtId="0" fontId="3" fillId="5" borderId="51" xfId="2" applyFont="1" applyFill="1" applyBorder="1" applyAlignment="1">
      <alignment vertical="center" wrapText="1"/>
    </xf>
    <xf numFmtId="0" fontId="3" fillId="5" borderId="49" xfId="2" applyFont="1" applyFill="1" applyBorder="1" applyAlignment="1">
      <alignment vertical="center" wrapText="1"/>
    </xf>
    <xf numFmtId="0" fontId="3" fillId="5" borderId="51" xfId="2" applyFont="1" applyFill="1" applyBorder="1" applyAlignment="1">
      <alignment horizontal="left" vertical="center" wrapText="1"/>
    </xf>
    <xf numFmtId="0" fontId="3" fillId="5" borderId="0" xfId="2" applyFont="1" applyFill="1" applyAlignment="1">
      <alignment vertical="center" wrapText="1"/>
    </xf>
    <xf numFmtId="0" fontId="3" fillId="5" borderId="0" xfId="2" applyFont="1" applyFill="1" applyAlignment="1">
      <alignment horizontal="left" vertical="center" wrapText="1"/>
    </xf>
    <xf numFmtId="0" fontId="3" fillId="5" borderId="96" xfId="2" applyFont="1" applyFill="1" applyBorder="1" applyAlignment="1">
      <alignment vertical="center" wrapText="1"/>
    </xf>
    <xf numFmtId="0" fontId="3" fillId="5" borderId="98" xfId="2" applyFont="1" applyFill="1" applyBorder="1" applyAlignment="1">
      <alignment vertical="center" wrapText="1"/>
    </xf>
    <xf numFmtId="0" fontId="3" fillId="5" borderId="99" xfId="2" applyFont="1" applyFill="1" applyBorder="1" applyAlignment="1">
      <alignment vertical="center" wrapText="1"/>
    </xf>
    <xf numFmtId="0" fontId="3" fillId="5" borderId="52" xfId="2" applyFont="1" applyFill="1" applyBorder="1" applyAlignment="1">
      <alignment horizontal="left" vertical="center" wrapText="1"/>
    </xf>
    <xf numFmtId="0" fontId="7" fillId="5" borderId="26" xfId="0" applyFont="1" applyFill="1" applyBorder="1" applyAlignment="1">
      <alignment vertical="center" wrapText="1"/>
    </xf>
    <xf numFmtId="0" fontId="7" fillId="5" borderId="47" xfId="0" applyFont="1" applyFill="1" applyBorder="1" applyAlignment="1">
      <alignment vertical="center" wrapText="1"/>
    </xf>
    <xf numFmtId="0" fontId="7" fillId="5" borderId="13" xfId="0" applyFont="1" applyFill="1" applyBorder="1" applyAlignment="1">
      <alignment horizontal="left" vertical="center" wrapText="1"/>
    </xf>
    <xf numFmtId="0" fontId="7" fillId="5" borderId="43" xfId="0" applyFont="1" applyFill="1" applyBorder="1" applyAlignment="1">
      <alignment horizontal="left" vertical="center" wrapText="1"/>
    </xf>
    <xf numFmtId="0" fontId="7" fillId="5" borderId="56" xfId="0" applyFont="1" applyFill="1" applyBorder="1" applyAlignment="1">
      <alignment horizontal="left" vertical="center" wrapText="1"/>
    </xf>
    <xf numFmtId="0" fontId="7" fillId="5" borderId="26" xfId="0" applyFont="1" applyFill="1" applyBorder="1" applyAlignment="1">
      <alignment horizontal="left" vertical="center" wrapText="1"/>
    </xf>
    <xf numFmtId="0" fontId="7" fillId="6" borderId="4" xfId="2" applyFont="1" applyFill="1" applyBorder="1" applyAlignment="1">
      <alignment vertical="center" wrapText="1"/>
    </xf>
    <xf numFmtId="0" fontId="7" fillId="6" borderId="7" xfId="2" applyFont="1" applyFill="1" applyBorder="1" applyAlignment="1">
      <alignment vertical="center" wrapText="1"/>
    </xf>
    <xf numFmtId="0" fontId="7" fillId="6" borderId="8" xfId="2" applyFont="1" applyFill="1" applyBorder="1" applyAlignment="1">
      <alignment vertical="center" wrapText="1"/>
    </xf>
    <xf numFmtId="0" fontId="7" fillId="5" borderId="20" xfId="0" applyFont="1" applyFill="1" applyBorder="1" applyAlignment="1">
      <alignment horizontal="left" vertical="center" wrapText="1"/>
    </xf>
    <xf numFmtId="0" fontId="7" fillId="6" borderId="39" xfId="2" applyFont="1" applyFill="1" applyBorder="1" applyAlignment="1">
      <alignment vertical="center" wrapText="1"/>
    </xf>
    <xf numFmtId="0" fontId="7" fillId="5" borderId="56" xfId="0" applyFont="1" applyFill="1" applyBorder="1" applyAlignment="1">
      <alignment vertical="center" wrapText="1"/>
    </xf>
    <xf numFmtId="0" fontId="7" fillId="6" borderId="28" xfId="2" applyFont="1" applyFill="1" applyBorder="1" applyAlignment="1">
      <alignment vertical="center" wrapText="1"/>
    </xf>
    <xf numFmtId="0" fontId="18" fillId="0" borderId="95" xfId="0" applyFont="1" applyBorder="1" applyAlignment="1">
      <alignment horizontal="left" vertical="center" wrapText="1"/>
    </xf>
    <xf numFmtId="0" fontId="7" fillId="5" borderId="47" xfId="0" applyFont="1" applyFill="1" applyBorder="1" applyAlignment="1">
      <alignment horizontal="left" vertical="center" wrapText="1"/>
    </xf>
    <xf numFmtId="0" fontId="3" fillId="5" borderId="13" xfId="2" applyFont="1" applyFill="1" applyBorder="1" applyAlignment="1">
      <alignment vertical="center" wrapText="1"/>
    </xf>
    <xf numFmtId="0" fontId="7" fillId="6" borderId="19" xfId="2" applyFont="1" applyFill="1" applyBorder="1" applyAlignment="1">
      <alignment vertical="center" wrapText="1"/>
    </xf>
    <xf numFmtId="0" fontId="3" fillId="5" borderId="20" xfId="2" applyFont="1" applyFill="1" applyBorder="1" applyAlignment="1">
      <alignment horizontal="left" vertical="center" wrapText="1"/>
    </xf>
    <xf numFmtId="0" fontId="3" fillId="5" borderId="5" xfId="2" applyFont="1" applyFill="1" applyBorder="1" applyAlignment="1">
      <alignment horizontal="left" vertical="center" wrapText="1"/>
    </xf>
    <xf numFmtId="0" fontId="4" fillId="0" borderId="39" xfId="2" applyFont="1" applyBorder="1" applyAlignment="1">
      <alignment vertical="center" wrapText="1"/>
    </xf>
    <xf numFmtId="0" fontId="4" fillId="0" borderId="38" xfId="2" applyFont="1" applyBorder="1" applyAlignment="1">
      <alignment vertical="center" wrapText="1"/>
    </xf>
    <xf numFmtId="0" fontId="4" fillId="0" borderId="38" xfId="2" applyFont="1" applyBorder="1" applyAlignment="1">
      <alignment horizontal="center" vertical="center"/>
    </xf>
    <xf numFmtId="0" fontId="4" fillId="0" borderId="63" xfId="2" applyFont="1" applyBorder="1" applyAlignment="1">
      <alignment horizontal="left" vertical="center" wrapText="1"/>
    </xf>
    <xf numFmtId="0" fontId="3" fillId="6" borderId="39" xfId="2" applyFont="1" applyFill="1" applyBorder="1" applyAlignment="1">
      <alignment vertical="center" wrapText="1"/>
    </xf>
    <xf numFmtId="0" fontId="3" fillId="6" borderId="28" xfId="2" applyFont="1" applyFill="1" applyBorder="1" applyAlignment="1">
      <alignment vertical="center" wrapText="1"/>
    </xf>
    <xf numFmtId="0" fontId="3" fillId="5" borderId="4" xfId="2" applyFont="1" applyFill="1" applyBorder="1" applyAlignment="1">
      <alignment vertical="center"/>
    </xf>
    <xf numFmtId="0" fontId="3" fillId="5" borderId="7" xfId="2" applyFont="1" applyFill="1" applyBorder="1" applyAlignment="1">
      <alignment vertical="center"/>
    </xf>
    <xf numFmtId="0" fontId="3" fillId="5" borderId="8" xfId="2" applyFont="1" applyFill="1" applyBorder="1" applyAlignment="1">
      <alignment vertical="center"/>
    </xf>
    <xf numFmtId="0" fontId="18" fillId="0" borderId="57" xfId="0" applyFont="1" applyBorder="1" applyAlignment="1">
      <alignment horizontal="center" vertical="center"/>
    </xf>
    <xf numFmtId="0" fontId="38" fillId="15" borderId="103" xfId="0" applyFont="1" applyFill="1" applyBorder="1" applyAlignment="1">
      <alignment vertical="center"/>
    </xf>
    <xf numFmtId="0" fontId="39" fillId="15" borderId="0" xfId="0" applyFont="1" applyFill="1" applyAlignment="1">
      <alignment vertical="center"/>
    </xf>
    <xf numFmtId="0" fontId="39" fillId="15" borderId="104" xfId="0" applyFont="1" applyFill="1" applyBorder="1" applyAlignment="1">
      <alignment horizontal="center" vertical="center"/>
    </xf>
    <xf numFmtId="0" fontId="38" fillId="15" borderId="105" xfId="0" applyFont="1" applyFill="1" applyBorder="1" applyAlignment="1">
      <alignment vertical="center"/>
    </xf>
    <xf numFmtId="0" fontId="39" fillId="15" borderId="106" xfId="0" applyFont="1" applyFill="1" applyBorder="1" applyAlignment="1">
      <alignment vertical="center"/>
    </xf>
    <xf numFmtId="0" fontId="39" fillId="15" borderId="107" xfId="0" applyFont="1" applyFill="1" applyBorder="1" applyAlignment="1">
      <alignment horizontal="center" vertical="center"/>
    </xf>
    <xf numFmtId="0" fontId="38" fillId="15" borderId="0" xfId="0" applyFont="1" applyFill="1" applyAlignment="1">
      <alignment vertical="center"/>
    </xf>
    <xf numFmtId="0" fontId="0" fillId="3" borderId="1" xfId="0" applyFill="1" applyBorder="1" applyAlignment="1">
      <alignment horizontal="left" vertical="top" wrapText="1"/>
    </xf>
    <xf numFmtId="0" fontId="0" fillId="3" borderId="1" xfId="0" applyFill="1" applyBorder="1" applyAlignment="1">
      <alignment vertical="center" wrapText="1"/>
    </xf>
    <xf numFmtId="0" fontId="0" fillId="3" borderId="0" xfId="0" applyFill="1" applyAlignment="1">
      <alignment vertical="center" wrapText="1"/>
    </xf>
    <xf numFmtId="0" fontId="0" fillId="3" borderId="1" xfId="0" applyFill="1" applyBorder="1" applyAlignment="1">
      <alignment horizontal="center" vertical="center" wrapText="1"/>
    </xf>
    <xf numFmtId="0" fontId="0" fillId="0" borderId="1"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40" fillId="4" borderId="38" xfId="1" applyFont="1" applyFill="1" applyBorder="1" applyAlignment="1">
      <alignment vertical="center" wrapText="1"/>
    </xf>
    <xf numFmtId="0" fontId="41" fillId="0" borderId="76" xfId="2" applyFont="1" applyBorder="1" applyAlignment="1">
      <alignment horizontal="center" vertical="center"/>
    </xf>
    <xf numFmtId="0" fontId="35" fillId="0" borderId="0" xfId="0" applyFont="1" applyAlignment="1">
      <alignment horizontal="left" vertical="center" wrapText="1" indent="2"/>
    </xf>
    <xf numFmtId="0" fontId="9" fillId="0" borderId="33" xfId="0" applyFont="1" applyBorder="1" applyAlignment="1">
      <alignment vertical="center" wrapText="1"/>
    </xf>
    <xf numFmtId="0" fontId="9" fillId="0" borderId="31" xfId="0" applyFont="1" applyBorder="1" applyAlignment="1">
      <alignment vertical="center" wrapText="1"/>
    </xf>
    <xf numFmtId="0" fontId="0" fillId="0" borderId="33" xfId="0" applyBorder="1" applyAlignment="1">
      <alignment horizontal="left" vertical="center" wrapText="1"/>
    </xf>
    <xf numFmtId="0" fontId="13" fillId="0" borderId="15" xfId="0" applyFont="1" applyBorder="1" applyAlignment="1">
      <alignment horizontal="left" vertical="top" wrapText="1"/>
    </xf>
    <xf numFmtId="0" fontId="0" fillId="0" borderId="65" xfId="0" applyBorder="1" applyAlignment="1">
      <alignment horizontal="left" vertical="top"/>
    </xf>
    <xf numFmtId="0" fontId="0" fillId="0" borderId="33" xfId="0" applyBorder="1" applyAlignment="1">
      <alignment horizontal="left" vertical="top" wrapText="1"/>
    </xf>
    <xf numFmtId="0" fontId="0" fillId="0" borderId="0" xfId="0" applyAlignment="1">
      <alignment vertical="top"/>
    </xf>
    <xf numFmtId="0" fontId="13" fillId="3" borderId="41" xfId="0" applyFont="1" applyFill="1" applyBorder="1" applyAlignment="1">
      <alignment horizontal="left" vertical="top" wrapText="1"/>
    </xf>
    <xf numFmtId="0" fontId="13" fillId="3" borderId="41" xfId="0" applyFont="1" applyFill="1" applyBorder="1" applyAlignment="1">
      <alignment horizontal="left" wrapText="1"/>
    </xf>
    <xf numFmtId="0" fontId="0" fillId="0" borderId="32" xfId="0" applyBorder="1" applyAlignment="1">
      <alignment horizontal="left" vertical="center" wrapText="1"/>
    </xf>
    <xf numFmtId="164" fontId="0" fillId="0" borderId="0" xfId="0" applyNumberFormat="1" applyAlignment="1">
      <alignment vertical="center"/>
    </xf>
    <xf numFmtId="0" fontId="0" fillId="13" borderId="1" xfId="0" applyFill="1" applyBorder="1" applyAlignment="1">
      <alignment vertical="center" wrapText="1"/>
    </xf>
    <xf numFmtId="0" fontId="8" fillId="13" borderId="76" xfId="0" applyFont="1" applyFill="1" applyBorder="1" applyAlignment="1">
      <alignment horizontal="center" vertical="center" wrapText="1"/>
    </xf>
    <xf numFmtId="0" fontId="4" fillId="13" borderId="76" xfId="2" applyFont="1" applyFill="1" applyBorder="1" applyAlignment="1">
      <alignment horizontal="center" vertical="center"/>
    </xf>
    <xf numFmtId="0" fontId="0" fillId="3" borderId="78" xfId="0" applyFill="1" applyBorder="1" applyAlignment="1">
      <alignment vertical="top" wrapText="1"/>
    </xf>
    <xf numFmtId="0" fontId="0" fillId="3" borderId="78" xfId="0" applyFill="1" applyBorder="1" applyAlignment="1">
      <alignment horizontal="left" vertical="top" wrapText="1"/>
    </xf>
    <xf numFmtId="0" fontId="0" fillId="3" borderId="79" xfId="0" applyFill="1" applyBorder="1" applyAlignment="1">
      <alignment horizontal="left" vertical="top" wrapText="1"/>
    </xf>
    <xf numFmtId="0" fontId="0" fillId="3" borderId="80" xfId="0" applyFill="1" applyBorder="1" applyAlignment="1">
      <alignment horizontal="left" vertical="top" wrapText="1"/>
    </xf>
    <xf numFmtId="0" fontId="0" fillId="3" borderId="82" xfId="0" applyFill="1" applyBorder="1" applyAlignment="1">
      <alignment vertical="top" wrapText="1"/>
    </xf>
    <xf numFmtId="0" fontId="0" fillId="3" borderId="82" xfId="0" applyFill="1" applyBorder="1" applyAlignment="1">
      <alignment vertical="center" wrapText="1"/>
    </xf>
    <xf numFmtId="0" fontId="0" fillId="3" borderId="82" xfId="0" applyFill="1" applyBorder="1" applyAlignment="1">
      <alignment horizontal="left" vertical="top" wrapText="1"/>
    </xf>
    <xf numFmtId="0" fontId="0" fillId="3" borderId="85" xfId="0" applyFill="1" applyBorder="1" applyAlignment="1">
      <alignment vertical="top" wrapText="1"/>
    </xf>
    <xf numFmtId="0" fontId="3" fillId="0" borderId="39" xfId="2" applyFont="1" applyBorder="1" applyAlignment="1">
      <alignment horizontal="left" vertical="center" wrapText="1"/>
    </xf>
    <xf numFmtId="0" fontId="3" fillId="0" borderId="28" xfId="2" applyFont="1" applyBorder="1" applyAlignment="1">
      <alignment horizontal="left" vertical="center" wrapText="1"/>
    </xf>
    <xf numFmtId="0" fontId="3" fillId="0" borderId="19" xfId="2" applyFont="1" applyBorder="1" applyAlignment="1">
      <alignment horizontal="left" vertical="center" wrapText="1"/>
    </xf>
    <xf numFmtId="0" fontId="3" fillId="5" borderId="58" xfId="2" applyFont="1" applyFill="1" applyBorder="1" applyAlignment="1">
      <alignment horizontal="center" vertical="center"/>
    </xf>
    <xf numFmtId="0" fontId="3" fillId="5" borderId="62" xfId="2" applyFont="1" applyFill="1" applyBorder="1" applyAlignment="1">
      <alignment horizontal="center" vertical="center"/>
    </xf>
    <xf numFmtId="0" fontId="3" fillId="5" borderId="92" xfId="2" applyFont="1" applyFill="1" applyBorder="1" applyAlignment="1">
      <alignment horizontal="center" vertical="center"/>
    </xf>
    <xf numFmtId="0" fontId="3" fillId="5" borderId="35" xfId="2" applyFont="1" applyFill="1" applyBorder="1" applyAlignment="1">
      <alignment horizontal="center" vertical="center" wrapText="1"/>
    </xf>
    <xf numFmtId="0" fontId="3" fillId="5" borderId="1" xfId="2" applyFont="1" applyFill="1" applyBorder="1" applyAlignment="1">
      <alignment horizontal="center" vertical="center" wrapText="1"/>
    </xf>
    <xf numFmtId="0" fontId="3" fillId="5" borderId="22" xfId="2" applyFont="1" applyFill="1" applyBorder="1" applyAlignment="1">
      <alignment horizontal="center" vertical="center" wrapText="1"/>
    </xf>
    <xf numFmtId="0" fontId="3" fillId="5" borderId="34" xfId="2" applyFont="1" applyFill="1" applyBorder="1" applyAlignment="1">
      <alignment horizontal="center" vertical="center" wrapText="1"/>
    </xf>
    <xf numFmtId="0" fontId="3" fillId="5" borderId="28" xfId="2" applyFont="1" applyFill="1" applyBorder="1" applyAlignment="1">
      <alignment horizontal="center" vertical="center"/>
    </xf>
    <xf numFmtId="0" fontId="3" fillId="5" borderId="19" xfId="2" applyFont="1" applyFill="1" applyBorder="1" applyAlignment="1">
      <alignment horizontal="center" vertical="center"/>
    </xf>
    <xf numFmtId="0" fontId="3" fillId="5" borderId="27" xfId="2" applyFont="1" applyFill="1" applyBorder="1" applyAlignment="1">
      <alignment horizontal="center" vertical="center" wrapText="1"/>
    </xf>
    <xf numFmtId="0" fontId="3" fillId="5" borderId="47" xfId="2" applyFont="1" applyFill="1" applyBorder="1" applyAlignment="1">
      <alignment horizontal="center" vertical="center" wrapText="1"/>
    </xf>
    <xf numFmtId="0" fontId="3" fillId="5" borderId="26" xfId="2" applyFont="1" applyFill="1" applyBorder="1" applyAlignment="1">
      <alignment horizontal="center" vertical="center" wrapText="1"/>
    </xf>
    <xf numFmtId="0" fontId="3" fillId="5" borderId="20" xfId="2" applyFont="1" applyFill="1" applyBorder="1" applyAlignment="1">
      <alignment horizontal="center" vertical="center" wrapText="1"/>
    </xf>
    <xf numFmtId="0" fontId="3" fillId="5" borderId="39" xfId="2" applyFont="1" applyFill="1" applyBorder="1" applyAlignment="1">
      <alignment horizontal="center" vertical="center"/>
    </xf>
    <xf numFmtId="0" fontId="3" fillId="5" borderId="56" xfId="2"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47" xfId="0" applyFont="1" applyFill="1" applyBorder="1" applyAlignment="1">
      <alignment horizontal="center" vertical="center" wrapText="1"/>
    </xf>
    <xf numFmtId="0" fontId="7" fillId="5" borderId="20" xfId="0" applyFont="1" applyFill="1" applyBorder="1" applyAlignment="1">
      <alignment horizontal="center" vertical="center" wrapText="1"/>
    </xf>
    <xf numFmtId="0" fontId="3" fillId="8" borderId="27" xfId="2" applyFont="1" applyFill="1" applyBorder="1" applyAlignment="1">
      <alignment horizontal="center" vertical="center" wrapText="1"/>
    </xf>
    <xf numFmtId="0" fontId="3" fillId="8" borderId="26" xfId="2" applyFont="1" applyFill="1" applyBorder="1" applyAlignment="1">
      <alignment horizontal="center" vertical="center" wrapText="1"/>
    </xf>
    <xf numFmtId="0" fontId="3" fillId="5" borderId="39" xfId="2" applyFont="1" applyFill="1" applyBorder="1" applyAlignment="1">
      <alignment horizontal="center" vertical="center" wrapText="1"/>
    </xf>
    <xf numFmtId="0" fontId="3" fillId="5" borderId="28" xfId="2" applyFont="1" applyFill="1" applyBorder="1" applyAlignment="1">
      <alignment horizontal="center" vertical="center" wrapText="1"/>
    </xf>
    <xf numFmtId="0" fontId="3" fillId="5" borderId="19" xfId="2" applyFont="1" applyFill="1" applyBorder="1" applyAlignment="1">
      <alignment horizontal="center" vertical="center" wrapText="1"/>
    </xf>
    <xf numFmtId="0" fontId="4" fillId="0" borderId="95" xfId="2" applyFont="1" applyBorder="1" applyAlignment="1">
      <alignment horizontal="left" vertical="center" wrapText="1"/>
    </xf>
    <xf numFmtId="0" fontId="19" fillId="5" borderId="39" xfId="0" applyFont="1" applyFill="1" applyBorder="1" applyAlignment="1">
      <alignment horizontal="center" vertical="center"/>
    </xf>
    <xf numFmtId="0" fontId="19" fillId="5" borderId="28" xfId="0" applyFont="1" applyFill="1" applyBorder="1" applyAlignment="1">
      <alignment horizontal="center" vertical="center"/>
    </xf>
    <xf numFmtId="0" fontId="19" fillId="5" borderId="19" xfId="0" applyFont="1" applyFill="1" applyBorder="1" applyAlignment="1">
      <alignment horizontal="center" vertical="center"/>
    </xf>
    <xf numFmtId="0" fontId="7" fillId="5" borderId="26" xfId="0" applyFont="1" applyFill="1" applyBorder="1" applyAlignment="1">
      <alignment horizontal="center" vertical="center" wrapText="1"/>
    </xf>
    <xf numFmtId="0" fontId="7" fillId="5" borderId="56" xfId="0" applyFont="1" applyFill="1" applyBorder="1" applyAlignment="1">
      <alignment horizontal="center" vertical="center" wrapText="1"/>
    </xf>
    <xf numFmtId="0" fontId="7" fillId="5" borderId="96" xfId="0" applyFont="1" applyFill="1" applyBorder="1" applyAlignment="1">
      <alignment horizontal="center" vertical="center" wrapText="1"/>
    </xf>
    <xf numFmtId="0" fontId="7" fillId="5" borderId="99" xfId="0" applyFont="1" applyFill="1" applyBorder="1" applyAlignment="1">
      <alignment horizontal="center" vertical="center" wrapText="1"/>
    </xf>
    <xf numFmtId="0" fontId="7" fillId="5" borderId="98" xfId="0" applyFont="1" applyFill="1" applyBorder="1" applyAlignment="1">
      <alignment horizontal="center" vertical="center" wrapText="1"/>
    </xf>
    <xf numFmtId="0" fontId="3" fillId="6" borderId="39" xfId="2" applyFont="1" applyFill="1" applyBorder="1" applyAlignment="1">
      <alignment horizontal="center" vertical="center" wrapText="1"/>
    </xf>
    <xf numFmtId="0" fontId="3" fillId="6" borderId="28" xfId="2" applyFont="1" applyFill="1" applyBorder="1" applyAlignment="1">
      <alignment horizontal="center" vertical="center" wrapText="1"/>
    </xf>
    <xf numFmtId="0" fontId="3" fillId="6" borderId="19" xfId="2" applyFont="1" applyFill="1" applyBorder="1" applyAlignment="1">
      <alignment horizontal="center" vertical="center" wrapText="1"/>
    </xf>
    <xf numFmtId="0" fontId="18" fillId="0" borderId="1" xfId="0" applyFont="1" applyBorder="1" applyAlignment="1">
      <alignment horizontal="center" vertical="center"/>
    </xf>
    <xf numFmtId="0" fontId="3" fillId="5" borderId="91" xfId="2" applyFont="1" applyFill="1" applyBorder="1" applyAlignment="1">
      <alignment horizontal="center" vertical="center" wrapText="1"/>
    </xf>
    <xf numFmtId="0" fontId="3" fillId="5" borderId="92" xfId="2" applyFont="1" applyFill="1" applyBorder="1" applyAlignment="1">
      <alignment horizontal="center" vertical="center" wrapText="1"/>
    </xf>
    <xf numFmtId="0" fontId="37" fillId="14" borderId="100" xfId="0" applyFont="1" applyFill="1" applyBorder="1" applyAlignment="1">
      <alignment horizontal="center" vertical="center" wrapText="1" readingOrder="1"/>
    </xf>
    <xf numFmtId="0" fontId="37" fillId="14" borderId="103" xfId="0" applyFont="1" applyFill="1" applyBorder="1" applyAlignment="1">
      <alignment horizontal="center" vertical="center" wrapText="1" readingOrder="1"/>
    </xf>
    <xf numFmtId="0" fontId="37" fillId="14" borderId="101" xfId="0" applyFont="1" applyFill="1" applyBorder="1" applyAlignment="1">
      <alignment horizontal="center" vertical="center" wrapText="1" readingOrder="1"/>
    </xf>
    <xf numFmtId="0" fontId="37" fillId="14" borderId="0" xfId="0" applyFont="1" applyFill="1" applyAlignment="1">
      <alignment horizontal="center" vertical="center" wrapText="1" readingOrder="1"/>
    </xf>
    <xf numFmtId="0" fontId="37" fillId="14" borderId="102" xfId="0" applyFont="1" applyFill="1" applyBorder="1" applyAlignment="1">
      <alignment horizontal="center" vertical="center" wrapText="1" readingOrder="1"/>
    </xf>
    <xf numFmtId="0" fontId="37" fillId="14" borderId="104" xfId="0" applyFont="1" applyFill="1" applyBorder="1" applyAlignment="1">
      <alignment horizontal="center" vertical="center" wrapText="1" readingOrder="1"/>
    </xf>
    <xf numFmtId="0" fontId="6" fillId="0" borderId="65" xfId="0" applyFont="1" applyBorder="1" applyAlignment="1">
      <alignment horizontal="left" vertical="center" wrapText="1"/>
    </xf>
    <xf numFmtId="0" fontId="6" fillId="0" borderId="68" xfId="0" applyFont="1" applyBorder="1" applyAlignment="1">
      <alignment horizontal="left" vertical="center" wrapText="1"/>
    </xf>
    <xf numFmtId="0" fontId="6" fillId="0" borderId="73" xfId="0" applyFont="1" applyBorder="1" applyAlignment="1">
      <alignment horizontal="left" vertical="center" wrapText="1"/>
    </xf>
    <xf numFmtId="0" fontId="6" fillId="0" borderId="67" xfId="0" applyFont="1" applyBorder="1" applyAlignment="1">
      <alignment horizontal="left" vertical="center" wrapText="1"/>
    </xf>
    <xf numFmtId="0" fontId="6" fillId="0" borderId="66" xfId="0" applyFont="1" applyBorder="1" applyAlignment="1">
      <alignment horizontal="left" vertical="center" wrapText="1"/>
    </xf>
    <xf numFmtId="0" fontId="6" fillId="0" borderId="71" xfId="0" applyFont="1" applyBorder="1" applyAlignment="1">
      <alignment horizontal="left" vertical="center" wrapText="1"/>
    </xf>
    <xf numFmtId="0" fontId="20" fillId="4" borderId="4" xfId="1" applyFont="1" applyFill="1" applyBorder="1" applyAlignment="1">
      <alignment vertical="center" wrapText="1"/>
    </xf>
    <xf numFmtId="0" fontId="20" fillId="4" borderId="5" xfId="1" applyFont="1" applyFill="1" applyBorder="1" applyAlignment="1">
      <alignment vertical="center" wrapText="1"/>
    </xf>
    <xf numFmtId="0" fontId="6" fillId="0" borderId="72" xfId="0" applyFont="1" applyBorder="1" applyAlignment="1">
      <alignment horizontal="left" vertical="center" wrapText="1"/>
    </xf>
    <xf numFmtId="0" fontId="6" fillId="0" borderId="69" xfId="0" applyFont="1" applyBorder="1" applyAlignment="1">
      <alignment horizontal="left" vertical="center" wrapText="1"/>
    </xf>
    <xf numFmtId="0" fontId="6" fillId="0" borderId="70" xfId="0" applyFont="1" applyBorder="1" applyAlignment="1">
      <alignment horizontal="left" vertical="center" wrapText="1"/>
    </xf>
    <xf numFmtId="0" fontId="6" fillId="0" borderId="4" xfId="0" applyFont="1" applyBorder="1" applyAlignment="1">
      <alignment horizontal="left" vertical="center" wrapText="1"/>
    </xf>
    <xf numFmtId="0" fontId="6" fillId="0" borderId="7" xfId="0" applyFont="1" applyBorder="1" applyAlignment="1">
      <alignment horizontal="left" vertical="center" wrapText="1"/>
    </xf>
    <xf numFmtId="0" fontId="6" fillId="0" borderId="28" xfId="0" applyFont="1" applyBorder="1" applyAlignment="1">
      <alignment horizontal="left" vertical="center" wrapText="1"/>
    </xf>
    <xf numFmtId="0" fontId="6" fillId="0" borderId="19" xfId="0" applyFont="1" applyBorder="1" applyAlignment="1">
      <alignment horizontal="left" vertical="center" wrapText="1"/>
    </xf>
    <xf numFmtId="0" fontId="6" fillId="0" borderId="44" xfId="0" applyFont="1" applyBorder="1" applyAlignment="1">
      <alignment horizontal="left" vertical="center" wrapText="1"/>
    </xf>
    <xf numFmtId="0" fontId="6" fillId="0" borderId="13" xfId="0" applyFont="1" applyBorder="1" applyAlignment="1">
      <alignment horizontal="left" vertical="center" wrapText="1"/>
    </xf>
    <xf numFmtId="0" fontId="29" fillId="4" borderId="93" xfId="0" applyFont="1" applyFill="1" applyBorder="1" applyAlignment="1">
      <alignment horizontal="left" vertical="center"/>
    </xf>
    <xf numFmtId="0" fontId="29" fillId="4" borderId="55" xfId="0" applyFont="1" applyFill="1" applyBorder="1" applyAlignment="1">
      <alignment horizontal="left" vertical="center"/>
    </xf>
    <xf numFmtId="0" fontId="6" fillId="0" borderId="8" xfId="0" applyFont="1" applyBorder="1" applyAlignment="1">
      <alignment horizontal="left" vertical="center" wrapText="1"/>
    </xf>
    <xf numFmtId="0" fontId="29" fillId="4" borderId="94" xfId="0" applyFont="1" applyFill="1" applyBorder="1" applyAlignment="1">
      <alignment horizontal="left" vertical="center"/>
    </xf>
    <xf numFmtId="0" fontId="6" fillId="0" borderId="92" xfId="0" applyFont="1" applyBorder="1" applyAlignment="1">
      <alignment horizontal="left" vertical="center" wrapText="1"/>
    </xf>
    <xf numFmtId="0" fontId="6" fillId="0" borderId="91" xfId="0" applyFont="1" applyBorder="1" applyAlignment="1">
      <alignment horizontal="left" vertical="center" wrapText="1"/>
    </xf>
    <xf numFmtId="0" fontId="5" fillId="4" borderId="4" xfId="2" applyFont="1" applyFill="1" applyBorder="1" applyAlignment="1">
      <alignment horizontal="left" vertical="center"/>
    </xf>
    <xf numFmtId="0" fontId="5" fillId="4" borderId="5" xfId="2" applyFont="1" applyFill="1" applyBorder="1" applyAlignment="1">
      <alignment horizontal="left" vertical="center"/>
    </xf>
    <xf numFmtId="0" fontId="6" fillId="0" borderId="67"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4" xfId="0" applyFont="1" applyBorder="1" applyAlignment="1">
      <alignment horizontal="center" vertical="center"/>
    </xf>
    <xf numFmtId="0" fontId="6" fillId="0" borderId="66" xfId="0" applyFont="1" applyBorder="1" applyAlignment="1">
      <alignment horizontal="center" vertical="center"/>
    </xf>
    <xf numFmtId="0" fontId="6" fillId="0" borderId="71" xfId="0" applyFont="1" applyBorder="1" applyAlignment="1">
      <alignment horizontal="center" vertical="center"/>
    </xf>
    <xf numFmtId="0" fontId="6" fillId="0" borderId="70" xfId="0" applyFont="1" applyBorder="1" applyAlignment="1">
      <alignment horizontal="center" vertical="center"/>
    </xf>
    <xf numFmtId="0" fontId="6" fillId="0" borderId="68" xfId="0" applyFont="1" applyBorder="1" applyAlignment="1">
      <alignment horizontal="center" vertical="center"/>
    </xf>
    <xf numFmtId="0" fontId="6" fillId="0" borderId="69" xfId="0" applyFont="1" applyBorder="1" applyAlignment="1">
      <alignment horizontal="center" vertical="center"/>
    </xf>
    <xf numFmtId="0" fontId="6" fillId="0" borderId="65" xfId="0" applyFont="1" applyBorder="1" applyAlignment="1">
      <alignment horizontal="center" vertical="center"/>
    </xf>
    <xf numFmtId="0" fontId="6" fillId="0" borderId="64" xfId="0" applyFont="1" applyBorder="1" applyAlignment="1">
      <alignment horizontal="center" vertical="center"/>
    </xf>
    <xf numFmtId="0" fontId="6" fillId="0" borderId="73" xfId="0" applyFont="1" applyBorder="1" applyAlignment="1">
      <alignment horizontal="center" vertical="center"/>
    </xf>
    <xf numFmtId="0" fontId="6" fillId="0" borderId="72"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5" xfId="0" applyFont="1" applyBorder="1" applyAlignment="1">
      <alignment horizontal="center" vertical="center" wrapText="1"/>
    </xf>
    <xf numFmtId="0" fontId="6" fillId="0" borderId="64" xfId="0" applyFont="1" applyBorder="1" applyAlignment="1">
      <alignment horizontal="center" vertical="center" wrapText="1"/>
    </xf>
    <xf numFmtId="0" fontId="5" fillId="4" borderId="1" xfId="2" applyFont="1" applyFill="1" applyBorder="1" applyAlignment="1">
      <alignment horizontal="center" vertical="center" wrapText="1"/>
    </xf>
    <xf numFmtId="0" fontId="17" fillId="4" borderId="1" xfId="0" applyFont="1" applyFill="1" applyBorder="1" applyAlignment="1">
      <alignment horizontal="center" vertical="center" wrapText="1"/>
    </xf>
    <xf numFmtId="0" fontId="5" fillId="4" borderId="93" xfId="2" applyFont="1" applyFill="1" applyBorder="1" applyAlignment="1">
      <alignment horizontal="left" vertical="center"/>
    </xf>
    <xf numFmtId="0" fontId="16" fillId="0" borderId="39" xfId="0" applyFont="1" applyBorder="1" applyAlignment="1">
      <alignment horizontal="left" vertical="center" wrapText="1"/>
    </xf>
    <xf numFmtId="0" fontId="16" fillId="0" borderId="19" xfId="0" applyFont="1" applyBorder="1" applyAlignment="1">
      <alignment horizontal="left" vertical="center" wrapText="1"/>
    </xf>
    <xf numFmtId="0" fontId="16" fillId="0" borderId="28" xfId="0" applyFont="1" applyBorder="1" applyAlignment="1">
      <alignment horizontal="left" vertical="center" wrapText="1"/>
    </xf>
    <xf numFmtId="0" fontId="20" fillId="7" borderId="3" xfId="2" applyFont="1" applyFill="1" applyBorder="1" applyAlignment="1">
      <alignment horizontal="center" vertical="center"/>
    </xf>
    <xf numFmtId="0" fontId="20" fillId="7" borderId="60" xfId="2" applyFont="1" applyFill="1" applyBorder="1" applyAlignment="1">
      <alignment horizontal="center" vertical="center"/>
    </xf>
    <xf numFmtId="0" fontId="31" fillId="10" borderId="3" xfId="0" applyFont="1" applyFill="1" applyBorder="1" applyAlignment="1">
      <alignment horizontal="left" vertical="center" wrapText="1"/>
    </xf>
    <xf numFmtId="0" fontId="31" fillId="10" borderId="60" xfId="0" applyFont="1" applyFill="1" applyBorder="1" applyAlignment="1">
      <alignment horizontal="left" vertical="center" wrapText="1"/>
    </xf>
    <xf numFmtId="0" fontId="0" fillId="0" borderId="58" xfId="0" applyBorder="1" applyAlignment="1">
      <alignment horizontal="left" vertical="center" wrapText="1"/>
    </xf>
    <xf numFmtId="0" fontId="0" fillId="0" borderId="62" xfId="0" applyBorder="1" applyAlignment="1">
      <alignment horizontal="left" vertical="center" wrapText="1"/>
    </xf>
    <xf numFmtId="0" fontId="0" fillId="0" borderId="61" xfId="0" applyBorder="1" applyAlignment="1">
      <alignment horizontal="left" vertical="center" wrapText="1"/>
    </xf>
    <xf numFmtId="0" fontId="0" fillId="0" borderId="39" xfId="0" applyBorder="1" applyAlignment="1">
      <alignment horizontal="left" vertical="center" wrapText="1"/>
    </xf>
    <xf numFmtId="0" fontId="0" fillId="0" borderId="28" xfId="0" applyBorder="1" applyAlignment="1">
      <alignment horizontal="left" vertical="center" wrapText="1"/>
    </xf>
    <xf numFmtId="0" fontId="0" fillId="0" borderId="19" xfId="0" applyBorder="1" applyAlignment="1">
      <alignment horizontal="left" vertical="center" wrapText="1"/>
    </xf>
    <xf numFmtId="0" fontId="9" fillId="0" borderId="63" xfId="0" applyFont="1" applyBorder="1" applyAlignment="1">
      <alignment horizontal="left" vertical="center" wrapText="1"/>
    </xf>
    <xf numFmtId="0" fontId="9" fillId="0" borderId="108" xfId="0" applyFont="1" applyBorder="1" applyAlignment="1">
      <alignment horizontal="left" vertical="center" wrapText="1"/>
    </xf>
  </cellXfs>
  <cellStyles count="3">
    <cellStyle name="Accent1 2" xfId="1" xr:uid="{BDF72055-8F36-470A-9759-3B6DCD721D65}"/>
    <cellStyle name="Normal" xfId="0" builtinId="0"/>
    <cellStyle name="Normal 3" xfId="2" xr:uid="{DD4AAD13-C191-474C-8B98-7D6FAF846302}"/>
  </cellStyles>
  <dxfs count="0"/>
  <tableStyles count="0" defaultTableStyle="TableStyleMedium2" defaultPivotStyle="PivotStyleLight16"/>
  <colors>
    <mruColors>
      <color rgb="FFFFFFCC"/>
      <color rgb="FFB8D3EF"/>
      <color rgb="FF6E8DFF"/>
      <color rgb="FFFF7C80"/>
      <color rgb="FF4EA7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111125</xdr:colOff>
      <xdr:row>2</xdr:row>
      <xdr:rowOff>9525</xdr:rowOff>
    </xdr:from>
    <xdr:to>
      <xdr:col>1</xdr:col>
      <xdr:colOff>1626336</xdr:colOff>
      <xdr:row>5</xdr:row>
      <xdr:rowOff>134208</xdr:rowOff>
    </xdr:to>
    <xdr:pic>
      <xdr:nvPicPr>
        <xdr:cNvPr id="300" name="Image 2">
          <a:extLst>
            <a:ext uri="{FF2B5EF4-FFF2-40B4-BE49-F238E27FC236}">
              <a16:creationId xmlns:a16="http://schemas.microsoft.com/office/drawing/2014/main" id="{D92B174A-A17C-43F1-B525-2AD3930D677D}"/>
            </a:ext>
          </a:extLst>
        </xdr:cNvPr>
        <xdr:cNvPicPr>
          <a:picLocks noChangeAspect="1"/>
        </xdr:cNvPicPr>
      </xdr:nvPicPr>
      <xdr:blipFill>
        <a:blip xmlns:r="http://schemas.openxmlformats.org/officeDocument/2006/relationships" r:embed="rId1"/>
        <a:stretch>
          <a:fillRect/>
        </a:stretch>
      </xdr:blipFill>
      <xdr:spPr>
        <a:xfrm>
          <a:off x="863600" y="371475"/>
          <a:ext cx="1518386" cy="667608"/>
        </a:xfrm>
        <a:prstGeom prst="rect">
          <a:avLst/>
        </a:prstGeom>
      </xdr:spPr>
    </xdr:pic>
    <xdr:clientData/>
  </xdr:twoCellAnchor>
  <xdr:oneCellAnchor>
    <xdr:from>
      <xdr:col>1</xdr:col>
      <xdr:colOff>1705909</xdr:colOff>
      <xdr:row>1</xdr:row>
      <xdr:rowOff>171450</xdr:rowOff>
    </xdr:from>
    <xdr:ext cx="2266376" cy="530412"/>
    <xdr:pic>
      <xdr:nvPicPr>
        <xdr:cNvPr id="301" name="Image 3">
          <a:extLst>
            <a:ext uri="{FF2B5EF4-FFF2-40B4-BE49-F238E27FC236}">
              <a16:creationId xmlns:a16="http://schemas.microsoft.com/office/drawing/2014/main" id="{121E712C-2818-41BD-AACF-917DD4AB28CC}"/>
            </a:ext>
          </a:extLst>
        </xdr:cNvPr>
        <xdr:cNvPicPr>
          <a:picLocks noChangeAspect="1"/>
        </xdr:cNvPicPr>
      </xdr:nvPicPr>
      <xdr:blipFill>
        <a:blip xmlns:r="http://schemas.openxmlformats.org/officeDocument/2006/relationships" r:embed="rId2"/>
        <a:stretch>
          <a:fillRect/>
        </a:stretch>
      </xdr:blipFill>
      <xdr:spPr>
        <a:xfrm>
          <a:off x="2458384" y="352425"/>
          <a:ext cx="2266376" cy="53041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77932</xdr:colOff>
      <xdr:row>2</xdr:row>
      <xdr:rowOff>277091</xdr:rowOff>
    </xdr:from>
    <xdr:to>
      <xdr:col>10</xdr:col>
      <xdr:colOff>352896</xdr:colOff>
      <xdr:row>8</xdr:row>
      <xdr:rowOff>47204</xdr:rowOff>
    </xdr:to>
    <xdr:pic>
      <xdr:nvPicPr>
        <xdr:cNvPr id="2" name="Image 1">
          <a:extLst>
            <a:ext uri="{FF2B5EF4-FFF2-40B4-BE49-F238E27FC236}">
              <a16:creationId xmlns:a16="http://schemas.microsoft.com/office/drawing/2014/main" id="{2DC22249-DAD7-3AAD-F8A6-1658461E9E44}"/>
            </a:ext>
          </a:extLst>
        </xdr:cNvPr>
        <xdr:cNvPicPr>
          <a:picLocks noChangeAspect="1"/>
        </xdr:cNvPicPr>
      </xdr:nvPicPr>
      <xdr:blipFill>
        <a:blip xmlns:r="http://schemas.openxmlformats.org/officeDocument/2006/relationships" r:embed="rId1"/>
        <a:stretch>
          <a:fillRect/>
        </a:stretch>
      </xdr:blipFill>
      <xdr:spPr>
        <a:xfrm>
          <a:off x="11118273" y="770659"/>
          <a:ext cx="5262600" cy="19812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mes DOWSE" id="{62076CFD-C207-4F93-9196-0C72595EAC85}" userId="S::jdowse@synvance.com::f054f132-4d05-4a6d-9e19-00dbab841131"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23" dT="2025-05-22T13:20:43.68" personId="{62076CFD-C207-4F93-9196-0C72595EAC85}" id="{2E64650A-3688-4494-96C1-58CECD32B51E}">
    <text xml:space="preserve">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ext>
  </threadedComment>
  <threadedComment ref="B125" dT="2025-05-22T13:20:47.67" personId="{62076CFD-C207-4F93-9196-0C72595EAC85}" id="{7858E43D-A375-4571-925B-DE2BB65CE916}">
    <text xml:space="preserve">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ext>
  </threadedComment>
  <threadedComment ref="B170" dT="2025-05-22T14:05:02.03" personId="{62076CFD-C207-4F93-9196-0C72595EAC85}" id="{50A6B615-CE6F-437A-BA10-2E531FB62770}">
    <text>Note sur le pilotage hebdomadaire des capacités fournisseurs :
Il s’agit d’un besoin transverse de pilotage exploitant les données et plannings des commandes de ventes et d’achats, les capacités fournisseurs (théoriques, avec possibilité d’ajustement) et lead times, et les éléments de planification amont. 
Ce besoin hors scope relève plutôt d’une approche Planning et S&amp;OP 
Vous êtes toutefois invité à faire part de vos solutions éventuelles.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3.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customProperty" Target="../customProperty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customProperty" Target="../customProperty9.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8F16-5D57-450B-9FEB-994DD612D247}">
  <sheetPr>
    <tabColor rgb="FF6E8DFF"/>
  </sheetPr>
  <dimension ref="A3:G126"/>
  <sheetViews>
    <sheetView topLeftCell="A57" zoomScaleNormal="100" workbookViewId="0">
      <selection activeCell="B10" sqref="B10:G17"/>
    </sheetView>
  </sheetViews>
  <sheetFormatPr baseColWidth="10" defaultColWidth="10.77734375" defaultRowHeight="14.4"/>
  <cols>
    <col min="1" max="1" width="10.77734375" style="47"/>
    <col min="2" max="2" width="151.77734375" style="47" customWidth="1"/>
    <col min="3" max="16384" width="10.77734375" style="47"/>
  </cols>
  <sheetData>
    <row r="3" spans="1:7">
      <c r="A3" s="46"/>
      <c r="B3" s="46"/>
    </row>
    <row r="6" spans="1:7">
      <c r="B6" s="153">
        <v>45805</v>
      </c>
    </row>
    <row r="7" spans="1:7">
      <c r="A7" s="46"/>
      <c r="B7" s="152"/>
    </row>
    <row r="8" spans="1:7" ht="36.6">
      <c r="A8" s="46"/>
      <c r="B8" s="48" t="s">
        <v>0</v>
      </c>
    </row>
    <row r="9" spans="1:7" ht="18">
      <c r="A9" s="46"/>
      <c r="B9" s="49" t="s">
        <v>1</v>
      </c>
    </row>
    <row r="10" spans="1:7">
      <c r="A10" s="57"/>
      <c r="B10" s="304" t="s">
        <v>2</v>
      </c>
      <c r="C10" s="304"/>
      <c r="D10" s="304"/>
      <c r="E10" s="304"/>
      <c r="F10" s="304"/>
      <c r="G10" s="304"/>
    </row>
    <row r="11" spans="1:7">
      <c r="A11" s="58"/>
      <c r="B11" s="304"/>
      <c r="C11" s="304"/>
      <c r="D11" s="304"/>
      <c r="E11" s="304"/>
      <c r="F11" s="304"/>
      <c r="G11" s="304"/>
    </row>
    <row r="12" spans="1:7">
      <c r="A12" s="58"/>
      <c r="B12" s="304"/>
      <c r="C12" s="304"/>
      <c r="D12" s="304"/>
      <c r="E12" s="304"/>
      <c r="F12" s="304"/>
      <c r="G12" s="304"/>
    </row>
    <row r="13" spans="1:7">
      <c r="A13" s="58"/>
      <c r="B13" s="304"/>
      <c r="C13" s="304"/>
      <c r="D13" s="304"/>
      <c r="E13" s="304"/>
      <c r="F13" s="304"/>
      <c r="G13" s="304"/>
    </row>
    <row r="14" spans="1:7">
      <c r="A14" s="58"/>
      <c r="B14" s="304"/>
      <c r="C14" s="304"/>
      <c r="D14" s="304"/>
      <c r="E14" s="304"/>
      <c r="F14" s="304"/>
      <c r="G14" s="304"/>
    </row>
    <row r="15" spans="1:7">
      <c r="A15" s="58"/>
      <c r="B15" s="304"/>
      <c r="C15" s="304"/>
      <c r="D15" s="304"/>
      <c r="E15" s="304"/>
      <c r="F15" s="304"/>
      <c r="G15" s="304"/>
    </row>
    <row r="16" spans="1:7">
      <c r="A16" s="58"/>
      <c r="B16" s="304"/>
      <c r="C16" s="304"/>
      <c r="D16" s="304"/>
      <c r="E16" s="304"/>
      <c r="F16" s="304"/>
      <c r="G16" s="304"/>
    </row>
    <row r="17" spans="1:7">
      <c r="A17" s="58"/>
      <c r="B17" s="304"/>
      <c r="C17" s="304"/>
      <c r="D17" s="304"/>
      <c r="E17" s="304"/>
      <c r="F17" s="304"/>
      <c r="G17" s="304"/>
    </row>
    <row r="18" spans="1:7" ht="18">
      <c r="A18" s="46"/>
      <c r="B18" s="49" t="s">
        <v>3</v>
      </c>
    </row>
    <row r="19" spans="1:7">
      <c r="A19" s="57"/>
      <c r="B19" s="302" t="s">
        <v>4</v>
      </c>
      <c r="C19" s="302"/>
      <c r="D19" s="302"/>
      <c r="E19" s="302"/>
      <c r="F19" s="302"/>
      <c r="G19" s="302"/>
    </row>
    <row r="20" spans="1:7">
      <c r="A20" s="58"/>
      <c r="B20" s="302"/>
      <c r="C20" s="302"/>
      <c r="D20" s="302"/>
      <c r="E20" s="302"/>
      <c r="F20" s="302"/>
      <c r="G20" s="302"/>
    </row>
    <row r="21" spans="1:7">
      <c r="A21" s="58"/>
      <c r="B21" s="302"/>
      <c r="C21" s="302"/>
      <c r="D21" s="302"/>
      <c r="E21" s="302"/>
      <c r="F21" s="302"/>
      <c r="G21" s="302"/>
    </row>
    <row r="22" spans="1:7">
      <c r="A22" s="46"/>
      <c r="B22" s="63"/>
      <c r="C22" s="62"/>
      <c r="D22" s="62"/>
      <c r="E22" s="62"/>
      <c r="F22" s="62"/>
      <c r="G22" s="62"/>
    </row>
    <row r="23" spans="1:7">
      <c r="A23" s="46"/>
      <c r="B23" s="63"/>
      <c r="C23" s="62"/>
      <c r="D23" s="62"/>
      <c r="E23" s="62"/>
      <c r="F23" s="62"/>
      <c r="G23" s="62"/>
    </row>
    <row r="24" spans="1:7" ht="18">
      <c r="A24" s="46"/>
      <c r="B24" s="49" t="s">
        <v>5</v>
      </c>
    </row>
    <row r="25" spans="1:7">
      <c r="A25" s="57"/>
      <c r="B25" s="302" t="s">
        <v>6</v>
      </c>
      <c r="C25" s="302"/>
      <c r="D25" s="302"/>
      <c r="E25" s="302"/>
      <c r="F25" s="302"/>
      <c r="G25" s="302"/>
    </row>
    <row r="26" spans="1:7">
      <c r="A26" s="58"/>
      <c r="B26" s="302"/>
      <c r="C26" s="302"/>
      <c r="D26" s="302"/>
      <c r="E26" s="302"/>
      <c r="F26" s="302"/>
      <c r="G26" s="302"/>
    </row>
    <row r="27" spans="1:7">
      <c r="A27" s="58"/>
      <c r="B27" s="302"/>
      <c r="C27" s="302"/>
      <c r="D27" s="302"/>
      <c r="E27" s="302"/>
      <c r="F27" s="302"/>
      <c r="G27" s="302"/>
    </row>
    <row r="28" spans="1:7">
      <c r="A28" s="58"/>
      <c r="B28" s="302"/>
      <c r="C28" s="302"/>
      <c r="D28" s="302"/>
      <c r="E28" s="302"/>
      <c r="F28" s="302"/>
      <c r="G28" s="302"/>
    </row>
    <row r="29" spans="1:7">
      <c r="A29" s="58"/>
      <c r="B29" s="302"/>
      <c r="C29" s="302"/>
      <c r="D29" s="302"/>
      <c r="E29" s="302"/>
      <c r="F29" s="302"/>
      <c r="G29" s="302"/>
    </row>
    <row r="30" spans="1:7">
      <c r="A30" s="58"/>
      <c r="B30" s="302"/>
      <c r="C30" s="302"/>
      <c r="D30" s="302"/>
      <c r="E30" s="302"/>
      <c r="F30" s="302"/>
      <c r="G30" s="302"/>
    </row>
    <row r="31" spans="1:7">
      <c r="A31" s="58"/>
      <c r="B31" s="302"/>
      <c r="C31" s="302"/>
      <c r="D31" s="302"/>
      <c r="E31" s="302"/>
      <c r="F31" s="302"/>
      <c r="G31" s="302"/>
    </row>
    <row r="32" spans="1:7">
      <c r="A32" s="58"/>
      <c r="B32" s="302"/>
      <c r="C32" s="302"/>
      <c r="D32" s="302"/>
      <c r="E32" s="302"/>
      <c r="F32" s="302"/>
      <c r="G32" s="302"/>
    </row>
    <row r="33" spans="1:7">
      <c r="A33" s="58"/>
      <c r="B33" s="302"/>
      <c r="C33" s="302"/>
      <c r="D33" s="302"/>
      <c r="E33" s="302"/>
      <c r="F33" s="302"/>
      <c r="G33" s="302"/>
    </row>
    <row r="34" spans="1:7">
      <c r="A34" s="58"/>
      <c r="B34" s="302"/>
      <c r="C34" s="302"/>
      <c r="D34" s="302"/>
      <c r="E34" s="302"/>
      <c r="F34" s="302"/>
      <c r="G34" s="302"/>
    </row>
    <row r="35" spans="1:7">
      <c r="A35" s="58"/>
      <c r="B35" s="302"/>
      <c r="C35" s="302"/>
      <c r="D35" s="302"/>
      <c r="E35" s="302"/>
      <c r="F35" s="302"/>
      <c r="G35" s="302"/>
    </row>
    <row r="36" spans="1:7">
      <c r="A36" s="58"/>
      <c r="B36" s="302"/>
      <c r="C36" s="302"/>
      <c r="D36" s="302"/>
      <c r="E36" s="302"/>
      <c r="F36" s="302"/>
      <c r="G36" s="302"/>
    </row>
    <row r="37" spans="1:7">
      <c r="A37" s="58"/>
      <c r="B37" s="302"/>
      <c r="C37" s="302"/>
      <c r="D37" s="302"/>
      <c r="E37" s="302"/>
      <c r="F37" s="302"/>
      <c r="G37" s="302"/>
    </row>
    <row r="38" spans="1:7">
      <c r="A38" s="58"/>
      <c r="B38" s="302"/>
      <c r="C38" s="302"/>
      <c r="D38" s="302"/>
      <c r="E38" s="302"/>
      <c r="F38" s="302"/>
      <c r="G38" s="302"/>
    </row>
    <row r="39" spans="1:7">
      <c r="A39" s="58"/>
      <c r="B39" s="302"/>
      <c r="C39" s="302"/>
      <c r="D39" s="302"/>
      <c r="E39" s="302"/>
      <c r="F39" s="302"/>
      <c r="G39" s="302"/>
    </row>
    <row r="40" spans="1:7">
      <c r="A40" s="58"/>
      <c r="B40" s="302"/>
      <c r="C40" s="302"/>
      <c r="D40" s="302"/>
      <c r="E40" s="302"/>
      <c r="F40" s="302"/>
      <c r="G40" s="302"/>
    </row>
    <row r="41" spans="1:7" ht="27.75" customHeight="1">
      <c r="A41" s="58"/>
      <c r="B41" s="302"/>
      <c r="C41" s="302"/>
      <c r="D41" s="302"/>
      <c r="E41" s="302"/>
      <c r="F41" s="302"/>
      <c r="G41" s="302"/>
    </row>
    <row r="42" spans="1:7">
      <c r="A42" s="58"/>
      <c r="B42" s="302"/>
      <c r="C42" s="302"/>
      <c r="D42" s="302"/>
      <c r="E42" s="302"/>
      <c r="F42" s="302"/>
      <c r="G42" s="302"/>
    </row>
    <row r="43" spans="1:7">
      <c r="A43" s="58"/>
      <c r="B43" s="302"/>
      <c r="C43" s="302"/>
      <c r="D43" s="302"/>
      <c r="E43" s="302"/>
      <c r="F43" s="302"/>
      <c r="G43" s="302"/>
    </row>
    <row r="44" spans="1:7">
      <c r="A44" s="58"/>
      <c r="B44" s="302"/>
      <c r="C44" s="302"/>
      <c r="D44" s="302"/>
      <c r="E44" s="302"/>
      <c r="F44" s="302"/>
      <c r="G44" s="302"/>
    </row>
    <row r="45" spans="1:7">
      <c r="A45" s="58"/>
      <c r="B45" s="302"/>
      <c r="C45" s="302"/>
      <c r="D45" s="302"/>
      <c r="E45" s="302"/>
      <c r="F45" s="302"/>
      <c r="G45" s="302"/>
    </row>
    <row r="46" spans="1:7">
      <c r="A46" s="58"/>
      <c r="B46" s="302"/>
      <c r="C46" s="302"/>
      <c r="D46" s="302"/>
      <c r="E46" s="302"/>
      <c r="F46" s="302"/>
      <c r="G46" s="302"/>
    </row>
    <row r="47" spans="1:7">
      <c r="A47" s="58"/>
      <c r="B47" s="302"/>
      <c r="C47" s="302"/>
      <c r="D47" s="302"/>
      <c r="E47" s="302"/>
      <c r="F47" s="302"/>
      <c r="G47" s="302"/>
    </row>
    <row r="48" spans="1:7">
      <c r="A48" s="58"/>
      <c r="B48" s="302"/>
      <c r="C48" s="302"/>
      <c r="D48" s="302"/>
      <c r="E48" s="302"/>
      <c r="F48" s="302"/>
      <c r="G48" s="302"/>
    </row>
    <row r="49" spans="1:7">
      <c r="A49" s="58"/>
      <c r="B49" s="302"/>
      <c r="C49" s="302"/>
      <c r="D49" s="302"/>
      <c r="E49" s="302"/>
      <c r="F49" s="302"/>
      <c r="G49" s="302"/>
    </row>
    <row r="50" spans="1:7">
      <c r="A50" s="58"/>
      <c r="B50" s="302"/>
      <c r="C50" s="302"/>
      <c r="D50" s="302"/>
      <c r="E50" s="302"/>
      <c r="F50" s="302"/>
      <c r="G50" s="302"/>
    </row>
    <row r="51" spans="1:7">
      <c r="A51" s="58"/>
      <c r="B51" s="302"/>
      <c r="C51" s="302"/>
      <c r="D51" s="302"/>
      <c r="E51" s="302"/>
      <c r="F51" s="302"/>
      <c r="G51" s="302"/>
    </row>
    <row r="52" spans="1:7">
      <c r="A52" s="58"/>
      <c r="B52" s="302"/>
      <c r="C52" s="302"/>
      <c r="D52" s="302"/>
      <c r="E52" s="302"/>
      <c r="F52" s="302"/>
      <c r="G52" s="302"/>
    </row>
    <row r="53" spans="1:7">
      <c r="A53" s="59"/>
      <c r="B53" s="302"/>
      <c r="C53" s="302"/>
      <c r="D53" s="302"/>
      <c r="E53" s="302"/>
      <c r="F53" s="302"/>
      <c r="G53" s="302"/>
    </row>
    <row r="54" spans="1:7">
      <c r="A54" s="59"/>
      <c r="B54" s="54"/>
      <c r="C54" s="55"/>
      <c r="D54" s="55"/>
      <c r="E54" s="55"/>
      <c r="F54" s="55"/>
      <c r="G54" s="56"/>
    </row>
    <row r="55" spans="1:7" ht="18">
      <c r="A55" s="46"/>
      <c r="B55" s="49" t="s">
        <v>7</v>
      </c>
    </row>
    <row r="56" spans="1:7" ht="15.75" customHeight="1">
      <c r="A56" s="57"/>
      <c r="B56" s="302" t="s">
        <v>8</v>
      </c>
      <c r="C56" s="302"/>
      <c r="D56" s="302"/>
      <c r="E56" s="302"/>
      <c r="F56" s="302"/>
      <c r="G56" s="302"/>
    </row>
    <row r="57" spans="1:7">
      <c r="B57" s="302"/>
      <c r="C57" s="302"/>
      <c r="D57" s="302"/>
      <c r="E57" s="302"/>
      <c r="F57" s="302"/>
      <c r="G57" s="302"/>
    </row>
    <row r="58" spans="1:7">
      <c r="A58" s="58"/>
      <c r="B58" s="302"/>
      <c r="C58" s="302"/>
      <c r="D58" s="302"/>
      <c r="E58" s="302"/>
      <c r="F58" s="302"/>
      <c r="G58" s="302"/>
    </row>
    <row r="59" spans="1:7">
      <c r="A59" s="58"/>
      <c r="B59" s="302"/>
      <c r="C59" s="302"/>
      <c r="D59" s="302"/>
      <c r="E59" s="302"/>
      <c r="F59" s="302"/>
      <c r="G59" s="302"/>
    </row>
    <row r="60" spans="1:7">
      <c r="A60" s="58"/>
      <c r="B60" s="302"/>
      <c r="C60" s="302"/>
      <c r="D60" s="302"/>
      <c r="E60" s="302"/>
      <c r="F60" s="302"/>
      <c r="G60" s="302"/>
    </row>
    <row r="61" spans="1:7">
      <c r="A61" s="58"/>
      <c r="B61" s="302"/>
      <c r="C61" s="302"/>
      <c r="D61" s="302"/>
      <c r="E61" s="302"/>
      <c r="F61" s="302"/>
      <c r="G61" s="302"/>
    </row>
    <row r="62" spans="1:7">
      <c r="A62" s="58"/>
      <c r="B62" s="302"/>
      <c r="C62" s="302"/>
      <c r="D62" s="302"/>
      <c r="E62" s="302"/>
      <c r="F62" s="302"/>
      <c r="G62" s="302"/>
    </row>
    <row r="63" spans="1:7">
      <c r="A63" s="58"/>
      <c r="B63" s="302"/>
      <c r="C63" s="302"/>
      <c r="D63" s="302"/>
      <c r="E63" s="302"/>
      <c r="F63" s="302"/>
      <c r="G63" s="302"/>
    </row>
    <row r="64" spans="1:7">
      <c r="A64" s="58"/>
      <c r="B64" s="302"/>
      <c r="C64" s="302"/>
      <c r="D64" s="302"/>
      <c r="E64" s="302"/>
      <c r="F64" s="302"/>
      <c r="G64" s="302"/>
    </row>
    <row r="65" spans="1:7">
      <c r="A65" s="58"/>
      <c r="B65" s="302"/>
      <c r="C65" s="302"/>
      <c r="D65" s="302"/>
      <c r="E65" s="302"/>
      <c r="F65" s="302"/>
      <c r="G65" s="302"/>
    </row>
    <row r="66" spans="1:7">
      <c r="A66" s="58"/>
      <c r="B66" s="302"/>
      <c r="C66" s="302"/>
      <c r="D66" s="302"/>
      <c r="E66" s="302"/>
      <c r="F66" s="302"/>
      <c r="G66" s="302"/>
    </row>
    <row r="67" spans="1:7">
      <c r="A67" s="58"/>
      <c r="B67" s="302"/>
      <c r="C67" s="302"/>
      <c r="D67" s="302"/>
      <c r="E67" s="302"/>
      <c r="F67" s="302"/>
      <c r="G67" s="302"/>
    </row>
    <row r="68" spans="1:7">
      <c r="A68" s="58"/>
      <c r="B68" s="302"/>
      <c r="C68" s="302"/>
      <c r="D68" s="302"/>
      <c r="E68" s="302"/>
      <c r="F68" s="302"/>
      <c r="G68" s="302"/>
    </row>
    <row r="69" spans="1:7">
      <c r="A69" s="58"/>
      <c r="B69" s="302"/>
      <c r="C69" s="302"/>
      <c r="D69" s="302"/>
      <c r="E69" s="302"/>
      <c r="F69" s="302"/>
      <c r="G69" s="302"/>
    </row>
    <row r="70" spans="1:7">
      <c r="A70" s="58"/>
      <c r="B70" s="302"/>
      <c r="C70" s="302"/>
      <c r="D70" s="302"/>
      <c r="E70" s="302"/>
      <c r="F70" s="302"/>
      <c r="G70" s="302"/>
    </row>
    <row r="71" spans="1:7">
      <c r="A71" s="58"/>
      <c r="B71" s="302"/>
      <c r="C71" s="302"/>
      <c r="D71" s="302"/>
      <c r="E71" s="302"/>
      <c r="F71" s="302"/>
      <c r="G71" s="302"/>
    </row>
    <row r="72" spans="1:7">
      <c r="A72" s="58"/>
      <c r="B72" s="302"/>
      <c r="C72" s="302"/>
      <c r="D72" s="302"/>
      <c r="E72" s="302"/>
      <c r="F72" s="302"/>
      <c r="G72" s="302"/>
    </row>
    <row r="73" spans="1:7">
      <c r="A73" s="58"/>
      <c r="B73" s="302"/>
      <c r="C73" s="302"/>
      <c r="D73" s="302"/>
      <c r="E73" s="302"/>
      <c r="F73" s="302"/>
      <c r="G73" s="302"/>
    </row>
    <row r="74" spans="1:7">
      <c r="A74" s="58"/>
      <c r="B74" s="302"/>
      <c r="C74" s="302"/>
      <c r="D74" s="302"/>
      <c r="E74" s="302"/>
      <c r="F74" s="302"/>
      <c r="G74" s="302"/>
    </row>
    <row r="75" spans="1:7">
      <c r="A75" s="58"/>
      <c r="B75" s="302"/>
      <c r="C75" s="302"/>
      <c r="D75" s="302"/>
      <c r="E75" s="302"/>
      <c r="F75" s="302"/>
      <c r="G75" s="302"/>
    </row>
    <row r="76" spans="1:7">
      <c r="A76" s="58"/>
      <c r="B76" s="302"/>
      <c r="C76" s="302"/>
      <c r="D76" s="302"/>
      <c r="E76" s="302"/>
      <c r="F76" s="302"/>
      <c r="G76" s="302"/>
    </row>
    <row r="77" spans="1:7">
      <c r="A77" s="58"/>
      <c r="B77" s="302"/>
      <c r="C77" s="302"/>
      <c r="D77" s="302"/>
      <c r="E77" s="302"/>
      <c r="F77" s="302"/>
      <c r="G77" s="302"/>
    </row>
    <row r="78" spans="1:7">
      <c r="A78" s="58"/>
      <c r="B78" s="302"/>
      <c r="C78" s="302"/>
      <c r="D78" s="302"/>
      <c r="E78" s="302"/>
      <c r="F78" s="302"/>
      <c r="G78" s="302"/>
    </row>
    <row r="79" spans="1:7">
      <c r="A79" s="46"/>
      <c r="B79" s="63"/>
      <c r="C79" s="62"/>
      <c r="D79" s="62"/>
      <c r="E79" s="62"/>
      <c r="F79" s="62"/>
      <c r="G79" s="62"/>
    </row>
    <row r="80" spans="1:7">
      <c r="A80" s="46"/>
      <c r="B80" s="50"/>
    </row>
    <row r="81" spans="1:7" ht="18">
      <c r="A81" s="46"/>
      <c r="B81" s="49" t="s">
        <v>9</v>
      </c>
    </row>
    <row r="82" spans="1:7">
      <c r="A82" s="58"/>
      <c r="B82" s="305" t="s">
        <v>10</v>
      </c>
      <c r="C82" s="305"/>
      <c r="D82" s="305"/>
      <c r="E82" s="305"/>
      <c r="F82" s="305"/>
      <c r="G82" s="305"/>
    </row>
    <row r="83" spans="1:7">
      <c r="A83" s="58"/>
      <c r="B83" s="305"/>
      <c r="C83" s="305"/>
      <c r="D83" s="305"/>
      <c r="E83" s="305"/>
      <c r="F83" s="305"/>
      <c r="G83" s="305"/>
    </row>
    <row r="84" spans="1:7">
      <c r="A84" s="58"/>
      <c r="B84" s="305"/>
      <c r="C84" s="305"/>
      <c r="D84" s="305"/>
      <c r="E84" s="305"/>
      <c r="F84" s="305"/>
      <c r="G84" s="305"/>
    </row>
    <row r="85" spans="1:7">
      <c r="A85" s="58"/>
      <c r="B85" s="305"/>
      <c r="C85" s="305"/>
      <c r="D85" s="305"/>
      <c r="E85" s="305"/>
      <c r="F85" s="305"/>
      <c r="G85" s="305"/>
    </row>
    <row r="86" spans="1:7">
      <c r="A86" s="58"/>
      <c r="B86" s="305"/>
      <c r="C86" s="305"/>
      <c r="D86" s="305"/>
      <c r="E86" s="305"/>
      <c r="F86" s="305"/>
      <c r="G86" s="305"/>
    </row>
    <row r="87" spans="1:7">
      <c r="A87" s="46"/>
      <c r="B87" s="50"/>
      <c r="C87" s="53"/>
      <c r="D87" s="53"/>
      <c r="E87" s="53"/>
      <c r="F87" s="53"/>
      <c r="G87" s="53"/>
    </row>
    <row r="88" spans="1:7">
      <c r="A88" s="46"/>
      <c r="B88" s="50"/>
      <c r="C88" s="53"/>
      <c r="D88" s="53"/>
      <c r="E88" s="53"/>
      <c r="F88" s="53"/>
      <c r="G88" s="53"/>
    </row>
    <row r="89" spans="1:7" ht="18">
      <c r="A89" s="46"/>
      <c r="B89" s="49" t="s">
        <v>11</v>
      </c>
    </row>
    <row r="90" spans="1:7" ht="36" customHeight="1">
      <c r="A90" s="57"/>
      <c r="B90" s="302" t="s">
        <v>12</v>
      </c>
      <c r="C90" s="302"/>
      <c r="D90" s="302"/>
      <c r="E90" s="302"/>
      <c r="F90" s="302"/>
      <c r="G90" s="302"/>
    </row>
    <row r="91" spans="1:7" ht="36" customHeight="1">
      <c r="A91" s="58"/>
      <c r="B91" s="302"/>
      <c r="C91" s="302"/>
      <c r="D91" s="302"/>
      <c r="E91" s="302"/>
      <c r="F91" s="302"/>
      <c r="G91" s="302"/>
    </row>
    <row r="92" spans="1:7" ht="36" customHeight="1">
      <c r="A92" s="58"/>
      <c r="B92" s="302"/>
      <c r="C92" s="302"/>
      <c r="D92" s="302"/>
      <c r="E92" s="302"/>
      <c r="F92" s="302"/>
      <c r="G92" s="302"/>
    </row>
    <row r="93" spans="1:7" ht="36" customHeight="1">
      <c r="A93" s="58"/>
      <c r="B93" s="302"/>
      <c r="C93" s="302"/>
      <c r="D93" s="302"/>
      <c r="E93" s="302"/>
      <c r="F93" s="302"/>
      <c r="G93" s="302"/>
    </row>
    <row r="94" spans="1:7" ht="23.25" customHeight="1">
      <c r="A94" s="58"/>
      <c r="B94" s="302"/>
      <c r="C94" s="302"/>
      <c r="D94" s="302"/>
      <c r="E94" s="302"/>
      <c r="F94" s="302"/>
      <c r="G94" s="302"/>
    </row>
    <row r="95" spans="1:7">
      <c r="A95" s="46"/>
      <c r="B95" s="63"/>
      <c r="C95" s="62"/>
      <c r="D95" s="62"/>
      <c r="E95" s="62"/>
      <c r="F95" s="62"/>
      <c r="G95" s="62"/>
    </row>
    <row r="96" spans="1:7">
      <c r="A96" s="46"/>
      <c r="B96" s="63"/>
      <c r="C96" s="62"/>
      <c r="D96" s="62"/>
      <c r="E96" s="62"/>
      <c r="F96" s="62"/>
      <c r="G96" s="62"/>
    </row>
    <row r="97" spans="1:7" ht="18" customHeight="1">
      <c r="A97" s="46"/>
      <c r="B97" s="49" t="s">
        <v>13</v>
      </c>
    </row>
    <row r="98" spans="1:7" ht="18" customHeight="1">
      <c r="A98" s="57"/>
      <c r="B98" s="302" t="s">
        <v>14</v>
      </c>
      <c r="C98" s="302"/>
      <c r="D98" s="302"/>
      <c r="E98" s="302"/>
      <c r="F98" s="302"/>
      <c r="G98" s="302"/>
    </row>
    <row r="99" spans="1:7" ht="18" customHeight="1">
      <c r="A99" s="58"/>
      <c r="B99" s="302"/>
      <c r="C99" s="302"/>
      <c r="D99" s="302"/>
      <c r="E99" s="302"/>
      <c r="F99" s="302"/>
      <c r="G99" s="302"/>
    </row>
    <row r="100" spans="1:7" ht="18" customHeight="1">
      <c r="A100" s="58"/>
      <c r="B100" s="302"/>
      <c r="C100" s="302"/>
      <c r="D100" s="302"/>
      <c r="E100" s="302"/>
      <c r="F100" s="302"/>
      <c r="G100" s="302"/>
    </row>
    <row r="101" spans="1:7" ht="18" customHeight="1">
      <c r="A101" s="58"/>
      <c r="B101" s="302"/>
      <c r="C101" s="302"/>
      <c r="D101" s="302"/>
      <c r="E101" s="302"/>
      <c r="F101" s="302"/>
      <c r="G101" s="302"/>
    </row>
    <row r="102" spans="1:7">
      <c r="A102" s="58"/>
      <c r="B102" s="302"/>
      <c r="C102" s="302"/>
      <c r="D102" s="302"/>
      <c r="E102" s="302"/>
      <c r="F102" s="302"/>
      <c r="G102" s="302"/>
    </row>
    <row r="103" spans="1:7">
      <c r="A103" s="59"/>
      <c r="B103" s="302"/>
      <c r="C103" s="302"/>
      <c r="D103" s="302"/>
      <c r="E103" s="302"/>
      <c r="F103" s="302"/>
      <c r="G103" s="302"/>
    </row>
    <row r="104" spans="1:7" ht="18">
      <c r="A104" s="46"/>
      <c r="B104" s="49" t="s">
        <v>15</v>
      </c>
    </row>
    <row r="105" spans="1:7" ht="82.5" customHeight="1">
      <c r="A105" s="57"/>
      <c r="B105" s="303" t="s">
        <v>16</v>
      </c>
      <c r="C105" s="303"/>
      <c r="D105" s="303"/>
      <c r="E105" s="303"/>
      <c r="F105" s="303"/>
      <c r="G105" s="303"/>
    </row>
    <row r="106" spans="1:7">
      <c r="A106" s="59"/>
      <c r="B106" s="63"/>
      <c r="C106" s="148"/>
      <c r="D106" s="148"/>
      <c r="E106" s="148"/>
      <c r="F106" s="148"/>
      <c r="G106" s="148"/>
    </row>
    <row r="107" spans="1:7">
      <c r="A107" s="46"/>
      <c r="B107" s="50"/>
      <c r="C107" s="51"/>
      <c r="D107" s="51"/>
      <c r="E107" s="51"/>
      <c r="F107" s="51"/>
      <c r="G107" s="52"/>
    </row>
    <row r="108" spans="1:7" ht="18">
      <c r="A108" s="46"/>
      <c r="B108" s="49" t="s">
        <v>17</v>
      </c>
    </row>
    <row r="109" spans="1:7" ht="49.5" customHeight="1">
      <c r="B109" s="298" t="s">
        <v>18</v>
      </c>
    </row>
    <row r="110" spans="1:7" ht="11.25" customHeight="1">
      <c r="B110" s="298"/>
    </row>
    <row r="111" spans="1:7">
      <c r="B111" s="298"/>
    </row>
    <row r="112" spans="1:7">
      <c r="B112" s="298"/>
    </row>
    <row r="113" spans="2:2" ht="18">
      <c r="B113" s="49" t="s">
        <v>19</v>
      </c>
    </row>
    <row r="114" spans="2:2" ht="203.25" customHeight="1">
      <c r="B114" s="299" t="s">
        <v>20</v>
      </c>
    </row>
    <row r="115" spans="2:2">
      <c r="B115" s="300"/>
    </row>
    <row r="116" spans="2:2">
      <c r="B116" s="300"/>
    </row>
    <row r="117" spans="2:2">
      <c r="B117" s="300"/>
    </row>
    <row r="118" spans="2:2">
      <c r="B118" s="300"/>
    </row>
    <row r="119" spans="2:2">
      <c r="B119" s="300"/>
    </row>
    <row r="120" spans="2:2">
      <c r="B120" s="300"/>
    </row>
    <row r="121" spans="2:2">
      <c r="B121" s="300"/>
    </row>
    <row r="122" spans="2:2">
      <c r="B122" s="300"/>
    </row>
    <row r="123" spans="2:2">
      <c r="B123" s="300"/>
    </row>
    <row r="124" spans="2:2">
      <c r="B124" s="300"/>
    </row>
    <row r="125" spans="2:2">
      <c r="B125" s="300"/>
    </row>
    <row r="126" spans="2:2">
      <c r="B126" s="301"/>
    </row>
  </sheetData>
  <mergeCells count="10">
    <mergeCell ref="B10:G17"/>
    <mergeCell ref="B19:G21"/>
    <mergeCell ref="B56:G78"/>
    <mergeCell ref="B82:G86"/>
    <mergeCell ref="B25:G53"/>
    <mergeCell ref="B109:B112"/>
    <mergeCell ref="B114:B126"/>
    <mergeCell ref="B90:G94"/>
    <mergeCell ref="B98:G103"/>
    <mergeCell ref="B105:G105"/>
  </mergeCells>
  <pageMargins left="0.7" right="0.7" top="0.75" bottom="0.75" header="0.3" footer="0.3"/>
  <customProperties>
    <customPr name="_pios_id"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902A-91E0-434D-9BF8-FC6C1F7197B9}">
  <sheetPr>
    <tabColor theme="9" tint="0.79998168889431442"/>
  </sheetPr>
  <dimension ref="A1:F28"/>
  <sheetViews>
    <sheetView topLeftCell="A10" zoomScale="115" zoomScaleNormal="115" zoomScaleSheetLayoutView="70" workbookViewId="0">
      <selection activeCell="C13" sqref="C13"/>
    </sheetView>
  </sheetViews>
  <sheetFormatPr baseColWidth="10" defaultColWidth="11.5546875" defaultRowHeight="14.4"/>
  <cols>
    <col min="1" max="1" width="44.77734375" customWidth="1"/>
    <col min="2" max="2" width="43.21875" customWidth="1"/>
    <col min="3" max="4" width="33" customWidth="1"/>
  </cols>
  <sheetData>
    <row r="1" spans="1:6" s="20" customFormat="1" ht="24" customHeight="1" thickBot="1">
      <c r="A1" s="19" t="s">
        <v>21</v>
      </c>
      <c r="B1" s="23" t="s">
        <v>22</v>
      </c>
      <c r="C1" s="24" t="s">
        <v>23</v>
      </c>
      <c r="D1" s="24" t="s">
        <v>24</v>
      </c>
    </row>
    <row r="2" spans="1:6" ht="15" customHeight="1">
      <c r="A2" s="306" t="s">
        <v>25</v>
      </c>
      <c r="B2" s="31" t="s">
        <v>26</v>
      </c>
      <c r="C2" s="27" t="s">
        <v>27</v>
      </c>
      <c r="D2" s="30"/>
      <c r="E2" s="7"/>
    </row>
    <row r="3" spans="1:6" ht="82.8">
      <c r="A3" s="307"/>
      <c r="B3" s="22" t="s">
        <v>28</v>
      </c>
      <c r="C3" s="25" t="s">
        <v>29</v>
      </c>
      <c r="D3" s="28" t="s">
        <v>30</v>
      </c>
      <c r="E3" s="7"/>
    </row>
    <row r="4" spans="1:6">
      <c r="A4" s="307"/>
      <c r="B4" s="22" t="s">
        <v>31</v>
      </c>
      <c r="C4" s="25" t="s">
        <v>32</v>
      </c>
      <c r="D4" s="28"/>
      <c r="E4" s="7"/>
    </row>
    <row r="5" spans="1:6">
      <c r="A5" s="307"/>
      <c r="B5" s="22" t="s">
        <v>33</v>
      </c>
      <c r="C5" s="25">
        <v>92000</v>
      </c>
      <c r="D5" s="28"/>
      <c r="E5" s="7"/>
    </row>
    <row r="6" spans="1:6">
      <c r="A6" s="307"/>
      <c r="B6" s="22" t="s">
        <v>34</v>
      </c>
      <c r="C6" s="25" t="s">
        <v>35</v>
      </c>
      <c r="D6" s="28"/>
      <c r="E6" s="7"/>
    </row>
    <row r="7" spans="1:6" ht="27.6">
      <c r="A7" s="307"/>
      <c r="B7" s="22" t="s">
        <v>36</v>
      </c>
      <c r="C7" s="25" t="s">
        <v>37</v>
      </c>
      <c r="D7" s="28"/>
      <c r="E7" s="7"/>
    </row>
    <row r="8" spans="1:6" ht="27.6">
      <c r="A8" s="307"/>
      <c r="B8" s="22" t="s">
        <v>38</v>
      </c>
      <c r="C8" s="25" t="s">
        <v>39</v>
      </c>
      <c r="D8" s="28"/>
      <c r="E8" s="7"/>
    </row>
    <row r="9" spans="1:6" ht="83.4" thickBot="1">
      <c r="A9" s="308"/>
      <c r="B9" s="32" t="s">
        <v>40</v>
      </c>
      <c r="C9" s="26" t="s">
        <v>41</v>
      </c>
      <c r="D9" s="29"/>
      <c r="E9" s="7"/>
    </row>
    <row r="10" spans="1:6" s="2" customFormat="1" ht="10.5" customHeight="1" thickBot="1">
      <c r="A10" s="21"/>
      <c r="B10" s="4"/>
      <c r="C10" s="21"/>
      <c r="D10" s="21"/>
      <c r="E10" s="1"/>
      <c r="F10" s="1"/>
    </row>
    <row r="11" spans="1:6" ht="15" customHeight="1">
      <c r="A11" s="306" t="s">
        <v>42</v>
      </c>
      <c r="B11" s="31" t="s">
        <v>43</v>
      </c>
      <c r="C11" s="27" t="s">
        <v>44</v>
      </c>
      <c r="D11" s="30"/>
    </row>
    <row r="12" spans="1:6" ht="110.4">
      <c r="A12" s="307"/>
      <c r="B12" s="22" t="s">
        <v>45</v>
      </c>
      <c r="C12" s="25" t="s">
        <v>46</v>
      </c>
      <c r="D12" s="28"/>
      <c r="E12" s="7"/>
    </row>
    <row r="13" spans="1:6" ht="39" customHeight="1" thickBot="1">
      <c r="A13" s="308"/>
      <c r="B13" s="32" t="s">
        <v>47</v>
      </c>
      <c r="C13" s="26" t="s">
        <v>48</v>
      </c>
      <c r="D13" s="29"/>
      <c r="E13" s="7"/>
    </row>
    <row r="14" spans="1:6" s="2" customFormat="1" ht="10.5" customHeight="1" thickBot="1">
      <c r="A14" s="21"/>
      <c r="B14" s="4"/>
      <c r="C14" s="21"/>
      <c r="D14" s="21"/>
      <c r="E14" s="1"/>
      <c r="F14" s="1"/>
    </row>
    <row r="15" spans="1:6">
      <c r="A15" s="306" t="s">
        <v>49</v>
      </c>
      <c r="B15" s="31" t="s">
        <v>50</v>
      </c>
      <c r="C15" s="27" t="s">
        <v>51</v>
      </c>
      <c r="D15" s="30"/>
      <c r="E15" s="7"/>
    </row>
    <row r="16" spans="1:6">
      <c r="A16" s="307"/>
      <c r="B16" s="22" t="s">
        <v>52</v>
      </c>
      <c r="C16" s="25" t="s">
        <v>53</v>
      </c>
      <c r="D16" s="28"/>
      <c r="E16" s="7"/>
    </row>
    <row r="17" spans="1:6" ht="42" thickBot="1">
      <c r="A17" s="308"/>
      <c r="B17" s="32" t="s">
        <v>54</v>
      </c>
      <c r="C17" s="26" t="s">
        <v>55</v>
      </c>
      <c r="D17" s="29"/>
      <c r="E17" s="7"/>
    </row>
    <row r="18" spans="1:6" s="2" customFormat="1" ht="10.5" customHeight="1">
      <c r="A18" s="21"/>
      <c r="B18" s="4"/>
      <c r="C18" s="21"/>
      <c r="D18" s="21"/>
      <c r="E18" s="1"/>
      <c r="F18" s="1"/>
    </row>
    <row r="19" spans="1:6">
      <c r="E19" s="7"/>
    </row>
    <row r="20" spans="1:6">
      <c r="E20" s="7"/>
    </row>
    <row r="21" spans="1:6">
      <c r="E21" s="8"/>
    </row>
    <row r="22" spans="1:6">
      <c r="E22" s="8"/>
    </row>
    <row r="23" spans="1:6">
      <c r="E23" s="9"/>
    </row>
    <row r="24" spans="1:6">
      <c r="E24" s="7"/>
    </row>
    <row r="25" spans="1:6">
      <c r="E25" s="7"/>
    </row>
    <row r="26" spans="1:6">
      <c r="E26" s="7"/>
    </row>
    <row r="27" spans="1:6">
      <c r="E27" s="7"/>
    </row>
    <row r="28" spans="1:6">
      <c r="E28" s="7"/>
    </row>
  </sheetData>
  <mergeCells count="3">
    <mergeCell ref="A11:A13"/>
    <mergeCell ref="A15:A17"/>
    <mergeCell ref="A2:A9"/>
  </mergeCells>
  <pageMargins left="0.7" right="0.7" top="0.75" bottom="0.75" header="0.3" footer="0.3"/>
  <pageSetup paperSize="9" orientation="portrait" verticalDpi="597" r:id="rId1"/>
  <customProperties>
    <customPr name="_pios_id" r:id="rId2"/>
  </customPropertie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223B6EA-64E0-4A79-9779-C853C1F1206E}">
          <x14:formula1>
            <xm:f>LISTES!$A$7:$A$10</xm:f>
          </x14:formula1>
          <xm:sqref>C15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AE79-A24E-4804-A0FA-F7547529A3D7}">
  <sheetPr>
    <tabColor rgb="FF92D050"/>
  </sheetPr>
  <dimension ref="A1:L465"/>
  <sheetViews>
    <sheetView tabSelected="1" topLeftCell="A197" zoomScale="70" zoomScaleNormal="70" workbookViewId="0">
      <selection activeCell="E229" sqref="E229"/>
    </sheetView>
  </sheetViews>
  <sheetFormatPr baseColWidth="10" defaultColWidth="11.44140625" defaultRowHeight="14.4"/>
  <cols>
    <col min="1" max="1" width="24.5546875" style="15" customWidth="1"/>
    <col min="2" max="2" width="33.5546875" style="4" customWidth="1"/>
    <col min="3" max="3" width="47" style="17" customWidth="1"/>
    <col min="4" max="4" width="18.77734375" style="17" hidden="1" customWidth="1"/>
    <col min="5" max="6" width="56.21875" style="16" customWidth="1"/>
    <col min="7" max="7" width="17.5546875" style="16" customWidth="1"/>
    <col min="8" max="8" width="87" style="17" customWidth="1"/>
    <col min="9" max="9" width="11.44140625" style="15"/>
    <col min="10" max="10" width="46" style="17" customWidth="1"/>
    <col min="11" max="16384" width="11.44140625" style="15"/>
  </cols>
  <sheetData>
    <row r="1" spans="1:10" s="18" customFormat="1" ht="31.8" thickBot="1">
      <c r="A1" s="99" t="s">
        <v>56</v>
      </c>
      <c r="B1" s="171"/>
      <c r="C1" s="171"/>
      <c r="D1" s="171"/>
      <c r="E1" s="24" t="s">
        <v>23</v>
      </c>
      <c r="F1" s="145" t="s">
        <v>57</v>
      </c>
      <c r="G1" s="145" t="s">
        <v>58</v>
      </c>
      <c r="H1" s="170" t="s">
        <v>59</v>
      </c>
      <c r="J1" s="172"/>
    </row>
    <row r="2" spans="1:10" s="18" customFormat="1" ht="16.2" thickBot="1">
      <c r="A2" s="173"/>
      <c r="B2" s="174"/>
      <c r="C2" s="174"/>
      <c r="D2" s="174"/>
      <c r="E2" s="175"/>
      <c r="F2" s="145"/>
      <c r="G2" s="145"/>
      <c r="H2" s="170"/>
      <c r="J2" s="172"/>
    </row>
    <row r="3" spans="1:10" s="18" customFormat="1" ht="16.2" thickBot="1">
      <c r="A3" s="140" t="s">
        <v>60</v>
      </c>
      <c r="B3" s="141"/>
      <c r="C3" s="154"/>
      <c r="D3" s="154"/>
      <c r="E3" s="141"/>
      <c r="F3" s="141"/>
      <c r="G3" s="141"/>
      <c r="H3" s="155"/>
      <c r="J3" s="172"/>
    </row>
    <row r="4" spans="1:10" ht="27.6">
      <c r="A4" s="309" t="s">
        <v>61</v>
      </c>
      <c r="B4" s="312" t="s">
        <v>62</v>
      </c>
      <c r="C4" s="176" t="s">
        <v>63</v>
      </c>
      <c r="D4" s="176"/>
      <c r="E4" s="177" t="s">
        <v>64</v>
      </c>
      <c r="F4" s="177"/>
      <c r="G4" s="177" t="str">
        <f>_xlfn.IFNA(VLOOKUP(F4,'Abaques besoins fonctionnels'!$B$3:$C$5,2,0)," ")</f>
        <v xml:space="preserve"> </v>
      </c>
      <c r="H4" s="178"/>
    </row>
    <row r="5" spans="1:10" ht="27.6">
      <c r="A5" s="310"/>
      <c r="B5" s="313"/>
      <c r="C5" s="180" t="s">
        <v>65</v>
      </c>
      <c r="D5" s="180"/>
      <c r="E5" s="181" t="s">
        <v>64</v>
      </c>
      <c r="F5" s="181"/>
      <c r="G5" s="181" t="str">
        <f>_xlfn.IFNA(VLOOKUP(F5,'Abaques besoins fonctionnels'!$B$3:$C$5,2,0)," ")</f>
        <v xml:space="preserve"> </v>
      </c>
      <c r="H5" s="182"/>
    </row>
    <row r="6" spans="1:10" ht="28.2" thickBot="1">
      <c r="A6" s="311"/>
      <c r="B6" s="314"/>
      <c r="C6" s="183" t="s">
        <v>66</v>
      </c>
      <c r="D6" s="183"/>
      <c r="E6" s="184" t="s">
        <v>64</v>
      </c>
      <c r="F6" s="184"/>
      <c r="G6" s="184" t="str">
        <f>_xlfn.IFNA(VLOOKUP(F6,'Abaques besoins fonctionnels'!$B$3:$C$5,2,0)," ")</f>
        <v xml:space="preserve"> </v>
      </c>
      <c r="H6" s="185"/>
    </row>
    <row r="7" spans="1:10" ht="41.4">
      <c r="A7" s="309" t="s">
        <v>67</v>
      </c>
      <c r="B7" s="312" t="s">
        <v>68</v>
      </c>
      <c r="C7" s="176" t="s">
        <v>69</v>
      </c>
      <c r="D7" s="176"/>
      <c r="E7" s="177" t="s">
        <v>64</v>
      </c>
      <c r="F7" s="177"/>
      <c r="G7" s="177" t="str">
        <f>_xlfn.IFNA(VLOOKUP(F7,'Abaques besoins fonctionnels'!$B$3:$C$5,2,0)," ")</f>
        <v xml:space="preserve"> </v>
      </c>
      <c r="H7" s="178" t="s">
        <v>70</v>
      </c>
    </row>
    <row r="8" spans="1:10" ht="27.6">
      <c r="A8" s="310"/>
      <c r="B8" s="313"/>
      <c r="C8" s="180" t="s">
        <v>71</v>
      </c>
      <c r="D8" s="180"/>
      <c r="E8" s="181" t="s">
        <v>64</v>
      </c>
      <c r="F8" s="181"/>
      <c r="G8" s="181" t="str">
        <f>_xlfn.IFNA(VLOOKUP(F8,'Abaques besoins fonctionnels'!$B$3:$C$5,2,0)," ")</f>
        <v xml:space="preserve"> </v>
      </c>
      <c r="H8" s="182" t="s">
        <v>72</v>
      </c>
    </row>
    <row r="9" spans="1:10" ht="27.6">
      <c r="A9" s="310"/>
      <c r="B9" s="313" t="s">
        <v>73</v>
      </c>
      <c r="C9" s="180" t="s">
        <v>74</v>
      </c>
      <c r="D9" s="186"/>
      <c r="E9" s="181" t="s">
        <v>64</v>
      </c>
      <c r="F9" s="181"/>
      <c r="G9" s="181" t="str">
        <f>_xlfn.IFNA(VLOOKUP(F9,'Abaques besoins fonctionnels'!$B$3:$C$5,2,0)," ")</f>
        <v xml:space="preserve"> </v>
      </c>
      <c r="H9" s="182" t="s">
        <v>75</v>
      </c>
    </row>
    <row r="10" spans="1:10" ht="27.6">
      <c r="A10" s="310"/>
      <c r="B10" s="313"/>
      <c r="C10" s="180" t="s">
        <v>76</v>
      </c>
      <c r="D10" s="180"/>
      <c r="E10" s="181" t="s">
        <v>64</v>
      </c>
      <c r="F10" s="181"/>
      <c r="G10" s="181" t="str">
        <f>_xlfn.IFNA(VLOOKUP(F10,'Abaques besoins fonctionnels'!$B$3:$C$5,2,0)," ")</f>
        <v xml:space="preserve"> </v>
      </c>
      <c r="H10" s="182"/>
    </row>
    <row r="11" spans="1:10" ht="28.2" thickBot="1">
      <c r="A11" s="311"/>
      <c r="B11" s="314"/>
      <c r="C11" s="183" t="s">
        <v>77</v>
      </c>
      <c r="D11" s="187"/>
      <c r="E11" s="184" t="s">
        <v>78</v>
      </c>
      <c r="F11" s="184"/>
      <c r="G11" s="184" t="str">
        <f>_xlfn.IFNA(VLOOKUP(F11,'Abaques besoins fonctionnels'!$B$3:$C$5,2,0)," ")</f>
        <v xml:space="preserve"> </v>
      </c>
      <c r="H11" s="185" t="s">
        <v>79</v>
      </c>
    </row>
    <row r="12" spans="1:10" ht="41.4">
      <c r="A12" s="322" t="s">
        <v>80</v>
      </c>
      <c r="B12" s="312" t="s">
        <v>81</v>
      </c>
      <c r="C12" s="176" t="s">
        <v>82</v>
      </c>
      <c r="D12" s="176"/>
      <c r="E12" s="177" t="s">
        <v>64</v>
      </c>
      <c r="F12" s="177"/>
      <c r="G12" s="177" t="str">
        <f>_xlfn.IFNA(VLOOKUP(F12,'Abaques besoins fonctionnels'!$B$3:$C$5,2,0)," ")</f>
        <v xml:space="preserve"> </v>
      </c>
      <c r="H12" s="178" t="s">
        <v>83</v>
      </c>
    </row>
    <row r="13" spans="1:10" ht="41.4">
      <c r="A13" s="316"/>
      <c r="B13" s="313"/>
      <c r="C13" s="180" t="s">
        <v>84</v>
      </c>
      <c r="D13" s="180"/>
      <c r="E13" s="181" t="s">
        <v>64</v>
      </c>
      <c r="F13" s="181"/>
      <c r="G13" s="181" t="str">
        <f>_xlfn.IFNA(VLOOKUP(F13,'Abaques besoins fonctionnels'!$B$3:$C$5,2,0)," ")</f>
        <v xml:space="preserve"> </v>
      </c>
      <c r="H13" s="182" t="s">
        <v>85</v>
      </c>
    </row>
    <row r="14" spans="1:10" ht="27.6">
      <c r="A14" s="316"/>
      <c r="B14" s="313"/>
      <c r="C14" s="180" t="s">
        <v>86</v>
      </c>
      <c r="D14" s="180"/>
      <c r="E14" s="181" t="s">
        <v>64</v>
      </c>
      <c r="F14" s="181"/>
      <c r="G14" s="181" t="str">
        <f>_xlfn.IFNA(VLOOKUP(F14,'Abaques besoins fonctionnels'!$B$3:$C$5,2,0)," ")</f>
        <v xml:space="preserve"> </v>
      </c>
      <c r="H14" s="182" t="s">
        <v>87</v>
      </c>
    </row>
    <row r="15" spans="1:10" ht="55.2">
      <c r="A15" s="316"/>
      <c r="B15" s="313" t="s">
        <v>88</v>
      </c>
      <c r="C15" s="180" t="s">
        <v>89</v>
      </c>
      <c r="D15" s="180"/>
      <c r="E15" s="181" t="s">
        <v>64</v>
      </c>
      <c r="F15" s="181"/>
      <c r="G15" s="181" t="str">
        <f>_xlfn.IFNA(VLOOKUP(F15,'Abaques besoins fonctionnels'!$B$3:$C$5,2,0)," ")</f>
        <v xml:space="preserve"> </v>
      </c>
      <c r="H15" s="182" t="s">
        <v>90</v>
      </c>
    </row>
    <row r="16" spans="1:10" ht="27.6">
      <c r="A16" s="316"/>
      <c r="B16" s="313"/>
      <c r="C16" s="180" t="s">
        <v>91</v>
      </c>
      <c r="D16" s="180"/>
      <c r="E16" s="181" t="s">
        <v>64</v>
      </c>
      <c r="F16" s="181"/>
      <c r="G16" s="181" t="str">
        <f>_xlfn.IFNA(VLOOKUP(F16,'Abaques besoins fonctionnels'!$B$3:$C$5,2,0)," ")</f>
        <v xml:space="preserve"> </v>
      </c>
      <c r="H16" s="182" t="s">
        <v>92</v>
      </c>
    </row>
    <row r="17" spans="1:8" ht="69">
      <c r="A17" s="316"/>
      <c r="B17" s="313"/>
      <c r="C17" s="180" t="s">
        <v>93</v>
      </c>
      <c r="D17" s="180"/>
      <c r="E17" s="181" t="s">
        <v>64</v>
      </c>
      <c r="F17" s="181"/>
      <c r="G17" s="181" t="str">
        <f>_xlfn.IFNA(VLOOKUP(F17,'Abaques besoins fonctionnels'!$B$3:$C$5,2,0)," ")</f>
        <v xml:space="preserve"> </v>
      </c>
      <c r="H17" s="182" t="s">
        <v>94</v>
      </c>
    </row>
    <row r="18" spans="1:8" ht="124.2">
      <c r="A18" s="316"/>
      <c r="B18" s="179" t="s">
        <v>95</v>
      </c>
      <c r="C18" s="180" t="s">
        <v>96</v>
      </c>
      <c r="D18" s="180"/>
      <c r="E18" s="181" t="s">
        <v>64</v>
      </c>
      <c r="F18" s="181"/>
      <c r="G18" s="181" t="str">
        <f>_xlfn.IFNA(VLOOKUP(F18,'Abaques besoins fonctionnels'!$B$3:$C$5,2,0)," ")</f>
        <v xml:space="preserve"> </v>
      </c>
      <c r="H18" s="182" t="s">
        <v>97</v>
      </c>
    </row>
    <row r="19" spans="1:8" ht="41.4">
      <c r="A19" s="316"/>
      <c r="B19" s="313" t="s">
        <v>98</v>
      </c>
      <c r="C19" s="180" t="s">
        <v>99</v>
      </c>
      <c r="D19" s="180"/>
      <c r="E19" s="181" t="s">
        <v>64</v>
      </c>
      <c r="F19" s="181"/>
      <c r="G19" s="181" t="str">
        <f>_xlfn.IFNA(VLOOKUP(F19,'Abaques besoins fonctionnels'!$B$3:$C$5,2,0)," ")</f>
        <v xml:space="preserve"> </v>
      </c>
      <c r="H19" s="182" t="s">
        <v>100</v>
      </c>
    </row>
    <row r="20" spans="1:8" ht="41.4">
      <c r="A20" s="316"/>
      <c r="B20" s="313"/>
      <c r="C20" s="180" t="s">
        <v>101</v>
      </c>
      <c r="D20" s="180"/>
      <c r="E20" s="181" t="s">
        <v>64</v>
      </c>
      <c r="F20" s="181"/>
      <c r="G20" s="181" t="str">
        <f>_xlfn.IFNA(VLOOKUP(F20,'Abaques besoins fonctionnels'!$B$3:$C$5,2,0)," ")</f>
        <v xml:space="preserve"> </v>
      </c>
      <c r="H20" s="182" t="s">
        <v>102</v>
      </c>
    </row>
    <row r="21" spans="1:8" ht="27.6">
      <c r="A21" s="316"/>
      <c r="B21" s="313"/>
      <c r="C21" s="180" t="s">
        <v>103</v>
      </c>
      <c r="D21" s="180"/>
      <c r="E21" s="181" t="s">
        <v>64</v>
      </c>
      <c r="F21" s="181"/>
      <c r="G21" s="181" t="str">
        <f>_xlfn.IFNA(VLOOKUP(F21,'Abaques besoins fonctionnels'!$B$3:$C$5,2,0)," ")</f>
        <v xml:space="preserve"> </v>
      </c>
      <c r="H21" s="182" t="s">
        <v>104</v>
      </c>
    </row>
    <row r="22" spans="1:8" ht="27.6">
      <c r="A22" s="316"/>
      <c r="B22" s="179" t="s">
        <v>105</v>
      </c>
      <c r="C22" s="180" t="s">
        <v>106</v>
      </c>
      <c r="D22" s="180"/>
      <c r="E22" s="181" t="s">
        <v>64</v>
      </c>
      <c r="F22" s="181"/>
      <c r="G22" s="181" t="str">
        <f>_xlfn.IFNA(VLOOKUP(F22,'Abaques besoins fonctionnels'!$B$3:$C$5,2,0)," ")</f>
        <v xml:space="preserve"> </v>
      </c>
      <c r="H22" s="182" t="s">
        <v>107</v>
      </c>
    </row>
    <row r="23" spans="1:8" ht="41.4">
      <c r="A23" s="316"/>
      <c r="B23" s="313" t="s">
        <v>108</v>
      </c>
      <c r="C23" s="180" t="s">
        <v>109</v>
      </c>
      <c r="D23" s="180"/>
      <c r="E23" s="181" t="s">
        <v>64</v>
      </c>
      <c r="F23" s="181"/>
      <c r="G23" s="181" t="str">
        <f>_xlfn.IFNA(VLOOKUP(F23,'Abaques besoins fonctionnels'!$B$3:$C$5,2,0)," ")</f>
        <v xml:space="preserve"> </v>
      </c>
      <c r="H23" s="182" t="s">
        <v>110</v>
      </c>
    </row>
    <row r="24" spans="1:8" ht="27.6">
      <c r="A24" s="316"/>
      <c r="B24" s="313"/>
      <c r="C24" s="180" t="s">
        <v>111</v>
      </c>
      <c r="D24" s="180"/>
      <c r="E24" s="181" t="s">
        <v>64</v>
      </c>
      <c r="F24" s="181"/>
      <c r="G24" s="181" t="str">
        <f>_xlfn.IFNA(VLOOKUP(F24,'Abaques besoins fonctionnels'!$B$3:$C$5,2,0)," ")</f>
        <v xml:space="preserve"> </v>
      </c>
      <c r="H24" s="182" t="s">
        <v>112</v>
      </c>
    </row>
    <row r="25" spans="1:8" ht="41.4">
      <c r="A25" s="316"/>
      <c r="B25" s="313"/>
      <c r="C25" s="180" t="s">
        <v>113</v>
      </c>
      <c r="D25" s="180"/>
      <c r="E25" s="181" t="s">
        <v>64</v>
      </c>
      <c r="F25" s="181"/>
      <c r="G25" s="181" t="str">
        <f>_xlfn.IFNA(VLOOKUP(F25,'Abaques besoins fonctionnels'!$B$3:$C$5,2,0)," ")</f>
        <v xml:space="preserve"> </v>
      </c>
      <c r="H25" s="182" t="s">
        <v>114</v>
      </c>
    </row>
    <row r="26" spans="1:8" ht="41.4">
      <c r="A26" s="316"/>
      <c r="B26" s="313"/>
      <c r="C26" s="180" t="s">
        <v>115</v>
      </c>
      <c r="D26" s="180"/>
      <c r="E26" s="181" t="s">
        <v>64</v>
      </c>
      <c r="F26" s="181"/>
      <c r="G26" s="181" t="str">
        <f>_xlfn.IFNA(VLOOKUP(F26,'Abaques besoins fonctionnels'!$B$3:$C$5,2,0)," ")</f>
        <v xml:space="preserve"> </v>
      </c>
      <c r="H26" s="182" t="s">
        <v>116</v>
      </c>
    </row>
    <row r="27" spans="1:8" ht="27.6">
      <c r="A27" s="316"/>
      <c r="B27" s="313" t="s">
        <v>117</v>
      </c>
      <c r="C27" s="180" t="s">
        <v>118</v>
      </c>
      <c r="D27" s="180"/>
      <c r="E27" s="181" t="s">
        <v>64</v>
      </c>
      <c r="F27" s="181"/>
      <c r="G27" s="181" t="str">
        <f>_xlfn.IFNA(VLOOKUP(F27,'Abaques besoins fonctionnels'!$B$3:$C$5,2,0)," ")</f>
        <v xml:space="preserve"> </v>
      </c>
      <c r="H27" s="182" t="s">
        <v>119</v>
      </c>
    </row>
    <row r="28" spans="1:8" ht="41.4">
      <c r="A28" s="316"/>
      <c r="B28" s="313"/>
      <c r="C28" s="180" t="s">
        <v>120</v>
      </c>
      <c r="D28" s="180"/>
      <c r="E28" s="181" t="s">
        <v>64</v>
      </c>
      <c r="F28" s="181"/>
      <c r="G28" s="181" t="str">
        <f>_xlfn.IFNA(VLOOKUP(F28,'Abaques besoins fonctionnels'!$B$3:$C$5,2,0)," ")</f>
        <v xml:space="preserve"> </v>
      </c>
      <c r="H28" s="182" t="s">
        <v>121</v>
      </c>
    </row>
    <row r="29" spans="1:8" ht="41.4">
      <c r="A29" s="316"/>
      <c r="B29" s="313"/>
      <c r="C29" s="180" t="s">
        <v>122</v>
      </c>
      <c r="D29" s="180"/>
      <c r="E29" s="181" t="s">
        <v>64</v>
      </c>
      <c r="F29" s="181"/>
      <c r="G29" s="181" t="str">
        <f>_xlfn.IFNA(VLOOKUP(F29,'Abaques besoins fonctionnels'!$B$3:$C$5,2,0)," ")</f>
        <v xml:space="preserve"> </v>
      </c>
      <c r="H29" s="182" t="s">
        <v>123</v>
      </c>
    </row>
    <row r="30" spans="1:8" ht="27.6">
      <c r="A30" s="316"/>
      <c r="B30" s="313"/>
      <c r="C30" s="180" t="s">
        <v>124</v>
      </c>
      <c r="D30" s="180"/>
      <c r="E30" s="181" t="s">
        <v>64</v>
      </c>
      <c r="F30" s="181"/>
      <c r="G30" s="181" t="str">
        <f>_xlfn.IFNA(VLOOKUP(F30,'Abaques besoins fonctionnels'!$B$3:$C$5,2,0)," ")</f>
        <v xml:space="preserve"> </v>
      </c>
      <c r="H30" s="182" t="s">
        <v>125</v>
      </c>
    </row>
    <row r="31" spans="1:8" ht="27.6">
      <c r="A31" s="316"/>
      <c r="B31" s="313" t="s">
        <v>126</v>
      </c>
      <c r="C31" s="180" t="s">
        <v>127</v>
      </c>
      <c r="D31" s="180"/>
      <c r="E31" s="181" t="s">
        <v>64</v>
      </c>
      <c r="F31" s="181"/>
      <c r="G31" s="181" t="str">
        <f>_xlfn.IFNA(VLOOKUP(F31,'Abaques besoins fonctionnels'!$B$3:$C$5,2,0)," ")</f>
        <v xml:space="preserve"> </v>
      </c>
      <c r="H31" s="182" t="s">
        <v>128</v>
      </c>
    </row>
    <row r="32" spans="1:8" ht="27.6">
      <c r="A32" s="316"/>
      <c r="B32" s="313"/>
      <c r="C32" s="180" t="s">
        <v>129</v>
      </c>
      <c r="D32" s="180"/>
      <c r="E32" s="181" t="s">
        <v>64</v>
      </c>
      <c r="F32" s="181"/>
      <c r="G32" s="181" t="str">
        <f>_xlfn.IFNA(VLOOKUP(F32,'Abaques besoins fonctionnels'!$B$3:$C$5,2,0)," ")</f>
        <v xml:space="preserve"> </v>
      </c>
      <c r="H32" s="182" t="s">
        <v>130</v>
      </c>
    </row>
    <row r="33" spans="1:8" ht="27.6">
      <c r="A33" s="316"/>
      <c r="B33" s="313"/>
      <c r="C33" s="180" t="s">
        <v>124</v>
      </c>
      <c r="D33" s="180"/>
      <c r="E33" s="181" t="s">
        <v>64</v>
      </c>
      <c r="F33" s="181"/>
      <c r="G33" s="181" t="str">
        <f>_xlfn.IFNA(VLOOKUP(F33,'Abaques besoins fonctionnels'!$B$3:$C$5,2,0)," ")</f>
        <v xml:space="preserve"> </v>
      </c>
      <c r="H33" s="182" t="s">
        <v>131</v>
      </c>
    </row>
    <row r="34" spans="1:8" ht="41.4">
      <c r="A34" s="316"/>
      <c r="B34" s="313" t="s">
        <v>132</v>
      </c>
      <c r="C34" s="180" t="s">
        <v>133</v>
      </c>
      <c r="D34" s="180"/>
      <c r="E34" s="181" t="s">
        <v>64</v>
      </c>
      <c r="F34" s="181"/>
      <c r="G34" s="181" t="str">
        <f>_xlfn.IFNA(VLOOKUP(F34,'Abaques besoins fonctionnels'!$B$3:$C$5,2,0)," ")</f>
        <v xml:space="preserve"> </v>
      </c>
      <c r="H34" s="182" t="s">
        <v>134</v>
      </c>
    </row>
    <row r="35" spans="1:8" ht="41.4">
      <c r="A35" s="316"/>
      <c r="B35" s="313"/>
      <c r="C35" s="180" t="s">
        <v>135</v>
      </c>
      <c r="D35" s="180"/>
      <c r="E35" s="181" t="s">
        <v>64</v>
      </c>
      <c r="F35" s="181"/>
      <c r="G35" s="181" t="str">
        <f>_xlfn.IFNA(VLOOKUP(F35,'Abaques besoins fonctionnels'!$B$3:$C$5,2,0)," ")</f>
        <v xml:space="preserve"> </v>
      </c>
      <c r="H35" s="182" t="s">
        <v>136</v>
      </c>
    </row>
    <row r="36" spans="1:8" ht="27.6">
      <c r="A36" s="316"/>
      <c r="B36" s="313"/>
      <c r="C36" s="180" t="s">
        <v>137</v>
      </c>
      <c r="D36" s="180"/>
      <c r="E36" s="181" t="s">
        <v>64</v>
      </c>
      <c r="F36" s="181"/>
      <c r="G36" s="181" t="str">
        <f>_xlfn.IFNA(VLOOKUP(F36,'Abaques besoins fonctionnels'!$B$3:$C$5,2,0)," ")</f>
        <v xml:space="preserve"> </v>
      </c>
      <c r="H36" s="182" t="s">
        <v>138</v>
      </c>
    </row>
    <row r="37" spans="1:8" ht="41.4">
      <c r="A37" s="316"/>
      <c r="B37" s="313"/>
      <c r="C37" s="180" t="s">
        <v>139</v>
      </c>
      <c r="D37" s="180"/>
      <c r="E37" s="181" t="s">
        <v>64</v>
      </c>
      <c r="F37" s="181"/>
      <c r="G37" s="181" t="str">
        <f>_xlfn.IFNA(VLOOKUP(F37,'Abaques besoins fonctionnels'!$B$3:$C$5,2,0)," ")</f>
        <v xml:space="preserve"> </v>
      </c>
      <c r="H37" s="182" t="s">
        <v>140</v>
      </c>
    </row>
    <row r="38" spans="1:8" ht="41.4">
      <c r="A38" s="316"/>
      <c r="B38" s="313"/>
      <c r="C38" s="180" t="s">
        <v>141</v>
      </c>
      <c r="D38" s="180"/>
      <c r="E38" s="181" t="s">
        <v>64</v>
      </c>
      <c r="F38" s="181"/>
      <c r="G38" s="181" t="str">
        <f>_xlfn.IFNA(VLOOKUP(F38,'Abaques besoins fonctionnels'!$B$3:$C$5,2,0)," ")</f>
        <v xml:space="preserve"> </v>
      </c>
      <c r="H38" s="182" t="s">
        <v>142</v>
      </c>
    </row>
    <row r="39" spans="1:8" ht="27.6">
      <c r="A39" s="316"/>
      <c r="B39" s="313"/>
      <c r="C39" s="180" t="s">
        <v>143</v>
      </c>
      <c r="D39" s="180"/>
      <c r="E39" s="181" t="s">
        <v>64</v>
      </c>
      <c r="F39" s="181"/>
      <c r="G39" s="181" t="str">
        <f>_xlfn.IFNA(VLOOKUP(F39,'Abaques besoins fonctionnels'!$B$3:$C$5,2,0)," ")</f>
        <v xml:space="preserve"> </v>
      </c>
      <c r="H39" s="182" t="s">
        <v>144</v>
      </c>
    </row>
    <row r="40" spans="1:8" ht="27.6">
      <c r="A40" s="316"/>
      <c r="B40" s="313" t="s">
        <v>145</v>
      </c>
      <c r="C40" s="180" t="s">
        <v>146</v>
      </c>
      <c r="D40" s="180"/>
      <c r="E40" s="181" t="s">
        <v>64</v>
      </c>
      <c r="F40" s="181"/>
      <c r="G40" s="181" t="str">
        <f>_xlfn.IFNA(VLOOKUP(F40,'Abaques besoins fonctionnels'!$B$3:$C$5,2,0)," ")</f>
        <v xml:space="preserve"> </v>
      </c>
      <c r="H40" s="182" t="s">
        <v>147</v>
      </c>
    </row>
    <row r="41" spans="1:8" ht="42" thickBot="1">
      <c r="A41" s="317"/>
      <c r="B41" s="315"/>
      <c r="C41" s="183" t="s">
        <v>148</v>
      </c>
      <c r="D41" s="183"/>
      <c r="E41" s="184" t="s">
        <v>64</v>
      </c>
      <c r="F41" s="184"/>
      <c r="G41" s="184" t="str">
        <f>_xlfn.IFNA(VLOOKUP(F41,'Abaques besoins fonctionnels'!$B$3:$C$5,2,0)," ")</f>
        <v xml:space="preserve"> </v>
      </c>
      <c r="H41" s="185" t="s">
        <v>149</v>
      </c>
    </row>
    <row r="42" spans="1:8">
      <c r="A42" s="316" t="s">
        <v>150</v>
      </c>
      <c r="B42" s="188" t="s">
        <v>151</v>
      </c>
      <c r="C42" s="189" t="s">
        <v>152</v>
      </c>
      <c r="D42" s="176"/>
      <c r="E42" s="177" t="s">
        <v>64</v>
      </c>
      <c r="F42" s="177"/>
      <c r="G42" s="177" t="str">
        <f>_xlfn.IFNA(VLOOKUP(F42,'Abaques besoins fonctionnels'!$B$3:$C$5,2,0)," ")</f>
        <v xml:space="preserve"> </v>
      </c>
      <c r="H42" s="178" t="s">
        <v>153</v>
      </c>
    </row>
    <row r="43" spans="1:8" ht="41.4">
      <c r="A43" s="316"/>
      <c r="B43" s="318"/>
      <c r="C43" s="191" t="s">
        <v>154</v>
      </c>
      <c r="D43" s="180"/>
      <c r="E43" s="181" t="s">
        <v>64</v>
      </c>
      <c r="F43" s="181"/>
      <c r="G43" s="181" t="str">
        <f>_xlfn.IFNA(VLOOKUP(F43,'Abaques besoins fonctionnels'!$B$3:$C$5,2,0)," ")</f>
        <v xml:space="preserve"> </v>
      </c>
      <c r="H43" s="182" t="s">
        <v>155</v>
      </c>
    </row>
    <row r="44" spans="1:8" ht="41.4">
      <c r="A44" s="316"/>
      <c r="B44" s="319"/>
      <c r="C44" s="191" t="s">
        <v>156</v>
      </c>
      <c r="D44" s="180"/>
      <c r="E44" s="181" t="s">
        <v>64</v>
      </c>
      <c r="F44" s="181"/>
      <c r="G44" s="181" t="str">
        <f>_xlfn.IFNA(VLOOKUP(F44,'Abaques besoins fonctionnels'!$B$3:$C$5,2,0)," ")</f>
        <v xml:space="preserve"> </v>
      </c>
      <c r="H44" s="182" t="s">
        <v>157</v>
      </c>
    </row>
    <row r="45" spans="1:8" ht="27.6">
      <c r="A45" s="316"/>
      <c r="B45" s="319"/>
      <c r="C45" s="191" t="s">
        <v>158</v>
      </c>
      <c r="D45" s="180"/>
      <c r="E45" s="181" t="s">
        <v>64</v>
      </c>
      <c r="F45" s="181"/>
      <c r="G45" s="181" t="str">
        <f>_xlfn.IFNA(VLOOKUP(F45,'Abaques besoins fonctionnels'!$B$3:$C$5,2,0)," ")</f>
        <v xml:space="preserve"> </v>
      </c>
      <c r="H45" s="182" t="s">
        <v>159</v>
      </c>
    </row>
    <row r="46" spans="1:8" ht="41.4">
      <c r="A46" s="316"/>
      <c r="B46" s="319"/>
      <c r="C46" s="191" t="s">
        <v>160</v>
      </c>
      <c r="D46" s="180"/>
      <c r="E46" s="181" t="s">
        <v>64</v>
      </c>
      <c r="F46" s="181"/>
      <c r="G46" s="181" t="str">
        <f>_xlfn.IFNA(VLOOKUP(F46,'Abaques besoins fonctionnels'!$B$3:$C$5,2,0)," ")</f>
        <v xml:space="preserve"> </v>
      </c>
      <c r="H46" s="182" t="s">
        <v>161</v>
      </c>
    </row>
    <row r="47" spans="1:8" ht="41.4">
      <c r="A47" s="316"/>
      <c r="B47" s="319"/>
      <c r="C47" s="191" t="s">
        <v>162</v>
      </c>
      <c r="D47" s="180"/>
      <c r="E47" s="181" t="s">
        <v>64</v>
      </c>
      <c r="F47" s="181"/>
      <c r="G47" s="181" t="str">
        <f>_xlfn.IFNA(VLOOKUP(F47,'Abaques besoins fonctionnels'!$B$3:$C$5,2,0)," ")</f>
        <v xml:space="preserve"> </v>
      </c>
      <c r="H47" s="182" t="s">
        <v>163</v>
      </c>
    </row>
    <row r="48" spans="1:8" ht="41.4">
      <c r="A48" s="316"/>
      <c r="B48" s="319"/>
      <c r="C48" s="191" t="s">
        <v>164</v>
      </c>
      <c r="D48" s="180"/>
      <c r="E48" s="181" t="s">
        <v>64</v>
      </c>
      <c r="F48" s="181"/>
      <c r="G48" s="181" t="str">
        <f>_xlfn.IFNA(VLOOKUP(F48,'Abaques besoins fonctionnels'!$B$3:$C$5,2,0)," ")</f>
        <v xml:space="preserve"> </v>
      </c>
      <c r="H48" s="182" t="s">
        <v>165</v>
      </c>
    </row>
    <row r="49" spans="1:8" ht="27.6">
      <c r="A49" s="316"/>
      <c r="B49" s="319"/>
      <c r="C49" s="191" t="s">
        <v>166</v>
      </c>
      <c r="D49" s="180"/>
      <c r="E49" s="181" t="s">
        <v>64</v>
      </c>
      <c r="F49" s="181"/>
      <c r="G49" s="181" t="str">
        <f>_xlfn.IFNA(VLOOKUP(F49,'Abaques besoins fonctionnels'!$B$3:$C$5,2,0)," ")</f>
        <v xml:space="preserve"> </v>
      </c>
      <c r="H49" s="182" t="s">
        <v>167</v>
      </c>
    </row>
    <row r="50" spans="1:8" ht="27.6">
      <c r="A50" s="316"/>
      <c r="B50" s="319"/>
      <c r="C50" s="191" t="s">
        <v>168</v>
      </c>
      <c r="D50" s="180"/>
      <c r="E50" s="181" t="s">
        <v>64</v>
      </c>
      <c r="F50" s="181"/>
      <c r="G50" s="181" t="str">
        <f>_xlfn.IFNA(VLOOKUP(F50,'Abaques besoins fonctionnels'!$B$3:$C$5,2,0)," ")</f>
        <v xml:space="preserve"> </v>
      </c>
      <c r="H50" s="182" t="s">
        <v>169</v>
      </c>
    </row>
    <row r="51" spans="1:8" ht="55.2">
      <c r="A51" s="316"/>
      <c r="B51" s="319"/>
      <c r="C51" s="191" t="s">
        <v>170</v>
      </c>
      <c r="D51" s="180"/>
      <c r="E51" s="181" t="s">
        <v>64</v>
      </c>
      <c r="F51" s="181"/>
      <c r="G51" s="181" t="str">
        <f>_xlfn.IFNA(VLOOKUP(F51,'Abaques besoins fonctionnels'!$B$3:$C$5,2,0)," ")</f>
        <v xml:space="preserve"> </v>
      </c>
      <c r="H51" s="182" t="s">
        <v>171</v>
      </c>
    </row>
    <row r="52" spans="1:8" ht="27.6">
      <c r="A52" s="316"/>
      <c r="B52" s="319"/>
      <c r="C52" s="191" t="s">
        <v>172</v>
      </c>
      <c r="D52" s="180"/>
      <c r="E52" s="181" t="s">
        <v>64</v>
      </c>
      <c r="F52" s="181"/>
      <c r="G52" s="181" t="str">
        <f>_xlfn.IFNA(VLOOKUP(F52,'Abaques besoins fonctionnels'!$B$3:$C$5,2,0)," ")</f>
        <v xml:space="preserve"> </v>
      </c>
      <c r="H52" s="182" t="s">
        <v>173</v>
      </c>
    </row>
    <row r="53" spans="1:8" ht="82.8">
      <c r="A53" s="316"/>
      <c r="B53" s="319"/>
      <c r="C53" s="191" t="s">
        <v>174</v>
      </c>
      <c r="D53" s="180"/>
      <c r="E53" s="181" t="s">
        <v>64</v>
      </c>
      <c r="F53" s="181"/>
      <c r="G53" s="181" t="str">
        <f>_xlfn.IFNA(VLOOKUP(F53,'Abaques besoins fonctionnels'!$B$3:$C$5,2,0)," ")</f>
        <v xml:space="preserve"> </v>
      </c>
      <c r="H53" s="182" t="s">
        <v>175</v>
      </c>
    </row>
    <row r="54" spans="1:8" ht="41.4">
      <c r="A54" s="316"/>
      <c r="B54" s="319"/>
      <c r="C54" s="191" t="s">
        <v>176</v>
      </c>
      <c r="D54" s="180"/>
      <c r="E54" s="181" t="s">
        <v>64</v>
      </c>
      <c r="F54" s="181"/>
      <c r="G54" s="181" t="str">
        <f>_xlfn.IFNA(VLOOKUP(F54,'Abaques besoins fonctionnels'!$B$3:$C$5,2,0)," ")</f>
        <v xml:space="preserve"> </v>
      </c>
      <c r="H54" s="182" t="s">
        <v>177</v>
      </c>
    </row>
    <row r="55" spans="1:8" ht="69">
      <c r="A55" s="316"/>
      <c r="B55" s="319"/>
      <c r="C55" s="191" t="s">
        <v>178</v>
      </c>
      <c r="D55" s="180"/>
      <c r="E55" s="181" t="s">
        <v>64</v>
      </c>
      <c r="F55" s="181"/>
      <c r="G55" s="181" t="str">
        <f>_xlfn.IFNA(VLOOKUP(F55,'Abaques besoins fonctionnels'!$B$3:$C$5,2,0)," ")</f>
        <v xml:space="preserve"> </v>
      </c>
      <c r="H55" s="182" t="s">
        <v>179</v>
      </c>
    </row>
    <row r="56" spans="1:8" ht="27.6">
      <c r="A56" s="316"/>
      <c r="B56" s="320"/>
      <c r="C56" s="191" t="s">
        <v>180</v>
      </c>
      <c r="D56" s="180"/>
      <c r="E56" s="181" t="s">
        <v>64</v>
      </c>
      <c r="F56" s="181"/>
      <c r="G56" s="181" t="str">
        <f>_xlfn.IFNA(VLOOKUP(F56,'Abaques besoins fonctionnels'!$B$3:$C$5,2,0)," ")</f>
        <v xml:space="preserve"> </v>
      </c>
      <c r="H56" s="182" t="s">
        <v>181</v>
      </c>
    </row>
    <row r="57" spans="1:8" ht="27.6">
      <c r="A57" s="316"/>
      <c r="B57" s="318" t="s">
        <v>182</v>
      </c>
      <c r="C57" s="191" t="s">
        <v>183</v>
      </c>
      <c r="D57" s="180"/>
      <c r="E57" s="181" t="s">
        <v>64</v>
      </c>
      <c r="F57" s="181"/>
      <c r="G57" s="181" t="str">
        <f>_xlfn.IFNA(VLOOKUP(F57,'Abaques besoins fonctionnels'!$B$3:$C$5,2,0)," ")</f>
        <v xml:space="preserve"> </v>
      </c>
      <c r="H57" s="182" t="s">
        <v>184</v>
      </c>
    </row>
    <row r="58" spans="1:8" ht="27.6">
      <c r="A58" s="316"/>
      <c r="B58" s="319"/>
      <c r="C58" s="191" t="s">
        <v>185</v>
      </c>
      <c r="D58" s="180"/>
      <c r="E58" s="181" t="s">
        <v>64</v>
      </c>
      <c r="F58" s="181"/>
      <c r="G58" s="181" t="str">
        <f>_xlfn.IFNA(VLOOKUP(F58,'Abaques besoins fonctionnels'!$B$3:$C$5,2,0)," ")</f>
        <v xml:space="preserve"> </v>
      </c>
      <c r="H58" s="182" t="s">
        <v>186</v>
      </c>
    </row>
    <row r="59" spans="1:8" ht="41.4">
      <c r="A59" s="316"/>
      <c r="B59" s="319"/>
      <c r="C59" s="191" t="s">
        <v>156</v>
      </c>
      <c r="D59" s="180"/>
      <c r="E59" s="181" t="s">
        <v>64</v>
      </c>
      <c r="F59" s="181"/>
      <c r="G59" s="181" t="str">
        <f>_xlfn.IFNA(VLOOKUP(F59,'Abaques besoins fonctionnels'!$B$3:$C$5,2,0)," ")</f>
        <v xml:space="preserve"> </v>
      </c>
      <c r="H59" s="182" t="s">
        <v>157</v>
      </c>
    </row>
    <row r="60" spans="1:8" ht="27.6">
      <c r="A60" s="316"/>
      <c r="B60" s="319"/>
      <c r="C60" s="191" t="s">
        <v>158</v>
      </c>
      <c r="D60" s="180"/>
      <c r="E60" s="181" t="s">
        <v>64</v>
      </c>
      <c r="F60" s="181"/>
      <c r="G60" s="181" t="str">
        <f>_xlfn.IFNA(VLOOKUP(F60,'Abaques besoins fonctionnels'!$B$3:$C$5,2,0)," ")</f>
        <v xml:space="preserve"> </v>
      </c>
      <c r="H60" s="182" t="s">
        <v>159</v>
      </c>
    </row>
    <row r="61" spans="1:8" ht="41.4">
      <c r="A61" s="316"/>
      <c r="B61" s="319"/>
      <c r="C61" s="191" t="s">
        <v>187</v>
      </c>
      <c r="D61" s="180"/>
      <c r="E61" s="181" t="s">
        <v>64</v>
      </c>
      <c r="F61" s="181"/>
      <c r="G61" s="181" t="str">
        <f>_xlfn.IFNA(VLOOKUP(F61,'Abaques besoins fonctionnels'!$B$3:$C$5,2,0)," ")</f>
        <v xml:space="preserve"> </v>
      </c>
      <c r="H61" s="182" t="s">
        <v>161</v>
      </c>
    </row>
    <row r="62" spans="1:8" ht="41.4">
      <c r="A62" s="316"/>
      <c r="B62" s="319"/>
      <c r="C62" s="191" t="s">
        <v>188</v>
      </c>
      <c r="D62" s="180"/>
      <c r="E62" s="181" t="s">
        <v>189</v>
      </c>
      <c r="F62" s="181"/>
      <c r="G62" s="181" t="str">
        <f>_xlfn.IFNA(VLOOKUP(F62,'Abaques besoins fonctionnels'!$B$3:$C$5,2,0)," ")</f>
        <v xml:space="preserve"> </v>
      </c>
      <c r="H62" s="182" t="s">
        <v>190</v>
      </c>
    </row>
    <row r="63" spans="1:8" ht="41.4">
      <c r="A63" s="316"/>
      <c r="B63" s="320"/>
      <c r="C63" s="191" t="s">
        <v>191</v>
      </c>
      <c r="D63" s="180"/>
      <c r="E63" s="181" t="s">
        <v>64</v>
      </c>
      <c r="F63" s="181"/>
      <c r="G63" s="181" t="str">
        <f>_xlfn.IFNA(VLOOKUP(F63,'Abaques besoins fonctionnels'!$B$3:$C$5,2,0)," ")</f>
        <v xml:space="preserve"> </v>
      </c>
      <c r="H63" s="182" t="s">
        <v>165</v>
      </c>
    </row>
    <row r="64" spans="1:8" ht="55.2">
      <c r="A64" s="316"/>
      <c r="B64" s="318" t="s">
        <v>192</v>
      </c>
      <c r="C64" s="191" t="s">
        <v>193</v>
      </c>
      <c r="D64" s="180"/>
      <c r="E64" s="181" t="s">
        <v>194</v>
      </c>
      <c r="F64" s="181"/>
      <c r="G64" s="181" t="str">
        <f>_xlfn.IFNA(VLOOKUP(F64,'Abaques besoins fonctionnels'!$B$3:$C$5,2,0)," ")</f>
        <v xml:space="preserve"> </v>
      </c>
      <c r="H64" s="182" t="s">
        <v>195</v>
      </c>
    </row>
    <row r="65" spans="1:10" ht="41.4">
      <c r="A65" s="316"/>
      <c r="B65" s="319"/>
      <c r="C65" s="191" t="s">
        <v>185</v>
      </c>
      <c r="D65" s="180"/>
      <c r="E65" s="181" t="s">
        <v>64</v>
      </c>
      <c r="F65" s="181"/>
      <c r="G65" s="181" t="str">
        <f>_xlfn.IFNA(VLOOKUP(F65,'Abaques besoins fonctionnels'!$B$3:$C$5,2,0)," ")</f>
        <v xml:space="preserve"> </v>
      </c>
      <c r="H65" s="182" t="s">
        <v>165</v>
      </c>
    </row>
    <row r="66" spans="1:10" ht="41.4">
      <c r="A66" s="316"/>
      <c r="B66" s="319"/>
      <c r="C66" s="191" t="s">
        <v>156</v>
      </c>
      <c r="D66" s="180"/>
      <c r="E66" s="181" t="s">
        <v>64</v>
      </c>
      <c r="F66" s="181"/>
      <c r="G66" s="181" t="str">
        <f>_xlfn.IFNA(VLOOKUP(F66,'Abaques besoins fonctionnels'!$B$3:$C$5,2,0)," ")</f>
        <v xml:space="preserve"> </v>
      </c>
      <c r="H66" s="182" t="s">
        <v>196</v>
      </c>
    </row>
    <row r="67" spans="1:10" ht="27.6">
      <c r="A67" s="316"/>
      <c r="B67" s="319"/>
      <c r="C67" s="191" t="s">
        <v>197</v>
      </c>
      <c r="D67" s="180"/>
      <c r="E67" s="181" t="s">
        <v>64</v>
      </c>
      <c r="F67" s="181"/>
      <c r="G67" s="181" t="str">
        <f>_xlfn.IFNA(VLOOKUP(F67,'Abaques besoins fonctionnels'!$B$3:$C$5,2,0)," ")</f>
        <v xml:space="preserve"> </v>
      </c>
      <c r="H67" s="182" t="s">
        <v>196</v>
      </c>
    </row>
    <row r="68" spans="1:10" ht="15" thickBot="1">
      <c r="A68" s="317"/>
      <c r="B68" s="321"/>
      <c r="C68" s="195" t="s">
        <v>198</v>
      </c>
      <c r="D68" s="183"/>
      <c r="E68" s="184" t="s">
        <v>64</v>
      </c>
      <c r="F68" s="184"/>
      <c r="G68" s="184" t="str">
        <f>_xlfn.IFNA(VLOOKUP(F68,'Abaques besoins fonctionnels'!$B$3:$C$5,2,0)," ")</f>
        <v xml:space="preserve"> </v>
      </c>
      <c r="H68" s="185" t="s">
        <v>196</v>
      </c>
    </row>
    <row r="69" spans="1:10" ht="55.2">
      <c r="A69" s="322" t="s">
        <v>199</v>
      </c>
      <c r="B69" s="323" t="s">
        <v>200</v>
      </c>
      <c r="C69" s="189" t="s">
        <v>201</v>
      </c>
      <c r="D69" s="176"/>
      <c r="E69" s="177" t="s">
        <v>64</v>
      </c>
      <c r="F69" s="177"/>
      <c r="G69" s="177" t="str">
        <f>_xlfn.IFNA(VLOOKUP(F69,'Abaques besoins fonctionnels'!$B$3:$C$5,2,0)," ")</f>
        <v xml:space="preserve"> </v>
      </c>
      <c r="H69" s="178" t="s">
        <v>202</v>
      </c>
      <c r="I69"/>
      <c r="J69"/>
    </row>
    <row r="70" spans="1:10" ht="27.6">
      <c r="A70" s="316"/>
      <c r="B70" s="319"/>
      <c r="C70" s="191" t="s">
        <v>203</v>
      </c>
      <c r="D70" s="180"/>
      <c r="E70" s="181" t="s">
        <v>64</v>
      </c>
      <c r="F70" s="181"/>
      <c r="G70" s="181" t="str">
        <f>_xlfn.IFNA(VLOOKUP(F70,'Abaques besoins fonctionnels'!$B$3:$C$5,2,0)," ")</f>
        <v xml:space="preserve"> </v>
      </c>
      <c r="H70" s="182" t="s">
        <v>204</v>
      </c>
      <c r="I70"/>
      <c r="J70"/>
    </row>
    <row r="71" spans="1:10" ht="41.4">
      <c r="A71" s="316"/>
      <c r="B71" s="320"/>
      <c r="C71" s="191" t="s">
        <v>205</v>
      </c>
      <c r="D71" s="180"/>
      <c r="E71" s="181" t="s">
        <v>64</v>
      </c>
      <c r="F71" s="181"/>
      <c r="G71" s="181" t="str">
        <f>_xlfn.IFNA(VLOOKUP(F71,'Abaques besoins fonctionnels'!$B$3:$C$5,2,0)," ")</f>
        <v xml:space="preserve"> </v>
      </c>
      <c r="H71" s="182" t="s">
        <v>206</v>
      </c>
      <c r="I71"/>
      <c r="J71"/>
    </row>
    <row r="72" spans="1:10" ht="41.4">
      <c r="A72" s="316"/>
      <c r="B72" s="318" t="s">
        <v>207</v>
      </c>
      <c r="C72" s="191" t="s">
        <v>208</v>
      </c>
      <c r="D72" s="180"/>
      <c r="E72" s="181" t="s">
        <v>64</v>
      </c>
      <c r="F72" s="181"/>
      <c r="G72" s="181" t="str">
        <f>_xlfn.IFNA(VLOOKUP(F72,'Abaques besoins fonctionnels'!$B$3:$C$5,2,0)," ")</f>
        <v xml:space="preserve"> </v>
      </c>
      <c r="H72" s="182" t="s">
        <v>209</v>
      </c>
      <c r="I72"/>
      <c r="J72"/>
    </row>
    <row r="73" spans="1:10" ht="27.6">
      <c r="A73" s="316"/>
      <c r="B73" s="319"/>
      <c r="C73" s="191" t="s">
        <v>210</v>
      </c>
      <c r="D73" s="180"/>
      <c r="E73" s="181" t="s">
        <v>64</v>
      </c>
      <c r="F73" s="181"/>
      <c r="G73" s="181" t="str">
        <f>_xlfn.IFNA(VLOOKUP(F73,'Abaques besoins fonctionnels'!$B$3:$C$5,2,0)," ")</f>
        <v xml:space="preserve"> </v>
      </c>
      <c r="H73" s="182" t="s">
        <v>211</v>
      </c>
      <c r="I73"/>
      <c r="J73"/>
    </row>
    <row r="74" spans="1:10" ht="41.4">
      <c r="A74" s="316"/>
      <c r="B74" s="320"/>
      <c r="C74" s="191" t="s">
        <v>212</v>
      </c>
      <c r="D74" s="180"/>
      <c r="E74" s="181" t="s">
        <v>64</v>
      </c>
      <c r="F74" s="181"/>
      <c r="G74" s="181" t="str">
        <f>_xlfn.IFNA(VLOOKUP(F74,'Abaques besoins fonctionnels'!$B$3:$C$5,2,0)," ")</f>
        <v xml:space="preserve"> </v>
      </c>
      <c r="H74" s="182" t="s">
        <v>213</v>
      </c>
      <c r="I74"/>
      <c r="J74"/>
    </row>
    <row r="75" spans="1:10" ht="27.6">
      <c r="A75" s="316"/>
      <c r="B75" s="318" t="s">
        <v>214</v>
      </c>
      <c r="C75" s="191" t="s">
        <v>215</v>
      </c>
      <c r="D75" s="180"/>
      <c r="E75" s="181" t="s">
        <v>64</v>
      </c>
      <c r="F75" s="181"/>
      <c r="G75" s="181" t="str">
        <f>_xlfn.IFNA(VLOOKUP(F75,'Abaques besoins fonctionnels'!$B$3:$C$5,2,0)," ")</f>
        <v xml:space="preserve"> </v>
      </c>
      <c r="H75" s="182" t="s">
        <v>216</v>
      </c>
      <c r="I75"/>
      <c r="J75"/>
    </row>
    <row r="76" spans="1:10" ht="41.4">
      <c r="A76" s="316"/>
      <c r="B76" s="319"/>
      <c r="C76" s="191" t="s">
        <v>217</v>
      </c>
      <c r="D76" s="180"/>
      <c r="E76" s="181" t="s">
        <v>64</v>
      </c>
      <c r="F76" s="181"/>
      <c r="G76" s="181" t="str">
        <f>_xlfn.IFNA(VLOOKUP(F76,'Abaques besoins fonctionnels'!$B$3:$C$5,2,0)," ")</f>
        <v xml:space="preserve"> </v>
      </c>
      <c r="H76" s="182" t="s">
        <v>218</v>
      </c>
      <c r="I76"/>
      <c r="J76"/>
    </row>
    <row r="77" spans="1:10" ht="41.4">
      <c r="A77" s="316"/>
      <c r="B77" s="319"/>
      <c r="C77" s="191" t="s">
        <v>219</v>
      </c>
      <c r="D77" s="180"/>
      <c r="E77" s="181" t="s">
        <v>64</v>
      </c>
      <c r="F77" s="181"/>
      <c r="G77" s="181" t="str">
        <f>_xlfn.IFNA(VLOOKUP(F77,'Abaques besoins fonctionnels'!$B$3:$C$5,2,0)," ")</f>
        <v xml:space="preserve"> </v>
      </c>
      <c r="H77" s="182" t="s">
        <v>220</v>
      </c>
      <c r="I77"/>
      <c r="J77"/>
    </row>
    <row r="78" spans="1:10" ht="27.6">
      <c r="A78" s="316"/>
      <c r="B78" s="319"/>
      <c r="C78" s="191" t="s">
        <v>221</v>
      </c>
      <c r="D78" s="180"/>
      <c r="E78" s="181" t="s">
        <v>64</v>
      </c>
      <c r="F78" s="181"/>
      <c r="G78" s="181" t="str">
        <f>_xlfn.IFNA(VLOOKUP(F78,'Abaques besoins fonctionnels'!$B$3:$C$5,2,0)," ")</f>
        <v xml:space="preserve"> </v>
      </c>
      <c r="H78" s="182" t="s">
        <v>222</v>
      </c>
      <c r="I78"/>
      <c r="J78"/>
    </row>
    <row r="79" spans="1:10" ht="27.6">
      <c r="A79" s="316"/>
      <c r="B79" s="320"/>
      <c r="C79" s="191" t="s">
        <v>223</v>
      </c>
      <c r="D79" s="180"/>
      <c r="E79" s="181" t="s">
        <v>64</v>
      </c>
      <c r="F79" s="181"/>
      <c r="G79" s="181" t="str">
        <f>_xlfn.IFNA(VLOOKUP(F79,'Abaques besoins fonctionnels'!$B$3:$C$5,2,0)," ")</f>
        <v xml:space="preserve"> </v>
      </c>
      <c r="H79" s="182" t="s">
        <v>224</v>
      </c>
      <c r="I79"/>
      <c r="J79"/>
    </row>
    <row r="80" spans="1:10" ht="41.4">
      <c r="A80" s="316"/>
      <c r="B80" s="318" t="s">
        <v>225</v>
      </c>
      <c r="C80" s="191" t="s">
        <v>226</v>
      </c>
      <c r="D80" s="180"/>
      <c r="E80" s="181" t="s">
        <v>64</v>
      </c>
      <c r="F80" s="181"/>
      <c r="G80" s="181" t="str">
        <f>_xlfn.IFNA(VLOOKUP(F80,'Abaques besoins fonctionnels'!$B$3:$C$5,2,0)," ")</f>
        <v xml:space="preserve"> </v>
      </c>
      <c r="H80" s="182" t="s">
        <v>227</v>
      </c>
      <c r="I80"/>
      <c r="J80"/>
    </row>
    <row r="81" spans="1:12" ht="27.6">
      <c r="A81" s="316"/>
      <c r="B81" s="319"/>
      <c r="C81" s="191" t="s">
        <v>228</v>
      </c>
      <c r="D81" s="180"/>
      <c r="E81" s="181" t="s">
        <v>64</v>
      </c>
      <c r="F81" s="181"/>
      <c r="G81" s="181" t="str">
        <f>_xlfn.IFNA(VLOOKUP(F81,'Abaques besoins fonctionnels'!$B$3:$C$5,2,0)," ")</f>
        <v xml:space="preserve"> </v>
      </c>
      <c r="H81" s="182" t="s">
        <v>229</v>
      </c>
      <c r="I81"/>
      <c r="J81"/>
    </row>
    <row r="82" spans="1:12" ht="41.4">
      <c r="A82" s="316"/>
      <c r="B82" s="319"/>
      <c r="C82" s="191" t="s">
        <v>230</v>
      </c>
      <c r="D82" s="180"/>
      <c r="E82" s="181" t="s">
        <v>64</v>
      </c>
      <c r="F82" s="181"/>
      <c r="G82" s="181" t="str">
        <f>_xlfn.IFNA(VLOOKUP(F82,'Abaques besoins fonctionnels'!$B$3:$C$5,2,0)," ")</f>
        <v xml:space="preserve"> </v>
      </c>
      <c r="H82" s="182" t="s">
        <v>231</v>
      </c>
      <c r="I82"/>
      <c r="J82"/>
    </row>
    <row r="83" spans="1:12" ht="15" thickBot="1">
      <c r="A83" s="317"/>
      <c r="B83" s="321"/>
      <c r="C83" s="191" t="s">
        <v>232</v>
      </c>
      <c r="D83" s="180"/>
      <c r="E83" s="181" t="s">
        <v>64</v>
      </c>
      <c r="F83" s="181"/>
      <c r="G83" s="181" t="str">
        <f>_xlfn.IFNA(VLOOKUP(F83,'Abaques besoins fonctionnels'!$B$3:$C$5,2,0)," ")</f>
        <v xml:space="preserve"> </v>
      </c>
      <c r="H83" s="182" t="s">
        <v>233</v>
      </c>
      <c r="I83"/>
      <c r="J83"/>
    </row>
    <row r="84" spans="1:12" ht="27.6">
      <c r="A84" s="322" t="s">
        <v>234</v>
      </c>
      <c r="B84" s="323" t="s">
        <v>235</v>
      </c>
      <c r="C84" s="191" t="s">
        <v>236</v>
      </c>
      <c r="D84" s="180"/>
      <c r="E84" s="181" t="s">
        <v>64</v>
      </c>
      <c r="F84" s="181"/>
      <c r="G84" s="181" t="str">
        <f>_xlfn.IFNA(VLOOKUP(F84,'Abaques besoins fonctionnels'!$B$3:$C$5,2,0)," ")</f>
        <v xml:space="preserve"> </v>
      </c>
      <c r="H84" s="182" t="s">
        <v>237</v>
      </c>
      <c r="I84"/>
      <c r="J84"/>
    </row>
    <row r="85" spans="1:12" ht="27.6">
      <c r="A85" s="316"/>
      <c r="B85" s="319"/>
      <c r="C85" s="191" t="s">
        <v>238</v>
      </c>
      <c r="D85" s="180"/>
      <c r="E85" s="181" t="s">
        <v>64</v>
      </c>
      <c r="F85" s="181"/>
      <c r="G85" s="181" t="str">
        <f>_xlfn.IFNA(VLOOKUP(F85,'Abaques besoins fonctionnels'!$B$3:$C$5,2,0)," ")</f>
        <v xml:space="preserve"> </v>
      </c>
      <c r="H85" s="182" t="s">
        <v>239</v>
      </c>
      <c r="I85"/>
      <c r="J85"/>
    </row>
    <row r="86" spans="1:12" ht="41.4">
      <c r="A86" s="316"/>
      <c r="B86" s="319"/>
      <c r="C86" s="191" t="s">
        <v>240</v>
      </c>
      <c r="D86" s="180"/>
      <c r="E86" s="181" t="s">
        <v>64</v>
      </c>
      <c r="F86" s="181"/>
      <c r="G86" s="181" t="str">
        <f>_xlfn.IFNA(VLOOKUP(F86,'Abaques besoins fonctionnels'!$B$3:$C$5,2,0)," ")</f>
        <v xml:space="preserve"> </v>
      </c>
      <c r="H86" s="182" t="s">
        <v>241</v>
      </c>
      <c r="I86"/>
      <c r="J86"/>
    </row>
    <row r="87" spans="1:12" ht="28.2" thickBot="1">
      <c r="A87" s="317"/>
      <c r="B87" s="321"/>
      <c r="C87" s="191" t="s">
        <v>242</v>
      </c>
      <c r="D87" s="180"/>
      <c r="E87" s="181" t="s">
        <v>64</v>
      </c>
      <c r="F87" s="181"/>
      <c r="G87" s="181" t="str">
        <f>_xlfn.IFNA(VLOOKUP(F87,'Abaques besoins fonctionnels'!$B$3:$C$5,2,0)," ")</f>
        <v xml:space="preserve"> </v>
      </c>
      <c r="H87" s="182" t="s">
        <v>243</v>
      </c>
      <c r="I87"/>
      <c r="J87"/>
    </row>
    <row r="88" spans="1:12" ht="41.4">
      <c r="A88" s="322" t="s">
        <v>244</v>
      </c>
      <c r="B88" s="196" t="s">
        <v>245</v>
      </c>
      <c r="C88" s="191" t="s">
        <v>246</v>
      </c>
      <c r="D88" s="180"/>
      <c r="E88" s="181" t="s">
        <v>64</v>
      </c>
      <c r="F88" s="181"/>
      <c r="G88" s="181" t="str">
        <f>_xlfn.IFNA(VLOOKUP(F88,'Abaques besoins fonctionnels'!$B$3:$C$5,2,0)," ")</f>
        <v xml:space="preserve"> </v>
      </c>
      <c r="H88" s="182" t="s">
        <v>247</v>
      </c>
      <c r="I88"/>
      <c r="J88"/>
    </row>
    <row r="89" spans="1:12" ht="55.2">
      <c r="A89" s="316"/>
      <c r="B89" s="324" t="s">
        <v>248</v>
      </c>
      <c r="C89" s="191" t="s">
        <v>249</v>
      </c>
      <c r="D89" s="180"/>
      <c r="E89" s="181" t="s">
        <v>64</v>
      </c>
      <c r="F89" s="181"/>
      <c r="G89" s="181" t="str">
        <f>_xlfn.IFNA(VLOOKUP(F89,'Abaques besoins fonctionnels'!$B$3:$C$5,2,0)," ")</f>
        <v xml:space="preserve"> </v>
      </c>
      <c r="H89" s="182" t="s">
        <v>250</v>
      </c>
      <c r="I89"/>
      <c r="J89"/>
    </row>
    <row r="90" spans="1:12">
      <c r="A90" s="316"/>
      <c r="B90" s="325"/>
      <c r="C90" s="191" t="s">
        <v>251</v>
      </c>
      <c r="D90" s="180"/>
      <c r="E90" s="181" t="s">
        <v>64</v>
      </c>
      <c r="F90" s="181"/>
      <c r="G90" s="181" t="str">
        <f>_xlfn.IFNA(VLOOKUP(F90,'Abaques besoins fonctionnels'!$B$3:$C$5,2,0)," ")</f>
        <v xml:space="preserve"> </v>
      </c>
      <c r="H90" s="182"/>
      <c r="I90"/>
      <c r="J90"/>
    </row>
    <row r="91" spans="1:12" ht="28.2" thickBot="1">
      <c r="A91" s="317"/>
      <c r="B91" s="326"/>
      <c r="C91" s="197" t="s">
        <v>252</v>
      </c>
      <c r="D91" s="198"/>
      <c r="E91" s="199" t="s">
        <v>64</v>
      </c>
      <c r="F91" s="199"/>
      <c r="G91" s="199" t="str">
        <f>_xlfn.IFNA(VLOOKUP(F91,'Abaques besoins fonctionnels'!$B$3:$C$5,2,0)," ")</f>
        <v xml:space="preserve"> </v>
      </c>
      <c r="H91" s="200" t="s">
        <v>253</v>
      </c>
      <c r="I91"/>
      <c r="J91"/>
    </row>
    <row r="92" spans="1:12" ht="15" thickBot="1"/>
    <row r="93" spans="1:12" s="18" customFormat="1" ht="16.2" thickBot="1">
      <c r="A93" s="140" t="s">
        <v>254</v>
      </c>
      <c r="B93" s="141"/>
      <c r="C93" s="154"/>
      <c r="D93" s="141"/>
      <c r="E93" s="141"/>
      <c r="F93" s="141"/>
      <c r="G93" s="141"/>
      <c r="H93" s="201"/>
      <c r="J93" s="172"/>
      <c r="K93" s="15"/>
      <c r="L93" s="15"/>
    </row>
    <row r="94" spans="1:12">
      <c r="A94" s="322" t="s">
        <v>255</v>
      </c>
      <c r="B94" s="323" t="s">
        <v>256</v>
      </c>
      <c r="C94" s="189" t="s">
        <v>257</v>
      </c>
      <c r="D94" s="176"/>
      <c r="E94" s="177" t="s">
        <v>64</v>
      </c>
      <c r="F94" s="177"/>
      <c r="G94" s="177" t="str">
        <f>_xlfn.IFNA(VLOOKUP(F94,'Abaques besoins fonctionnels'!$B$3:$C$5,2,0)," ")</f>
        <v xml:space="preserve"> </v>
      </c>
      <c r="H94" s="178" t="s">
        <v>258</v>
      </c>
    </row>
    <row r="95" spans="1:12" ht="55.2">
      <c r="A95" s="316"/>
      <c r="B95" s="319"/>
      <c r="C95" s="191" t="s">
        <v>259</v>
      </c>
      <c r="D95" s="180"/>
      <c r="E95" s="181" t="s">
        <v>64</v>
      </c>
      <c r="F95" s="181"/>
      <c r="G95" s="181" t="str">
        <f>_xlfn.IFNA(VLOOKUP(F95,'Abaques besoins fonctionnels'!$B$3:$C$5,2,0)," ")</f>
        <v xml:space="preserve"> </v>
      </c>
      <c r="H95" s="182" t="s">
        <v>260</v>
      </c>
    </row>
    <row r="96" spans="1:12" ht="27.6">
      <c r="A96" s="316"/>
      <c r="B96" s="319"/>
      <c r="C96" s="191" t="s">
        <v>261</v>
      </c>
      <c r="D96" s="180"/>
      <c r="E96" s="181" t="s">
        <v>64</v>
      </c>
      <c r="F96" s="181"/>
      <c r="G96" s="181" t="str">
        <f>_xlfn.IFNA(VLOOKUP(F96,'Abaques besoins fonctionnels'!$B$3:$C$5,2,0)," ")</f>
        <v xml:space="preserve"> </v>
      </c>
      <c r="H96" s="182" t="s">
        <v>262</v>
      </c>
    </row>
    <row r="97" spans="1:8" ht="27.6">
      <c r="A97" s="316"/>
      <c r="B97" s="320"/>
      <c r="C97" s="191" t="s">
        <v>263</v>
      </c>
      <c r="D97" s="180"/>
      <c r="E97" s="181" t="s">
        <v>64</v>
      </c>
      <c r="F97" s="181"/>
      <c r="G97" s="181" t="str">
        <f>_xlfn.IFNA(VLOOKUP(F97,'Abaques besoins fonctionnels'!$B$3:$C$5,2,0)," ")</f>
        <v xml:space="preserve"> </v>
      </c>
      <c r="H97" s="182" t="s">
        <v>264</v>
      </c>
    </row>
    <row r="98" spans="1:8" ht="27.6">
      <c r="A98" s="316"/>
      <c r="B98" s="318" t="s">
        <v>265</v>
      </c>
      <c r="C98" s="191" t="s">
        <v>266</v>
      </c>
      <c r="D98" s="180"/>
      <c r="E98" s="181" t="s">
        <v>64</v>
      </c>
      <c r="F98" s="181"/>
      <c r="G98" s="181" t="str">
        <f>_xlfn.IFNA(VLOOKUP(F98,'Abaques besoins fonctionnels'!$B$3:$C$5,2,0)," ")</f>
        <v xml:space="preserve"> </v>
      </c>
      <c r="H98" s="182" t="s">
        <v>267</v>
      </c>
    </row>
    <row r="99" spans="1:8" ht="41.4">
      <c r="A99" s="316"/>
      <c r="B99" s="319"/>
      <c r="C99" s="191" t="s">
        <v>268</v>
      </c>
      <c r="D99" s="180"/>
      <c r="E99" s="181" t="s">
        <v>64</v>
      </c>
      <c r="F99" s="181"/>
      <c r="G99" s="181" t="str">
        <f>_xlfn.IFNA(VLOOKUP(F99,'Abaques besoins fonctionnels'!$B$3:$C$5,2,0)," ")</f>
        <v xml:space="preserve"> </v>
      </c>
      <c r="H99" s="182" t="s">
        <v>269</v>
      </c>
    </row>
    <row r="100" spans="1:8" ht="27.6">
      <c r="A100" s="316"/>
      <c r="B100" s="319"/>
      <c r="C100" s="191" t="s">
        <v>270</v>
      </c>
      <c r="D100" s="180"/>
      <c r="E100" s="181" t="s">
        <v>64</v>
      </c>
      <c r="F100" s="181"/>
      <c r="G100" s="181" t="str">
        <f>_xlfn.IFNA(VLOOKUP(F100,'Abaques besoins fonctionnels'!$B$3:$C$5,2,0)," ")</f>
        <v xml:space="preserve"> </v>
      </c>
      <c r="H100" s="182" t="s">
        <v>271</v>
      </c>
    </row>
    <row r="101" spans="1:8">
      <c r="A101" s="316"/>
      <c r="B101" s="319"/>
      <c r="C101" s="191" t="s">
        <v>272</v>
      </c>
      <c r="D101" s="180"/>
      <c r="E101" s="181" t="s">
        <v>64</v>
      </c>
      <c r="F101" s="181"/>
      <c r="G101" s="181" t="str">
        <f>_xlfn.IFNA(VLOOKUP(F101,'Abaques besoins fonctionnels'!$B$3:$C$5,2,0)," ")</f>
        <v xml:space="preserve"> </v>
      </c>
      <c r="H101" s="182" t="s">
        <v>273</v>
      </c>
    </row>
    <row r="102" spans="1:8">
      <c r="A102" s="316"/>
      <c r="B102" s="320"/>
      <c r="C102" s="191" t="s">
        <v>274</v>
      </c>
      <c r="D102" s="180"/>
      <c r="E102" s="181" t="s">
        <v>64</v>
      </c>
      <c r="F102" s="181"/>
      <c r="G102" s="181" t="str">
        <f>_xlfn.IFNA(VLOOKUP(F102,'Abaques besoins fonctionnels'!$B$3:$C$5,2,0)," ")</f>
        <v xml:space="preserve"> </v>
      </c>
      <c r="H102" s="182" t="s">
        <v>275</v>
      </c>
    </row>
    <row r="103" spans="1:8" ht="41.4">
      <c r="A103" s="316"/>
      <c r="B103" s="318" t="s">
        <v>276</v>
      </c>
      <c r="C103" s="191" t="s">
        <v>277</v>
      </c>
      <c r="D103" s="180"/>
      <c r="E103" s="181" t="s">
        <v>64</v>
      </c>
      <c r="F103" s="181"/>
      <c r="G103" s="181" t="str">
        <f>_xlfn.IFNA(VLOOKUP(F103,'Abaques besoins fonctionnels'!$B$3:$C$5,2,0)," ")</f>
        <v xml:space="preserve"> </v>
      </c>
      <c r="H103" s="182" t="s">
        <v>278</v>
      </c>
    </row>
    <row r="104" spans="1:8" ht="41.4">
      <c r="A104" s="316"/>
      <c r="B104" s="319"/>
      <c r="C104" s="191" t="s">
        <v>279</v>
      </c>
      <c r="D104" s="180"/>
      <c r="E104" s="181" t="s">
        <v>64</v>
      </c>
      <c r="F104" s="181"/>
      <c r="G104" s="181" t="str">
        <f>_xlfn.IFNA(VLOOKUP(F104,'Abaques besoins fonctionnels'!$B$3:$C$5,2,0)," ")</f>
        <v xml:space="preserve"> </v>
      </c>
      <c r="H104" s="182" t="s">
        <v>280</v>
      </c>
    </row>
    <row r="105" spans="1:8" ht="27.6">
      <c r="A105" s="316"/>
      <c r="B105" s="320"/>
      <c r="C105" s="191" t="s">
        <v>281</v>
      </c>
      <c r="D105" s="180"/>
      <c r="E105" s="181" t="s">
        <v>64</v>
      </c>
      <c r="F105" s="181"/>
      <c r="G105" s="181" t="str">
        <f>_xlfn.IFNA(VLOOKUP(F105,'Abaques besoins fonctionnels'!$B$3:$C$5,2,0)," ")</f>
        <v xml:space="preserve"> </v>
      </c>
      <c r="H105" s="182" t="s">
        <v>282</v>
      </c>
    </row>
    <row r="106" spans="1:8">
      <c r="A106" s="316"/>
      <c r="B106" s="318" t="s">
        <v>283</v>
      </c>
      <c r="C106" s="191" t="s">
        <v>284</v>
      </c>
      <c r="D106" s="180"/>
      <c r="E106" s="181" t="s">
        <v>64</v>
      </c>
      <c r="F106" s="181"/>
      <c r="G106" s="181" t="str">
        <f>_xlfn.IFNA(VLOOKUP(F106,'Abaques besoins fonctionnels'!$B$3:$C$5,2,0)," ")</f>
        <v xml:space="preserve"> </v>
      </c>
      <c r="H106" s="182" t="s">
        <v>285</v>
      </c>
    </row>
    <row r="107" spans="1:8">
      <c r="A107" s="316"/>
      <c r="B107" s="319"/>
      <c r="C107" s="191" t="s">
        <v>286</v>
      </c>
      <c r="D107" s="180"/>
      <c r="E107" s="181" t="s">
        <v>64</v>
      </c>
      <c r="F107" s="181"/>
      <c r="G107" s="181" t="str">
        <f>_xlfn.IFNA(VLOOKUP(F107,'Abaques besoins fonctionnels'!$B$3:$C$5,2,0)," ")</f>
        <v xml:space="preserve"> </v>
      </c>
      <c r="H107" s="182" t="s">
        <v>287</v>
      </c>
    </row>
    <row r="108" spans="1:8" ht="27.6">
      <c r="A108" s="316"/>
      <c r="B108" s="320"/>
      <c r="C108" s="191" t="s">
        <v>288</v>
      </c>
      <c r="D108" s="180"/>
      <c r="E108" s="181" t="s">
        <v>64</v>
      </c>
      <c r="F108" s="181"/>
      <c r="G108" s="181" t="str">
        <f>_xlfn.IFNA(VLOOKUP(F108,'Abaques besoins fonctionnels'!$B$3:$C$5,2,0)," ")</f>
        <v xml:space="preserve"> </v>
      </c>
      <c r="H108" s="182" t="s">
        <v>289</v>
      </c>
    </row>
    <row r="109" spans="1:8" ht="55.2">
      <c r="A109" s="316"/>
      <c r="B109" s="318" t="s">
        <v>290</v>
      </c>
      <c r="C109" s="191" t="s">
        <v>291</v>
      </c>
      <c r="D109" s="180"/>
      <c r="E109" s="181" t="s">
        <v>64</v>
      </c>
      <c r="F109" s="181"/>
      <c r="G109" s="181" t="str">
        <f>_xlfn.IFNA(VLOOKUP(F109,'Abaques besoins fonctionnels'!$B$3:$C$5,2,0)," ")</f>
        <v xml:space="preserve"> </v>
      </c>
      <c r="H109" s="182" t="s">
        <v>292</v>
      </c>
    </row>
    <row r="110" spans="1:8" ht="27.6">
      <c r="A110" s="316"/>
      <c r="B110" s="319"/>
      <c r="C110" s="191" t="s">
        <v>293</v>
      </c>
      <c r="D110" s="180"/>
      <c r="E110" s="181" t="s">
        <v>64</v>
      </c>
      <c r="F110" s="181"/>
      <c r="G110" s="181" t="str">
        <f>_xlfn.IFNA(VLOOKUP(F110,'Abaques besoins fonctionnels'!$B$3:$C$5,2,0)," ")</f>
        <v xml:space="preserve"> </v>
      </c>
      <c r="H110" s="182" t="s">
        <v>294</v>
      </c>
    </row>
    <row r="111" spans="1:8" ht="27.6">
      <c r="A111" s="316"/>
      <c r="B111" s="320"/>
      <c r="C111" s="191" t="s">
        <v>295</v>
      </c>
      <c r="D111" s="180"/>
      <c r="E111" s="181" t="s">
        <v>64</v>
      </c>
      <c r="F111" s="181"/>
      <c r="G111" s="181" t="str">
        <f>_xlfn.IFNA(VLOOKUP(F111,'Abaques besoins fonctionnels'!$B$3:$C$5,2,0)," ")</f>
        <v xml:space="preserve"> </v>
      </c>
      <c r="H111" s="182" t="s">
        <v>296</v>
      </c>
    </row>
    <row r="112" spans="1:8" ht="27.6">
      <c r="A112" s="316"/>
      <c r="B112" s="318" t="s">
        <v>297</v>
      </c>
      <c r="C112" s="191" t="s">
        <v>298</v>
      </c>
      <c r="D112" s="180"/>
      <c r="E112" s="181" t="s">
        <v>64</v>
      </c>
      <c r="F112" s="181"/>
      <c r="G112" s="181" t="str">
        <f>_xlfn.IFNA(VLOOKUP(F112,'Abaques besoins fonctionnels'!$B$3:$C$5,2,0)," ")</f>
        <v xml:space="preserve"> </v>
      </c>
      <c r="H112" s="182" t="s">
        <v>299</v>
      </c>
    </row>
    <row r="113" spans="1:8" ht="27.6">
      <c r="A113" s="316"/>
      <c r="B113" s="319"/>
      <c r="C113" s="191" t="s">
        <v>300</v>
      </c>
      <c r="D113" s="180"/>
      <c r="E113" s="181" t="s">
        <v>64</v>
      </c>
      <c r="F113" s="181"/>
      <c r="G113" s="181" t="str">
        <f>_xlfn.IFNA(VLOOKUP(F113,'Abaques besoins fonctionnels'!$B$3:$C$5,2,0)," ")</f>
        <v xml:space="preserve"> </v>
      </c>
      <c r="H113" s="182" t="s">
        <v>301</v>
      </c>
    </row>
    <row r="114" spans="1:8" ht="27.6">
      <c r="A114" s="316"/>
      <c r="B114" s="320"/>
      <c r="C114" s="191" t="s">
        <v>302</v>
      </c>
      <c r="D114" s="180"/>
      <c r="E114" s="181" t="s">
        <v>64</v>
      </c>
      <c r="F114" s="181"/>
      <c r="G114" s="181" t="str">
        <f>_xlfn.IFNA(VLOOKUP(F114,'Abaques besoins fonctionnels'!$B$3:$C$5,2,0)," ")</f>
        <v xml:space="preserve"> </v>
      </c>
      <c r="H114" s="182" t="s">
        <v>303</v>
      </c>
    </row>
    <row r="115" spans="1:8" ht="28.2" thickBot="1">
      <c r="A115" s="317"/>
      <c r="B115" s="194" t="s">
        <v>304</v>
      </c>
      <c r="C115" s="195" t="s">
        <v>305</v>
      </c>
      <c r="D115" s="183"/>
      <c r="E115" s="184" t="s">
        <v>64</v>
      </c>
      <c r="F115" s="184"/>
      <c r="G115" s="184" t="str">
        <f>_xlfn.IFNA(VLOOKUP(F115,'Abaques besoins fonctionnels'!$B$3:$C$5,2,0)," ")</f>
        <v xml:space="preserve"> </v>
      </c>
      <c r="H115" s="185" t="s">
        <v>306</v>
      </c>
    </row>
    <row r="116" spans="1:8" ht="55.2">
      <c r="A116" s="322" t="s">
        <v>307</v>
      </c>
      <c r="B116" s="323" t="s">
        <v>308</v>
      </c>
      <c r="C116" s="189" t="s">
        <v>309</v>
      </c>
      <c r="D116" s="176"/>
      <c r="E116" s="177" t="s">
        <v>64</v>
      </c>
      <c r="F116" s="177"/>
      <c r="G116" s="177" t="str">
        <f>_xlfn.IFNA(VLOOKUP(F116,'Abaques besoins fonctionnels'!$B$3:$C$5,2,0)," ")</f>
        <v xml:space="preserve"> </v>
      </c>
      <c r="H116" s="178" t="s">
        <v>310</v>
      </c>
    </row>
    <row r="117" spans="1:8" ht="27.6">
      <c r="A117" s="316"/>
      <c r="B117" s="320"/>
      <c r="C117" s="191" t="s">
        <v>311</v>
      </c>
      <c r="D117" s="180"/>
      <c r="E117" s="181" t="s">
        <v>64</v>
      </c>
      <c r="F117" s="181"/>
      <c r="G117" s="181" t="str">
        <f>_xlfn.IFNA(VLOOKUP(F117,'Abaques besoins fonctionnels'!$B$3:$C$5,2,0)," ")</f>
        <v xml:space="preserve"> </v>
      </c>
      <c r="H117" s="182" t="s">
        <v>312</v>
      </c>
    </row>
    <row r="118" spans="1:8" ht="41.4">
      <c r="A118" s="316"/>
      <c r="B118" s="193" t="s">
        <v>313</v>
      </c>
      <c r="C118" s="191" t="s">
        <v>314</v>
      </c>
      <c r="D118" s="180"/>
      <c r="E118" s="181" t="s">
        <v>64</v>
      </c>
      <c r="F118" s="181"/>
      <c r="G118" s="181" t="str">
        <f>_xlfn.IFNA(VLOOKUP(F118,'Abaques besoins fonctionnels'!$B$3:$C$5,2,0)," ")</f>
        <v xml:space="preserve"> </v>
      </c>
      <c r="H118" s="182" t="s">
        <v>315</v>
      </c>
    </row>
    <row r="119" spans="1:8" ht="41.4">
      <c r="A119" s="316"/>
      <c r="B119" s="190" t="s">
        <v>316</v>
      </c>
      <c r="C119" s="191" t="s">
        <v>317</v>
      </c>
      <c r="D119" s="180"/>
      <c r="E119" s="181" t="s">
        <v>78</v>
      </c>
      <c r="F119" s="181"/>
      <c r="G119" s="181" t="str">
        <f>_xlfn.IFNA(VLOOKUP(F119,'Abaques besoins fonctionnels'!$B$3:$C$5,2,0)," ")</f>
        <v xml:space="preserve"> </v>
      </c>
      <c r="H119" s="182" t="s">
        <v>318</v>
      </c>
    </row>
    <row r="120" spans="1:8" ht="26.25" customHeight="1">
      <c r="A120" s="316"/>
      <c r="B120" s="318" t="s">
        <v>319</v>
      </c>
      <c r="C120" s="191" t="s">
        <v>320</v>
      </c>
      <c r="D120" s="180"/>
      <c r="E120" s="181" t="s">
        <v>78</v>
      </c>
      <c r="F120" s="181"/>
      <c r="G120" s="181" t="str">
        <f>_xlfn.IFNA(VLOOKUP(F120,'Abaques besoins fonctionnels'!$B$3:$C$5,2,0)," ")</f>
        <v xml:space="preserve"> </v>
      </c>
      <c r="H120" s="182" t="s">
        <v>318</v>
      </c>
    </row>
    <row r="121" spans="1:8" ht="55.2">
      <c r="A121" s="316"/>
      <c r="B121" s="320"/>
      <c r="C121" s="191" t="s">
        <v>321</v>
      </c>
      <c r="D121" s="180"/>
      <c r="E121" s="181" t="s">
        <v>78</v>
      </c>
      <c r="F121" s="181"/>
      <c r="G121" s="181" t="str">
        <f>_xlfn.IFNA(VLOOKUP(F121,'Abaques besoins fonctionnels'!$B$3:$C$5,2,0)," ")</f>
        <v xml:space="preserve"> </v>
      </c>
      <c r="H121" s="182" t="s">
        <v>322</v>
      </c>
    </row>
    <row r="122" spans="1:8" ht="97.2" thickBot="1">
      <c r="A122" s="317"/>
      <c r="B122" s="194" t="s">
        <v>323</v>
      </c>
      <c r="C122" s="195" t="s">
        <v>324</v>
      </c>
      <c r="D122" s="183"/>
      <c r="E122" s="184" t="s">
        <v>78</v>
      </c>
      <c r="F122" s="184"/>
      <c r="G122" s="184" t="str">
        <f>_xlfn.IFNA(VLOOKUP(F122,'Abaques besoins fonctionnels'!$B$3:$C$5,2,0)," ")</f>
        <v xml:space="preserve"> </v>
      </c>
      <c r="H122" s="185" t="s">
        <v>325</v>
      </c>
    </row>
    <row r="123" spans="1:8" ht="41.4">
      <c r="A123" s="322" t="s">
        <v>326</v>
      </c>
      <c r="B123" s="202" t="s">
        <v>327</v>
      </c>
      <c r="C123" s="203" t="s">
        <v>328</v>
      </c>
      <c r="D123" s="204"/>
      <c r="E123" s="177" t="s">
        <v>64</v>
      </c>
      <c r="F123" s="177"/>
      <c r="G123" s="177" t="str">
        <f>_xlfn.IFNA(VLOOKUP(F123,'Abaques besoins fonctionnels'!$B$3:$C$5,2,0)," ")</f>
        <v xml:space="preserve"> </v>
      </c>
      <c r="H123" s="178" t="s">
        <v>329</v>
      </c>
    </row>
    <row r="124" spans="1:8" ht="27.6">
      <c r="A124" s="316"/>
      <c r="B124" s="205"/>
      <c r="C124" s="206" t="s">
        <v>330</v>
      </c>
      <c r="D124" s="207"/>
      <c r="E124" s="181" t="s">
        <v>64</v>
      </c>
      <c r="F124" s="181"/>
      <c r="G124" s="181" t="str">
        <f>_xlfn.IFNA(VLOOKUP(F124,'Abaques besoins fonctionnels'!$B$3:$C$5,2,0)," ")</f>
        <v xml:space="preserve"> </v>
      </c>
      <c r="H124" s="182" t="s">
        <v>331</v>
      </c>
    </row>
    <row r="125" spans="1:8" ht="55.2">
      <c r="A125" s="316"/>
      <c r="B125" s="327" t="s">
        <v>332</v>
      </c>
      <c r="C125" s="191" t="s">
        <v>333</v>
      </c>
      <c r="D125" s="180"/>
      <c r="E125" s="181" t="s">
        <v>64</v>
      </c>
      <c r="F125" s="181"/>
      <c r="G125" s="181" t="str">
        <f>_xlfn.IFNA(VLOOKUP(F125,'Abaques besoins fonctionnels'!$B$3:$C$5,2,0)," ")</f>
        <v xml:space="preserve"> </v>
      </c>
      <c r="H125" s="182" t="s">
        <v>334</v>
      </c>
    </row>
    <row r="126" spans="1:8" ht="41.4">
      <c r="A126" s="316"/>
      <c r="B126" s="328"/>
      <c r="C126" s="206" t="s">
        <v>335</v>
      </c>
      <c r="D126" s="207"/>
      <c r="E126" s="181" t="s">
        <v>64</v>
      </c>
      <c r="F126" s="181"/>
      <c r="G126" s="181" t="str">
        <f>_xlfn.IFNA(VLOOKUP(F126,'Abaques besoins fonctionnels'!$B$3:$C$5,2,0)," ")</f>
        <v xml:space="preserve"> </v>
      </c>
      <c r="H126" s="182" t="s">
        <v>336</v>
      </c>
    </row>
    <row r="127" spans="1:8" ht="41.4">
      <c r="A127" s="316"/>
      <c r="B127" s="318" t="s">
        <v>337</v>
      </c>
      <c r="C127" s="191" t="s">
        <v>338</v>
      </c>
      <c r="D127" s="180"/>
      <c r="E127" s="181" t="s">
        <v>64</v>
      </c>
      <c r="F127" s="181"/>
      <c r="G127" s="181" t="str">
        <f>_xlfn.IFNA(VLOOKUP(F127,'Abaques besoins fonctionnels'!$B$3:$C$5,2,0)," ")</f>
        <v xml:space="preserve"> </v>
      </c>
      <c r="H127" s="182" t="s">
        <v>339</v>
      </c>
    </row>
    <row r="128" spans="1:8" ht="41.4">
      <c r="A128" s="316"/>
      <c r="B128" s="320"/>
      <c r="C128" s="191" t="s">
        <v>340</v>
      </c>
      <c r="D128" s="180"/>
      <c r="E128" s="181" t="s">
        <v>64</v>
      </c>
      <c r="F128" s="181"/>
      <c r="G128" s="181" t="str">
        <f>_xlfn.IFNA(VLOOKUP(F128,'Abaques besoins fonctionnels'!$B$3:$C$5,2,0)," ")</f>
        <v xml:space="preserve"> </v>
      </c>
      <c r="H128" s="182" t="s">
        <v>341</v>
      </c>
    </row>
    <row r="129" spans="1:12" ht="41.4">
      <c r="A129" s="316"/>
      <c r="B129" s="318" t="s">
        <v>342</v>
      </c>
      <c r="C129" s="191" t="s">
        <v>343</v>
      </c>
      <c r="D129" s="180"/>
      <c r="E129" s="181" t="s">
        <v>64</v>
      </c>
      <c r="F129" s="181"/>
      <c r="G129" s="181" t="str">
        <f>_xlfn.IFNA(VLOOKUP(F129,'Abaques besoins fonctionnels'!$B$3:$C$5,2,0)," ")</f>
        <v xml:space="preserve"> </v>
      </c>
      <c r="H129" s="182" t="s">
        <v>344</v>
      </c>
    </row>
    <row r="130" spans="1:12" ht="27.6">
      <c r="A130" s="316"/>
      <c r="B130" s="319"/>
      <c r="C130" s="191" t="s">
        <v>345</v>
      </c>
      <c r="D130" s="180"/>
      <c r="E130" s="181" t="s">
        <v>64</v>
      </c>
      <c r="F130" s="181"/>
      <c r="G130" s="181" t="str">
        <f>_xlfn.IFNA(VLOOKUP(F130,'Abaques besoins fonctionnels'!$B$3:$C$5,2,0)," ")</f>
        <v xml:space="preserve"> </v>
      </c>
      <c r="H130" s="182" t="s">
        <v>346</v>
      </c>
    </row>
    <row r="131" spans="1:12" ht="27.6">
      <c r="A131" s="316"/>
      <c r="B131" s="319"/>
      <c r="C131" s="191" t="s">
        <v>347</v>
      </c>
      <c r="D131" s="180"/>
      <c r="E131" s="181" t="s">
        <v>64</v>
      </c>
      <c r="F131" s="181"/>
      <c r="G131" s="181" t="str">
        <f>_xlfn.IFNA(VLOOKUP(F131,'Abaques besoins fonctionnels'!$B$3:$C$5,2,0)," ")</f>
        <v xml:space="preserve"> </v>
      </c>
      <c r="H131" s="182" t="s">
        <v>348</v>
      </c>
    </row>
    <row r="132" spans="1:12" ht="41.4">
      <c r="A132" s="316"/>
      <c r="B132" s="319"/>
      <c r="C132" s="191" t="s">
        <v>349</v>
      </c>
      <c r="D132" s="180"/>
      <c r="E132" s="181" t="s">
        <v>64</v>
      </c>
      <c r="F132" s="181"/>
      <c r="G132" s="181" t="str">
        <f>_xlfn.IFNA(VLOOKUP(F132,'Abaques besoins fonctionnels'!$B$3:$C$5,2,0)," ")</f>
        <v xml:space="preserve"> </v>
      </c>
      <c r="H132" s="182" t="s">
        <v>350</v>
      </c>
    </row>
    <row r="133" spans="1:12" ht="41.4">
      <c r="A133" s="316"/>
      <c r="B133" s="320"/>
      <c r="C133" s="191" t="s">
        <v>351</v>
      </c>
      <c r="D133" s="180"/>
      <c r="E133" s="181" t="s">
        <v>64</v>
      </c>
      <c r="F133" s="181"/>
      <c r="G133" s="181" t="str">
        <f>_xlfn.IFNA(VLOOKUP(F133,'Abaques besoins fonctionnels'!$B$3:$C$5,2,0)," ")</f>
        <v xml:space="preserve"> </v>
      </c>
      <c r="H133" s="182" t="s">
        <v>350</v>
      </c>
    </row>
    <row r="134" spans="1:12" ht="27.6">
      <c r="A134" s="316"/>
      <c r="B134" s="188" t="s">
        <v>352</v>
      </c>
      <c r="C134" s="191" t="s">
        <v>353</v>
      </c>
      <c r="D134" s="180"/>
      <c r="E134" s="181" t="s">
        <v>64</v>
      </c>
      <c r="F134" s="181"/>
      <c r="G134" s="181" t="str">
        <f>_xlfn.IFNA(VLOOKUP(F134,'Abaques besoins fonctionnels'!$B$3:$C$5,2,0)," ")</f>
        <v xml:space="preserve"> </v>
      </c>
      <c r="H134" s="182" t="s">
        <v>354</v>
      </c>
    </row>
    <row r="135" spans="1:12" ht="42" thickBot="1">
      <c r="A135" s="317"/>
      <c r="B135" s="208"/>
      <c r="C135" s="191" t="s">
        <v>355</v>
      </c>
      <c r="D135" s="180"/>
      <c r="E135" s="181" t="s">
        <v>64</v>
      </c>
      <c r="F135" s="181"/>
      <c r="G135" s="181" t="str">
        <f>_xlfn.IFNA(VLOOKUP(F135,'Abaques besoins fonctionnels'!$B$3:$C$5,2,0)," ")</f>
        <v xml:space="preserve"> </v>
      </c>
      <c r="H135" s="182" t="s">
        <v>356</v>
      </c>
    </row>
    <row r="136" spans="1:12" ht="27.6">
      <c r="A136" s="322" t="s">
        <v>357</v>
      </c>
      <c r="B136" s="323" t="s">
        <v>358</v>
      </c>
      <c r="C136" s="191" t="s">
        <v>359</v>
      </c>
      <c r="D136" s="180"/>
      <c r="E136" s="181" t="s">
        <v>64</v>
      </c>
      <c r="F136" s="181"/>
      <c r="G136" s="181" t="str">
        <f>_xlfn.IFNA(VLOOKUP(F136,'Abaques besoins fonctionnels'!$B$3:$C$5,2,0)," ")</f>
        <v xml:space="preserve"> </v>
      </c>
      <c r="H136" s="182" t="s">
        <v>360</v>
      </c>
    </row>
    <row r="137" spans="1:12" ht="41.4">
      <c r="A137" s="316"/>
      <c r="B137" s="320"/>
      <c r="C137" s="191" t="s">
        <v>361</v>
      </c>
      <c r="D137" s="180"/>
      <c r="E137" s="181" t="s">
        <v>64</v>
      </c>
      <c r="F137" s="181"/>
      <c r="G137" s="181" t="str">
        <f>_xlfn.IFNA(VLOOKUP(F137,'Abaques besoins fonctionnels'!$B$3:$C$5,2,0)," ")</f>
        <v xml:space="preserve"> </v>
      </c>
      <c r="H137" s="182" t="s">
        <v>362</v>
      </c>
    </row>
    <row r="138" spans="1:12" ht="41.4">
      <c r="A138" s="316"/>
      <c r="B138" s="318" t="s">
        <v>363</v>
      </c>
      <c r="C138" s="191" t="s">
        <v>364</v>
      </c>
      <c r="D138" s="180"/>
      <c r="E138" s="181" t="s">
        <v>64</v>
      </c>
      <c r="F138" s="181"/>
      <c r="G138" s="181" t="str">
        <f>_xlfn.IFNA(VLOOKUP(F138,'Abaques besoins fonctionnels'!$B$3:$C$5,2,0)," ")</f>
        <v xml:space="preserve"> </v>
      </c>
      <c r="H138" s="182" t="s">
        <v>365</v>
      </c>
    </row>
    <row r="139" spans="1:12" ht="42" thickBot="1">
      <c r="A139" s="317"/>
      <c r="B139" s="321"/>
      <c r="C139" s="197" t="s">
        <v>366</v>
      </c>
      <c r="D139" s="198"/>
      <c r="E139" s="199" t="s">
        <v>64</v>
      </c>
      <c r="F139" s="199"/>
      <c r="G139" s="199" t="str">
        <f>_xlfn.IFNA(VLOOKUP(F139,'Abaques besoins fonctionnels'!$B$3:$C$5,2,0)," ")</f>
        <v xml:space="preserve"> </v>
      </c>
      <c r="H139" s="200" t="s">
        <v>367</v>
      </c>
    </row>
    <row r="140" spans="1:12" ht="15" thickBot="1">
      <c r="G140" s="209" t="str">
        <f>_xlfn.IFNA(VLOOKUP(F137,'Abaques besoins fonctionnels'!$B$3:$C$5,2,0)," ")</f>
        <v xml:space="preserve"> </v>
      </c>
    </row>
    <row r="141" spans="1:12" s="18" customFormat="1" ht="16.2" thickBot="1">
      <c r="A141" s="140" t="s">
        <v>368</v>
      </c>
      <c r="B141" s="141"/>
      <c r="C141" s="201"/>
      <c r="D141" s="201"/>
      <c r="E141" s="201"/>
      <c r="F141" s="201"/>
      <c r="G141" s="201"/>
      <c r="H141" s="201"/>
      <c r="J141" s="172"/>
      <c r="K141" s="15"/>
      <c r="L141" s="15"/>
    </row>
    <row r="142" spans="1:12" ht="41.4">
      <c r="A142" s="329" t="s">
        <v>369</v>
      </c>
      <c r="B142" s="210" t="s">
        <v>370</v>
      </c>
      <c r="C142" s="189" t="s">
        <v>371</v>
      </c>
      <c r="D142" s="176"/>
      <c r="E142" s="211" t="s">
        <v>64</v>
      </c>
      <c r="F142" s="211"/>
      <c r="G142" s="177" t="str">
        <f>_xlfn.IFNA(VLOOKUP(F142,'Abaques besoins fonctionnels'!$B$3:$C$5,2,0)," ")</f>
        <v xml:space="preserve"> </v>
      </c>
      <c r="H142" s="178" t="s">
        <v>372</v>
      </c>
    </row>
    <row r="143" spans="1:12" ht="55.2">
      <c r="A143" s="330"/>
      <c r="B143" s="318" t="s">
        <v>373</v>
      </c>
      <c r="C143" s="191" t="s">
        <v>374</v>
      </c>
      <c r="D143" s="180"/>
      <c r="E143" s="181" t="s">
        <v>64</v>
      </c>
      <c r="F143" s="181"/>
      <c r="G143" s="181" t="str">
        <f>_xlfn.IFNA(VLOOKUP(F143,'Abaques besoins fonctionnels'!$B$3:$C$5,2,0)," ")</f>
        <v xml:space="preserve"> </v>
      </c>
      <c r="H143" s="182" t="s">
        <v>375</v>
      </c>
    </row>
    <row r="144" spans="1:12" ht="82.8">
      <c r="A144" s="330"/>
      <c r="B144" s="319"/>
      <c r="C144" s="191" t="s">
        <v>376</v>
      </c>
      <c r="D144" s="180"/>
      <c r="E144" s="181" t="s">
        <v>78</v>
      </c>
      <c r="F144" s="181"/>
      <c r="G144" s="181" t="str">
        <f>_xlfn.IFNA(VLOOKUP(F144,'Abaques besoins fonctionnels'!$B$3:$C$5,2,0)," ")</f>
        <v xml:space="preserve"> </v>
      </c>
      <c r="H144" s="182" t="s">
        <v>377</v>
      </c>
    </row>
    <row r="145" spans="1:8" ht="69">
      <c r="A145" s="330"/>
      <c r="B145" s="320"/>
      <c r="C145" s="191" t="s">
        <v>378</v>
      </c>
      <c r="D145" s="180"/>
      <c r="E145" s="181" t="s">
        <v>78</v>
      </c>
      <c r="F145" s="181"/>
      <c r="G145" s="181" t="str">
        <f>_xlfn.IFNA(VLOOKUP(F145,'Abaques besoins fonctionnels'!$B$3:$C$5,2,0)," ")</f>
        <v xml:space="preserve"> </v>
      </c>
      <c r="H145" s="182" t="s">
        <v>379</v>
      </c>
    </row>
    <row r="146" spans="1:8" ht="234.6">
      <c r="A146" s="330"/>
      <c r="B146" s="192" t="s">
        <v>380</v>
      </c>
      <c r="C146" s="191" t="s">
        <v>381</v>
      </c>
      <c r="D146" s="180"/>
      <c r="E146" s="181" t="s">
        <v>64</v>
      </c>
      <c r="F146" s="181"/>
      <c r="G146" s="181" t="str">
        <f>_xlfn.IFNA(VLOOKUP(F146,'Abaques besoins fonctionnels'!$B$3:$C$5,2,0)," ")</f>
        <v xml:space="preserve"> </v>
      </c>
      <c r="H146" s="182" t="s">
        <v>382</v>
      </c>
    </row>
    <row r="147" spans="1:8" ht="124.2">
      <c r="A147" s="330"/>
      <c r="B147" s="212" t="s">
        <v>383</v>
      </c>
      <c r="C147" s="191" t="s">
        <v>384</v>
      </c>
      <c r="D147" s="180"/>
      <c r="E147" s="181" t="s">
        <v>64</v>
      </c>
      <c r="F147" s="181"/>
      <c r="G147" s="181" t="str">
        <f>_xlfn.IFNA(VLOOKUP(F147,'Abaques besoins fonctionnels'!$B$3:$C$5,2,0)," ")</f>
        <v xml:space="preserve"> </v>
      </c>
      <c r="H147" s="182"/>
    </row>
    <row r="148" spans="1:8" ht="41.4">
      <c r="A148" s="330"/>
      <c r="B148" s="318" t="s">
        <v>385</v>
      </c>
      <c r="C148" s="191" t="s">
        <v>386</v>
      </c>
      <c r="D148" s="180"/>
      <c r="E148" s="181" t="s">
        <v>64</v>
      </c>
      <c r="F148" s="181"/>
      <c r="G148" s="181" t="str">
        <f>_xlfn.IFNA(VLOOKUP(F148,'Abaques besoins fonctionnels'!$B$3:$C$5,2,0)," ")</f>
        <v xml:space="preserve"> </v>
      </c>
      <c r="H148" s="182"/>
    </row>
    <row r="149" spans="1:8" ht="55.2">
      <c r="A149" s="330"/>
      <c r="B149" s="319"/>
      <c r="C149" s="191" t="s">
        <v>387</v>
      </c>
      <c r="D149" s="180"/>
      <c r="E149" s="181" t="s">
        <v>64</v>
      </c>
      <c r="F149" s="181"/>
      <c r="G149" s="181" t="str">
        <f>_xlfn.IFNA(VLOOKUP(F149,'Abaques besoins fonctionnels'!$B$3:$C$5,2,0)," ")</f>
        <v xml:space="preserve"> </v>
      </c>
      <c r="H149" s="182"/>
    </row>
    <row r="150" spans="1:8" ht="41.4">
      <c r="A150" s="330"/>
      <c r="B150" s="320"/>
      <c r="C150" s="191" t="s">
        <v>388</v>
      </c>
      <c r="D150" s="180"/>
      <c r="E150" s="181" t="s">
        <v>64</v>
      </c>
      <c r="F150" s="181"/>
      <c r="G150" s="181" t="str">
        <f>_xlfn.IFNA(VLOOKUP(F150,'Abaques besoins fonctionnels'!$B$3:$C$5,2,0)," ")</f>
        <v xml:space="preserve"> </v>
      </c>
      <c r="H150" s="182"/>
    </row>
    <row r="151" spans="1:8" ht="138">
      <c r="A151" s="330"/>
      <c r="B151" s="318" t="s">
        <v>389</v>
      </c>
      <c r="C151" s="191" t="s">
        <v>390</v>
      </c>
      <c r="D151" s="180"/>
      <c r="E151" s="181" t="s">
        <v>64</v>
      </c>
      <c r="F151" s="181"/>
      <c r="G151" s="181" t="str">
        <f>_xlfn.IFNA(VLOOKUP(F151,'Abaques besoins fonctionnels'!$B$3:$C$5,2,0)," ")</f>
        <v xml:space="preserve"> </v>
      </c>
      <c r="H151" s="182" t="s">
        <v>391</v>
      </c>
    </row>
    <row r="152" spans="1:8" ht="96.6">
      <c r="A152" s="330"/>
      <c r="B152" s="319"/>
      <c r="C152" s="191" t="s">
        <v>392</v>
      </c>
      <c r="D152" s="180"/>
      <c r="E152" s="181" t="s">
        <v>64</v>
      </c>
      <c r="F152" s="181"/>
      <c r="G152" s="181" t="str">
        <f>_xlfn.IFNA(VLOOKUP(F152,'Abaques besoins fonctionnels'!$B$3:$C$5,2,0)," ")</f>
        <v xml:space="preserve"> </v>
      </c>
      <c r="H152" s="182"/>
    </row>
    <row r="153" spans="1:8" ht="55.2">
      <c r="A153" s="330"/>
      <c r="B153" s="320"/>
      <c r="C153" s="191" t="s">
        <v>393</v>
      </c>
      <c r="D153" s="180"/>
      <c r="E153" s="181" t="s">
        <v>64</v>
      </c>
      <c r="F153" s="181"/>
      <c r="G153" s="181" t="str">
        <f>_xlfn.IFNA(VLOOKUP(F153,'Abaques besoins fonctionnels'!$B$3:$C$5,2,0)," ")</f>
        <v xml:space="preserve"> </v>
      </c>
      <c r="H153" s="182"/>
    </row>
    <row r="154" spans="1:8" ht="41.4">
      <c r="A154" s="330"/>
      <c r="B154" s="318" t="s">
        <v>394</v>
      </c>
      <c r="C154" s="191" t="s">
        <v>395</v>
      </c>
      <c r="D154" s="180"/>
      <c r="E154" s="181" t="s">
        <v>64</v>
      </c>
      <c r="F154" s="181"/>
      <c r="G154" s="181" t="str">
        <f>_xlfn.IFNA(VLOOKUP(F154,'Abaques besoins fonctionnels'!$B$3:$C$5,2,0)," ")</f>
        <v xml:space="preserve"> </v>
      </c>
      <c r="H154" s="182"/>
    </row>
    <row r="155" spans="1:8" ht="41.4">
      <c r="A155" s="330"/>
      <c r="B155" s="320"/>
      <c r="C155" s="206" t="s">
        <v>396</v>
      </c>
      <c r="D155" s="207"/>
      <c r="E155" s="181" t="s">
        <v>64</v>
      </c>
      <c r="F155" s="181"/>
      <c r="G155" s="181" t="str">
        <f>_xlfn.IFNA(VLOOKUP(F155,'Abaques besoins fonctionnels'!$B$3:$C$5,2,0)," ")</f>
        <v xml:space="preserve"> </v>
      </c>
      <c r="H155" s="182"/>
    </row>
    <row r="156" spans="1:8" ht="41.4">
      <c r="A156" s="330"/>
      <c r="B156" s="318" t="s">
        <v>397</v>
      </c>
      <c r="C156" s="191" t="s">
        <v>398</v>
      </c>
      <c r="D156" s="180"/>
      <c r="E156" s="181" t="s">
        <v>64</v>
      </c>
      <c r="F156" s="181"/>
      <c r="G156" s="181" t="str">
        <f>_xlfn.IFNA(VLOOKUP(F156,'Abaques besoins fonctionnels'!$B$3:$C$5,2,0)," ")</f>
        <v xml:space="preserve"> </v>
      </c>
      <c r="H156" s="182"/>
    </row>
    <row r="157" spans="1:8" ht="41.4">
      <c r="A157" s="330"/>
      <c r="B157" s="320"/>
      <c r="C157" s="191" t="s">
        <v>399</v>
      </c>
      <c r="D157" s="180"/>
      <c r="E157" s="181" t="s">
        <v>64</v>
      </c>
      <c r="F157" s="181"/>
      <c r="G157" s="181" t="str">
        <f>_xlfn.IFNA(VLOOKUP(F157,'Abaques besoins fonctionnels'!$B$3:$C$5,2,0)," ")</f>
        <v xml:space="preserve"> </v>
      </c>
      <c r="H157" s="182"/>
    </row>
    <row r="158" spans="1:8" ht="41.4">
      <c r="A158" s="330"/>
      <c r="B158" s="318" t="s">
        <v>400</v>
      </c>
      <c r="C158" s="191" t="s">
        <v>401</v>
      </c>
      <c r="D158" s="180"/>
      <c r="E158" s="181" t="s">
        <v>64</v>
      </c>
      <c r="F158" s="181"/>
      <c r="G158" s="181" t="str">
        <f>_xlfn.IFNA(VLOOKUP(F158,'Abaques besoins fonctionnels'!$B$3:$C$5,2,0)," ")</f>
        <v xml:space="preserve"> </v>
      </c>
      <c r="H158" s="182"/>
    </row>
    <row r="159" spans="1:8" ht="27.6">
      <c r="A159" s="330"/>
      <c r="B159" s="320"/>
      <c r="C159" s="191" t="s">
        <v>402</v>
      </c>
      <c r="D159" s="180"/>
      <c r="E159" s="181" t="s">
        <v>64</v>
      </c>
      <c r="F159" s="181"/>
      <c r="G159" s="181" t="str">
        <f>_xlfn.IFNA(VLOOKUP(F159,'Abaques besoins fonctionnels'!$B$3:$C$5,2,0)," ")</f>
        <v xml:space="preserve"> </v>
      </c>
      <c r="H159" s="182"/>
    </row>
    <row r="160" spans="1:8" ht="138" customHeight="1">
      <c r="A160" s="330"/>
      <c r="B160" s="212" t="s">
        <v>403</v>
      </c>
      <c r="C160" s="206" t="s">
        <v>404</v>
      </c>
      <c r="D160" s="207"/>
      <c r="E160" s="181" t="s">
        <v>64</v>
      </c>
      <c r="F160" s="181"/>
      <c r="G160" s="181" t="str">
        <f>_xlfn.IFNA(VLOOKUP(F160,'Abaques besoins fonctionnels'!$B$3:$C$5,2,0)," ")</f>
        <v xml:space="preserve"> </v>
      </c>
      <c r="H160" s="182" t="s">
        <v>405</v>
      </c>
    </row>
    <row r="161" spans="1:12" ht="28.2" thickBot="1">
      <c r="A161" s="331"/>
      <c r="B161" s="194" t="s">
        <v>406</v>
      </c>
      <c r="C161" s="195" t="s">
        <v>407</v>
      </c>
      <c r="D161" s="183"/>
      <c r="E161" s="184" t="s">
        <v>194</v>
      </c>
      <c r="F161" s="184"/>
      <c r="G161" s="184" t="str">
        <f>_xlfn.IFNA(VLOOKUP(F161,'Abaques besoins fonctionnels'!$B$3:$C$5,2,0)," ")</f>
        <v xml:space="preserve"> </v>
      </c>
      <c r="H161" s="185" t="s">
        <v>408</v>
      </c>
    </row>
    <row r="162" spans="1:12" ht="27.6">
      <c r="A162" s="213" t="s">
        <v>409</v>
      </c>
      <c r="B162" s="323" t="s">
        <v>410</v>
      </c>
      <c r="C162" s="189" t="s">
        <v>411</v>
      </c>
      <c r="D162" s="176"/>
      <c r="E162" s="177" t="s">
        <v>64</v>
      </c>
      <c r="F162" s="177"/>
      <c r="G162" s="177" t="str">
        <f>_xlfn.IFNA(VLOOKUP(F162,'Abaques besoins fonctionnels'!$B$3:$C$5,2,0)," ")</f>
        <v xml:space="preserve"> </v>
      </c>
      <c r="H162" s="178"/>
    </row>
    <row r="163" spans="1:12" ht="41.4">
      <c r="A163" s="214"/>
      <c r="B163" s="319"/>
      <c r="C163" s="191" t="s">
        <v>412</v>
      </c>
      <c r="D163" s="180"/>
      <c r="E163" s="181" t="s">
        <v>64</v>
      </c>
      <c r="F163" s="181"/>
      <c r="G163" s="181" t="str">
        <f>_xlfn.IFNA(VLOOKUP(F163,'Abaques besoins fonctionnels'!$B$3:$C$5,2,0)," ")</f>
        <v xml:space="preserve"> </v>
      </c>
      <c r="H163" s="182"/>
    </row>
    <row r="164" spans="1:12" ht="27.6">
      <c r="A164" s="214"/>
      <c r="B164" s="320"/>
      <c r="C164" s="191" t="s">
        <v>413</v>
      </c>
      <c r="D164" s="180"/>
      <c r="E164" s="181" t="s">
        <v>64</v>
      </c>
      <c r="F164" s="181"/>
      <c r="G164" s="181" t="str">
        <f>_xlfn.IFNA(VLOOKUP(F164,'Abaques besoins fonctionnels'!$B$3:$C$5,2,0)," ")</f>
        <v xml:space="preserve"> </v>
      </c>
      <c r="H164" s="182"/>
    </row>
    <row r="165" spans="1:12" ht="138">
      <c r="A165" s="215"/>
      <c r="B165" s="216" t="s">
        <v>414</v>
      </c>
      <c r="C165" s="191" t="s">
        <v>415</v>
      </c>
      <c r="D165" s="180"/>
      <c r="E165" s="181" t="s">
        <v>194</v>
      </c>
      <c r="F165" s="181"/>
      <c r="G165" s="181" t="str">
        <f>_xlfn.IFNA(VLOOKUP(F165,'Abaques besoins fonctionnels'!$B$3:$C$5,2,0)," ")</f>
        <v xml:space="preserve"> </v>
      </c>
      <c r="H165" s="182" t="s">
        <v>416</v>
      </c>
    </row>
    <row r="166" spans="1:12" ht="55.2">
      <c r="A166" s="214"/>
      <c r="B166" s="217" t="s">
        <v>417</v>
      </c>
      <c r="C166" s="191" t="s">
        <v>418</v>
      </c>
      <c r="D166" s="180"/>
      <c r="E166" s="181" t="s">
        <v>194</v>
      </c>
      <c r="F166" s="181"/>
      <c r="G166" s="181" t="str">
        <f>_xlfn.IFNA(VLOOKUP(F166,'Abaques besoins fonctionnels'!$B$3:$C$5,2,0)," ")</f>
        <v xml:space="preserve"> </v>
      </c>
      <c r="H166" s="182" t="s">
        <v>416</v>
      </c>
    </row>
    <row r="167" spans="1:12" ht="27.6">
      <c r="A167" s="214"/>
      <c r="B167" s="188"/>
      <c r="C167" s="191" t="s">
        <v>419</v>
      </c>
      <c r="D167" s="180"/>
      <c r="E167" s="181" t="s">
        <v>194</v>
      </c>
      <c r="F167" s="181"/>
      <c r="G167" s="181" t="str">
        <f>_xlfn.IFNA(VLOOKUP(F167,'Abaques besoins fonctionnels'!$B$3:$C$5,2,0)," ")</f>
        <v xml:space="preserve"> </v>
      </c>
      <c r="H167" s="182" t="s">
        <v>416</v>
      </c>
    </row>
    <row r="168" spans="1:12" ht="69">
      <c r="A168" s="215"/>
      <c r="B168" s="217" t="s">
        <v>420</v>
      </c>
      <c r="C168" s="191" t="s">
        <v>421</v>
      </c>
      <c r="D168" s="180"/>
      <c r="E168" s="181" t="s">
        <v>194</v>
      </c>
      <c r="F168" s="181"/>
      <c r="G168" s="181" t="str">
        <f>_xlfn.IFNA(VLOOKUP(F168,'Abaques besoins fonctionnels'!$B$3:$C$5,2,0)," ")</f>
        <v xml:space="preserve"> </v>
      </c>
      <c r="H168" s="182" t="s">
        <v>416</v>
      </c>
    </row>
    <row r="169" spans="1:12" ht="41.4">
      <c r="A169" s="215"/>
      <c r="B169" s="188"/>
      <c r="C169" s="191" t="s">
        <v>422</v>
      </c>
      <c r="D169" s="180"/>
      <c r="E169" s="181" t="s">
        <v>194</v>
      </c>
      <c r="F169" s="181"/>
      <c r="G169" s="181" t="str">
        <f>_xlfn.IFNA(VLOOKUP(F169,'Abaques besoins fonctionnels'!$B$3:$C$5,2,0)," ")</f>
        <v xml:space="preserve"> </v>
      </c>
      <c r="H169" s="182" t="s">
        <v>416</v>
      </c>
    </row>
    <row r="170" spans="1:12" ht="166.2" thickBot="1">
      <c r="A170" s="218"/>
      <c r="B170" s="219" t="s">
        <v>423</v>
      </c>
      <c r="C170" s="197" t="s">
        <v>424</v>
      </c>
      <c r="D170" s="198"/>
      <c r="E170" s="199" t="s">
        <v>194</v>
      </c>
      <c r="F170" s="199"/>
      <c r="G170" s="199" t="str">
        <f>_xlfn.IFNA(VLOOKUP(F170,'Abaques besoins fonctionnels'!$B$3:$C$5,2,0)," ")</f>
        <v xml:space="preserve"> </v>
      </c>
      <c r="H170" s="200" t="s">
        <v>416</v>
      </c>
    </row>
    <row r="171" spans="1:12" ht="15" thickBot="1">
      <c r="G171" s="209" t="str">
        <f>_xlfn.IFNA(VLOOKUP(F168,'Abaques besoins fonctionnels'!$B$3:$C$5,2,0)," ")</f>
        <v xml:space="preserve"> </v>
      </c>
    </row>
    <row r="172" spans="1:12" s="18" customFormat="1" ht="16.2" thickBot="1">
      <c r="A172" s="140" t="s">
        <v>425</v>
      </c>
      <c r="B172" s="141"/>
      <c r="C172" s="154"/>
      <c r="D172" s="141"/>
      <c r="E172" s="141"/>
      <c r="F172" s="141"/>
      <c r="G172" s="141"/>
      <c r="H172" s="141"/>
      <c r="J172" s="172"/>
      <c r="K172" s="15"/>
      <c r="L172" s="15"/>
    </row>
    <row r="173" spans="1:12" ht="27.6">
      <c r="A173" s="213" t="s">
        <v>426</v>
      </c>
      <c r="B173" s="220" t="s">
        <v>427</v>
      </c>
      <c r="C173" s="189" t="s">
        <v>428</v>
      </c>
      <c r="D173" s="176"/>
      <c r="E173" s="177" t="s">
        <v>64</v>
      </c>
      <c r="F173" s="177"/>
      <c r="G173" s="177" t="str">
        <f>_xlfn.IFNA(VLOOKUP(F173,'Abaques besoins fonctionnels'!$B$3:$C$5,2,0)," ")</f>
        <v xml:space="preserve"> </v>
      </c>
      <c r="H173" s="178"/>
    </row>
    <row r="174" spans="1:12" ht="41.4">
      <c r="A174" s="215"/>
      <c r="B174" s="221"/>
      <c r="C174" s="191" t="s">
        <v>429</v>
      </c>
      <c r="D174" s="180"/>
      <c r="E174" s="181" t="s">
        <v>64</v>
      </c>
      <c r="F174" s="181"/>
      <c r="G174" s="181" t="str">
        <f>_xlfn.IFNA(VLOOKUP(F174,'Abaques besoins fonctionnels'!$B$3:$C$5,2,0)," ")</f>
        <v xml:space="preserve"> </v>
      </c>
      <c r="H174" s="182" t="s">
        <v>430</v>
      </c>
    </row>
    <row r="175" spans="1:12" ht="27.6">
      <c r="A175" s="215"/>
      <c r="B175" s="217" t="s">
        <v>431</v>
      </c>
      <c r="C175" s="191" t="s">
        <v>432</v>
      </c>
      <c r="D175" s="180"/>
      <c r="E175" s="181" t="s">
        <v>64</v>
      </c>
      <c r="F175" s="181"/>
      <c r="G175" s="181" t="str">
        <f>_xlfn.IFNA(VLOOKUP(F175,'Abaques besoins fonctionnels'!$B$3:$C$5,2,0)," ")</f>
        <v xml:space="preserve"> </v>
      </c>
      <c r="H175" s="182" t="s">
        <v>433</v>
      </c>
    </row>
    <row r="176" spans="1:12" ht="41.4">
      <c r="A176" s="215"/>
      <c r="B176" s="221"/>
      <c r="C176" s="191" t="s">
        <v>434</v>
      </c>
      <c r="D176" s="180"/>
      <c r="E176" s="181" t="s">
        <v>64</v>
      </c>
      <c r="F176" s="181"/>
      <c r="G176" s="181" t="str">
        <f>_xlfn.IFNA(VLOOKUP(F176,'Abaques besoins fonctionnels'!$B$3:$C$5,2,0)," ")</f>
        <v xml:space="preserve"> </v>
      </c>
      <c r="H176" s="182" t="s">
        <v>435</v>
      </c>
    </row>
    <row r="177" spans="1:8" ht="41.4">
      <c r="A177" s="215"/>
      <c r="B177" s="217" t="s">
        <v>436</v>
      </c>
      <c r="C177" s="191" t="s">
        <v>437</v>
      </c>
      <c r="D177" s="180"/>
      <c r="E177" s="181" t="s">
        <v>64</v>
      </c>
      <c r="F177" s="181"/>
      <c r="G177" s="181" t="str">
        <f>_xlfn.IFNA(VLOOKUP(F177,'Abaques besoins fonctionnels'!$B$3:$C$5,2,0)," ")</f>
        <v xml:space="preserve"> </v>
      </c>
      <c r="H177" s="182" t="s">
        <v>438</v>
      </c>
    </row>
    <row r="178" spans="1:8" ht="55.2">
      <c r="A178" s="215"/>
      <c r="B178" s="188"/>
      <c r="C178" s="191" t="s">
        <v>439</v>
      </c>
      <c r="D178" s="180"/>
      <c r="E178" s="181" t="s">
        <v>440</v>
      </c>
      <c r="F178" s="181" t="s">
        <v>441</v>
      </c>
      <c r="G178" s="181">
        <f>_xlfn.IFNA(VLOOKUP(F178,'Abaques besoins fonctionnels'!$B$3:$C$5,2,0)," ")</f>
        <v>18</v>
      </c>
      <c r="H178" s="182" t="s">
        <v>442</v>
      </c>
    </row>
    <row r="179" spans="1:8" ht="66.75" customHeight="1">
      <c r="A179" s="215"/>
      <c r="B179" s="222" t="s">
        <v>443</v>
      </c>
      <c r="C179" s="191" t="s">
        <v>444</v>
      </c>
      <c r="D179" s="180"/>
      <c r="E179" s="181" t="s">
        <v>64</v>
      </c>
      <c r="F179" s="181"/>
      <c r="G179" s="181" t="str">
        <f>_xlfn.IFNA(VLOOKUP(F179,'Abaques besoins fonctionnels'!$B$3:$C$5,2,0)," ")</f>
        <v xml:space="preserve"> </v>
      </c>
      <c r="H179" s="182" t="s">
        <v>445</v>
      </c>
    </row>
    <row r="180" spans="1:8" ht="44.25" customHeight="1">
      <c r="A180" s="215"/>
      <c r="B180" s="217" t="s">
        <v>446</v>
      </c>
      <c r="C180" s="223" t="s">
        <v>447</v>
      </c>
      <c r="D180" s="180"/>
      <c r="E180" s="181" t="s">
        <v>64</v>
      </c>
      <c r="F180" s="181"/>
      <c r="G180" s="181" t="str">
        <f>_xlfn.IFNA(VLOOKUP(F180,'Abaques besoins fonctionnels'!$B$3:$C$5,2,0)," ")</f>
        <v xml:space="preserve"> </v>
      </c>
      <c r="H180" s="182" t="s">
        <v>448</v>
      </c>
    </row>
    <row r="181" spans="1:8" ht="27.6">
      <c r="A181" s="215"/>
      <c r="B181" s="221"/>
      <c r="C181" s="223" t="s">
        <v>449</v>
      </c>
      <c r="D181" s="180"/>
      <c r="E181" s="181" t="s">
        <v>64</v>
      </c>
      <c r="F181" s="181"/>
      <c r="G181" s="181" t="str">
        <f>_xlfn.IFNA(VLOOKUP(F181,'Abaques besoins fonctionnels'!$B$3:$C$5,2,0)," ")</f>
        <v xml:space="preserve"> </v>
      </c>
      <c r="H181" s="182" t="s">
        <v>448</v>
      </c>
    </row>
    <row r="182" spans="1:8" ht="27.6">
      <c r="A182" s="215"/>
      <c r="B182" s="221"/>
      <c r="C182" s="223" t="s">
        <v>450</v>
      </c>
      <c r="D182" s="180"/>
      <c r="E182" s="181" t="s">
        <v>440</v>
      </c>
      <c r="F182" s="181" t="s">
        <v>451</v>
      </c>
      <c r="G182" s="181" t="str">
        <f>_xlfn.IFNA(VLOOKUP(F182,'Abaques besoins fonctionnels'!$B$3:$C$5,2,0)," ")</f>
        <v xml:space="preserve"> </v>
      </c>
      <c r="H182" s="182" t="s">
        <v>452</v>
      </c>
    </row>
    <row r="183" spans="1:8" ht="41.4">
      <c r="A183" s="215"/>
      <c r="B183" s="217" t="s">
        <v>225</v>
      </c>
      <c r="C183" s="191" t="s">
        <v>453</v>
      </c>
      <c r="D183" s="180"/>
      <c r="E183" s="181" t="s">
        <v>64</v>
      </c>
      <c r="F183" s="181"/>
      <c r="G183" s="181" t="str">
        <f>_xlfn.IFNA(VLOOKUP(F183,'Abaques besoins fonctionnels'!$B$3:$C$5,2,0)," ")</f>
        <v xml:space="preserve"> </v>
      </c>
      <c r="H183" s="182" t="s">
        <v>454</v>
      </c>
    </row>
    <row r="184" spans="1:8" ht="41.4">
      <c r="A184" s="215"/>
      <c r="B184" s="221"/>
      <c r="C184" s="191" t="s">
        <v>455</v>
      </c>
      <c r="D184" s="180"/>
      <c r="E184" s="181" t="s">
        <v>78</v>
      </c>
      <c r="F184" s="181"/>
      <c r="G184" s="181" t="str">
        <f>_xlfn.IFNA(VLOOKUP(F184,'Abaques besoins fonctionnels'!$B$3:$C$5,2,0)," ")</f>
        <v xml:space="preserve"> </v>
      </c>
      <c r="H184" s="182" t="s">
        <v>456</v>
      </c>
    </row>
    <row r="185" spans="1:8" ht="151.80000000000001">
      <c r="A185" s="215"/>
      <c r="B185" s="217" t="s">
        <v>457</v>
      </c>
      <c r="C185" s="191" t="s">
        <v>458</v>
      </c>
      <c r="D185" s="180"/>
      <c r="E185" s="181" t="s">
        <v>64</v>
      </c>
      <c r="F185" s="181"/>
      <c r="G185" s="181" t="str">
        <f>_xlfn.IFNA(VLOOKUP(F185,'Abaques besoins fonctionnels'!$B$3:$C$5,2,0)," ")</f>
        <v xml:space="preserve"> </v>
      </c>
      <c r="H185" s="182" t="s">
        <v>459</v>
      </c>
    </row>
    <row r="186" spans="1:8" ht="96.6">
      <c r="A186" s="215"/>
      <c r="B186" s="221"/>
      <c r="C186" s="191" t="s">
        <v>460</v>
      </c>
      <c r="D186" s="180"/>
      <c r="E186" s="181" t="s">
        <v>64</v>
      </c>
      <c r="F186" s="181"/>
      <c r="G186" s="181" t="str">
        <f>_xlfn.IFNA(VLOOKUP(F186,'Abaques besoins fonctionnels'!$B$3:$C$5,2,0)," ")</f>
        <v xml:space="preserve"> </v>
      </c>
      <c r="H186" s="182" t="s">
        <v>461</v>
      </c>
    </row>
    <row r="187" spans="1:8" ht="110.4">
      <c r="A187" s="215"/>
      <c r="B187" s="217" t="s">
        <v>462</v>
      </c>
      <c r="C187" s="191" t="s">
        <v>463</v>
      </c>
      <c r="D187" s="180"/>
      <c r="E187" s="181" t="s">
        <v>64</v>
      </c>
      <c r="F187" s="181"/>
      <c r="G187" s="181" t="str">
        <f>_xlfn.IFNA(VLOOKUP(F187,'Abaques besoins fonctionnels'!$B$3:$C$5,2,0)," ")</f>
        <v xml:space="preserve"> </v>
      </c>
      <c r="H187" s="182" t="s">
        <v>464</v>
      </c>
    </row>
    <row r="188" spans="1:8" ht="41.4">
      <c r="A188" s="215"/>
      <c r="B188" s="221"/>
      <c r="C188" s="191" t="s">
        <v>465</v>
      </c>
      <c r="D188" s="180"/>
      <c r="E188" s="181" t="s">
        <v>64</v>
      </c>
      <c r="F188" s="181"/>
      <c r="G188" s="181"/>
      <c r="H188" s="182" t="s">
        <v>466</v>
      </c>
    </row>
    <row r="189" spans="1:8" ht="27.6">
      <c r="A189" s="215"/>
      <c r="B189" s="217" t="s">
        <v>467</v>
      </c>
      <c r="C189" s="191" t="s">
        <v>468</v>
      </c>
      <c r="D189" s="180"/>
      <c r="E189" s="181" t="s">
        <v>189</v>
      </c>
      <c r="F189" s="181"/>
      <c r="G189" s="181" t="str">
        <f>_xlfn.IFNA(VLOOKUP(F189,'Abaques besoins fonctionnels'!$B$3:$C$5,2,0)," ")</f>
        <v xml:space="preserve"> </v>
      </c>
      <c r="H189" s="182" t="s">
        <v>469</v>
      </c>
    </row>
    <row r="190" spans="1:8" ht="82.8">
      <c r="A190" s="215"/>
      <c r="B190" s="221"/>
      <c r="C190" s="191" t="s">
        <v>470</v>
      </c>
      <c r="D190" s="180"/>
      <c r="E190" s="181" t="s">
        <v>189</v>
      </c>
      <c r="F190" s="181"/>
      <c r="G190" s="181" t="str">
        <f>_xlfn.IFNA(VLOOKUP(F190,'Abaques besoins fonctionnels'!$B$3:$C$5,2,0)," ")</f>
        <v xml:space="preserve"> </v>
      </c>
      <c r="H190" s="182" t="s">
        <v>471</v>
      </c>
    </row>
    <row r="191" spans="1:8" ht="69">
      <c r="A191" s="215"/>
      <c r="B191" s="217" t="s">
        <v>472</v>
      </c>
      <c r="C191" s="191" t="s">
        <v>473</v>
      </c>
      <c r="D191" s="180"/>
      <c r="E191" s="181" t="s">
        <v>64</v>
      </c>
      <c r="F191" s="181"/>
      <c r="G191" s="181" t="str">
        <f>_xlfn.IFNA(VLOOKUP(F191,'Abaques besoins fonctionnels'!$B$3:$C$5,2,0)," ")</f>
        <v xml:space="preserve"> </v>
      </c>
      <c r="H191" s="182" t="s">
        <v>461</v>
      </c>
    </row>
    <row r="192" spans="1:8" ht="82.8">
      <c r="A192" s="215"/>
      <c r="B192" s="221"/>
      <c r="C192" s="191" t="s">
        <v>474</v>
      </c>
      <c r="D192" s="180"/>
      <c r="E192" s="181" t="s">
        <v>64</v>
      </c>
      <c r="F192" s="181"/>
      <c r="G192" s="181" t="str">
        <f>_xlfn.IFNA(VLOOKUP(F192,'Abaques besoins fonctionnels'!$B$3:$C$5,2,0)," ")</f>
        <v xml:space="preserve"> </v>
      </c>
      <c r="H192" s="182" t="s">
        <v>475</v>
      </c>
    </row>
    <row r="193" spans="1:12" ht="82.8">
      <c r="A193" s="215"/>
      <c r="B193" s="217" t="s">
        <v>476</v>
      </c>
      <c r="C193" s="191" t="s">
        <v>477</v>
      </c>
      <c r="D193" s="180"/>
      <c r="E193" s="181" t="s">
        <v>64</v>
      </c>
      <c r="F193" s="181"/>
      <c r="G193" s="181" t="str">
        <f>_xlfn.IFNA(VLOOKUP(F193,'Abaques besoins fonctionnels'!$B$3:$C$5,2,0)," ")</f>
        <v xml:space="preserve"> </v>
      </c>
      <c r="H193" s="182" t="s">
        <v>478</v>
      </c>
    </row>
    <row r="194" spans="1:12" ht="110.4">
      <c r="A194" s="215"/>
      <c r="B194" s="188"/>
      <c r="C194" s="191" t="s">
        <v>479</v>
      </c>
      <c r="D194" s="180"/>
      <c r="E194" s="181" t="s">
        <v>64</v>
      </c>
      <c r="F194" s="181"/>
      <c r="G194" s="181" t="str">
        <f>_xlfn.IFNA(VLOOKUP(F194,'Abaques besoins fonctionnels'!$B$3:$C$5,2,0)," ")</f>
        <v xml:space="preserve"> </v>
      </c>
      <c r="H194" s="182"/>
    </row>
    <row r="195" spans="1:12" ht="27.6">
      <c r="A195" s="214"/>
      <c r="B195" s="222" t="s">
        <v>480</v>
      </c>
      <c r="C195" s="191" t="s">
        <v>481</v>
      </c>
      <c r="D195" s="180"/>
      <c r="E195" s="181" t="s">
        <v>64</v>
      </c>
      <c r="F195" s="181"/>
      <c r="G195" s="181" t="str">
        <f>_xlfn.IFNA(VLOOKUP(F195,'Abaques besoins fonctionnels'!$B$3:$C$5,2,0)," ")</f>
        <v xml:space="preserve"> </v>
      </c>
      <c r="H195" s="182" t="s">
        <v>482</v>
      </c>
    </row>
    <row r="196" spans="1:12" ht="124.2">
      <c r="A196" s="215"/>
      <c r="B196" s="224" t="s">
        <v>483</v>
      </c>
      <c r="C196" s="191" t="s">
        <v>484</v>
      </c>
      <c r="D196" s="180"/>
      <c r="E196" s="181" t="s">
        <v>440</v>
      </c>
      <c r="F196" s="181" t="s">
        <v>441</v>
      </c>
      <c r="G196" s="181">
        <f>_xlfn.IFNA(VLOOKUP(F196,'Abaques besoins fonctionnels'!$B$3:$C$5,2,0)," ")</f>
        <v>18</v>
      </c>
      <c r="H196" s="182" t="s">
        <v>485</v>
      </c>
    </row>
    <row r="197" spans="1:12" ht="41.4">
      <c r="A197" s="215"/>
      <c r="B197" s="221"/>
      <c r="C197" s="191" t="s">
        <v>486</v>
      </c>
      <c r="D197" s="180"/>
      <c r="E197" s="181" t="s">
        <v>64</v>
      </c>
      <c r="F197" s="181"/>
      <c r="G197" s="181" t="str">
        <f>_xlfn.IFNA(VLOOKUP(F197,'Abaques besoins fonctionnels'!$B$3:$C$5,2,0)," ")</f>
        <v xml:space="preserve"> </v>
      </c>
      <c r="H197" s="182" t="s">
        <v>487</v>
      </c>
    </row>
    <row r="198" spans="1:12" ht="27.6">
      <c r="A198" s="215"/>
      <c r="B198" s="221"/>
      <c r="C198" s="191" t="s">
        <v>488</v>
      </c>
      <c r="D198" s="180"/>
      <c r="E198" s="181" t="s">
        <v>64</v>
      </c>
      <c r="F198" s="181"/>
      <c r="G198" s="181" t="str">
        <f>_xlfn.IFNA(VLOOKUP(F198,'Abaques besoins fonctionnels'!$B$3:$C$5,2,0)," ")</f>
        <v xml:space="preserve"> </v>
      </c>
      <c r="H198" s="182" t="s">
        <v>489</v>
      </c>
    </row>
    <row r="199" spans="1:12" ht="41.4">
      <c r="A199" s="215"/>
      <c r="B199" s="224" t="s">
        <v>490</v>
      </c>
      <c r="C199" s="191" t="s">
        <v>491</v>
      </c>
      <c r="D199" s="180"/>
      <c r="E199" s="181" t="s">
        <v>64</v>
      </c>
      <c r="F199" s="181"/>
      <c r="G199" s="181" t="str">
        <f>_xlfn.IFNA(VLOOKUP(F199,'Abaques besoins fonctionnels'!$B$3:$C$5,2,0)," ")</f>
        <v xml:space="preserve"> </v>
      </c>
      <c r="H199" s="182"/>
    </row>
    <row r="200" spans="1:12" ht="69.599999999999994" thickBot="1">
      <c r="A200" s="225"/>
      <c r="B200" s="226"/>
      <c r="C200" s="197" t="s">
        <v>492</v>
      </c>
      <c r="D200" s="198"/>
      <c r="E200" s="199" t="s">
        <v>189</v>
      </c>
      <c r="F200" s="199"/>
      <c r="G200" s="199" t="str">
        <f>_xlfn.IFNA(VLOOKUP(F200,'Abaques besoins fonctionnels'!$B$3:$C$5,2,0)," ")</f>
        <v xml:space="preserve"> </v>
      </c>
      <c r="H200" s="200" t="s">
        <v>493</v>
      </c>
    </row>
    <row r="201" spans="1:12" ht="15" thickBot="1">
      <c r="G201" s="209" t="str">
        <f>_xlfn.IFNA(VLOOKUP(F198,'Abaques besoins fonctionnels'!$B$3:$C$5,2,0)," ")</f>
        <v xml:space="preserve"> </v>
      </c>
    </row>
    <row r="202" spans="1:12" s="18" customFormat="1" ht="16.2" thickBot="1">
      <c r="A202" s="140" t="s">
        <v>494</v>
      </c>
      <c r="B202" s="141"/>
      <c r="C202" s="154"/>
      <c r="D202" s="154"/>
      <c r="E202" s="154"/>
      <c r="F202" s="154"/>
      <c r="G202" s="154"/>
      <c r="H202" s="154"/>
      <c r="J202" s="172"/>
      <c r="K202" s="15"/>
      <c r="L202" s="15"/>
    </row>
    <row r="203" spans="1:12" ht="27.6">
      <c r="A203" s="213" t="s">
        <v>495</v>
      </c>
      <c r="B203" s="227" t="s">
        <v>496</v>
      </c>
      <c r="C203" s="189" t="s">
        <v>497</v>
      </c>
      <c r="D203" s="176"/>
      <c r="E203" s="177" t="s">
        <v>64</v>
      </c>
      <c r="F203" s="177"/>
      <c r="G203" s="177" t="str">
        <f>_xlfn.IFNA(VLOOKUP(F203,'Abaques besoins fonctionnels'!$B$3:$C$5,2,0)," ")</f>
        <v xml:space="preserve"> </v>
      </c>
      <c r="H203" s="178"/>
    </row>
    <row r="204" spans="1:12" ht="41.4">
      <c r="A204" s="214"/>
      <c r="B204" s="228"/>
      <c r="C204" s="191" t="s">
        <v>498</v>
      </c>
      <c r="D204" s="180"/>
      <c r="E204" s="181" t="s">
        <v>64</v>
      </c>
      <c r="F204" s="181"/>
      <c r="G204" s="181" t="str">
        <f>_xlfn.IFNA(VLOOKUP(F204,'Abaques besoins fonctionnels'!$B$3:$C$5,2,0)," ")</f>
        <v xml:space="preserve"> </v>
      </c>
      <c r="H204" s="182" t="s">
        <v>499</v>
      </c>
    </row>
    <row r="205" spans="1:12" ht="27.6">
      <c r="A205" s="214"/>
      <c r="B205" s="227" t="s">
        <v>500</v>
      </c>
      <c r="C205" s="191" t="s">
        <v>501</v>
      </c>
      <c r="D205" s="180"/>
      <c r="E205" s="181" t="s">
        <v>64</v>
      </c>
      <c r="F205" s="181"/>
      <c r="G205" s="181" t="str">
        <f>_xlfn.IFNA(VLOOKUP(F205,'Abaques besoins fonctionnels'!$B$3:$C$5,2,0)," ")</f>
        <v xml:space="preserve"> </v>
      </c>
      <c r="H205" s="182"/>
    </row>
    <row r="206" spans="1:12" ht="55.2">
      <c r="A206" s="214"/>
      <c r="B206" s="228"/>
      <c r="C206" s="191" t="s">
        <v>502</v>
      </c>
      <c r="D206" s="180"/>
      <c r="E206" s="181" t="s">
        <v>64</v>
      </c>
      <c r="F206" s="181"/>
      <c r="G206" s="181" t="str">
        <f>_xlfn.IFNA(VLOOKUP(F206,'Abaques besoins fonctionnels'!$B$3:$C$5,2,0)," ")</f>
        <v xml:space="preserve"> </v>
      </c>
      <c r="H206" s="182"/>
    </row>
    <row r="207" spans="1:12" ht="27.6">
      <c r="A207" s="214"/>
      <c r="B207" s="227" t="s">
        <v>503</v>
      </c>
      <c r="C207" s="191" t="s">
        <v>504</v>
      </c>
      <c r="D207" s="180"/>
      <c r="E207" s="181" t="s">
        <v>64</v>
      </c>
      <c r="F207" s="181"/>
      <c r="G207" s="181" t="str">
        <f>_xlfn.IFNA(VLOOKUP(F207,'Abaques besoins fonctionnels'!$B$3:$C$5,2,0)," ")</f>
        <v xml:space="preserve"> </v>
      </c>
      <c r="H207" s="182"/>
    </row>
    <row r="208" spans="1:12" ht="41.4">
      <c r="A208" s="214"/>
      <c r="B208" s="229"/>
      <c r="C208" s="191" t="s">
        <v>505</v>
      </c>
      <c r="D208" s="180"/>
      <c r="E208" s="181" t="s">
        <v>64</v>
      </c>
      <c r="F208" s="181"/>
      <c r="G208" s="181" t="str">
        <f>_xlfn.IFNA(VLOOKUP(F208,'Abaques besoins fonctionnels'!$B$3:$C$5,2,0)," ")</f>
        <v xml:space="preserve"> </v>
      </c>
      <c r="H208" s="182" t="s">
        <v>506</v>
      </c>
    </row>
    <row r="209" spans="1:8" ht="41.4">
      <c r="A209" s="214"/>
      <c r="B209" s="230" t="s">
        <v>507</v>
      </c>
      <c r="C209" s="191" t="s">
        <v>508</v>
      </c>
      <c r="D209" s="180"/>
      <c r="E209" s="181" t="s">
        <v>64</v>
      </c>
      <c r="F209" s="181"/>
      <c r="G209" s="181" t="str">
        <f>_xlfn.IFNA(VLOOKUP(F209,'Abaques besoins fonctionnels'!$B$3:$C$5,2,0)," ")</f>
        <v xml:space="preserve"> </v>
      </c>
      <c r="H209" s="182" t="s">
        <v>509</v>
      </c>
    </row>
    <row r="210" spans="1:8" ht="41.4">
      <c r="A210" s="214"/>
      <c r="B210" s="231" t="s">
        <v>510</v>
      </c>
      <c r="C210" s="191" t="s">
        <v>511</v>
      </c>
      <c r="D210" s="180"/>
      <c r="E210" s="181" t="s">
        <v>64</v>
      </c>
      <c r="F210" s="181"/>
      <c r="G210" s="181" t="str">
        <f>_xlfn.IFNA(VLOOKUP(F210,'Abaques besoins fonctionnels'!$B$3:$C$5,2,0)," ")</f>
        <v xml:space="preserve"> </v>
      </c>
      <c r="H210" s="182" t="s">
        <v>512</v>
      </c>
    </row>
    <row r="211" spans="1:8" ht="41.4">
      <c r="A211" s="214"/>
      <c r="B211" s="227"/>
      <c r="C211" s="191" t="s">
        <v>513</v>
      </c>
      <c r="D211" s="180"/>
      <c r="E211" s="181" t="s">
        <v>64</v>
      </c>
      <c r="F211" s="181"/>
      <c r="G211" s="181" t="str">
        <f>_xlfn.IFNA(VLOOKUP(F211,'Abaques besoins fonctionnels'!$B$3:$C$5,2,0)," ")</f>
        <v xml:space="preserve"> </v>
      </c>
      <c r="H211" s="182"/>
    </row>
    <row r="212" spans="1:8" ht="41.4">
      <c r="A212" s="214"/>
      <c r="B212" s="227" t="s">
        <v>514</v>
      </c>
      <c r="C212" s="191" t="s">
        <v>515</v>
      </c>
      <c r="D212" s="180"/>
      <c r="E212" s="181" t="s">
        <v>64</v>
      </c>
      <c r="F212" s="181"/>
      <c r="G212" s="181" t="str">
        <f>_xlfn.IFNA(VLOOKUP(F212,'Abaques besoins fonctionnels'!$B$3:$C$5,2,0)," ")</f>
        <v xml:space="preserve"> </v>
      </c>
      <c r="H212" s="182"/>
    </row>
    <row r="213" spans="1:8" ht="41.4">
      <c r="A213" s="214"/>
      <c r="B213" s="227"/>
      <c r="C213" s="191" t="s">
        <v>516</v>
      </c>
      <c r="D213" s="180"/>
      <c r="E213" s="181" t="s">
        <v>64</v>
      </c>
      <c r="F213" s="181"/>
      <c r="G213" s="181" t="str">
        <f>_xlfn.IFNA(VLOOKUP(F213,'Abaques besoins fonctionnels'!$B$3:$C$5,2,0)," ")</f>
        <v xml:space="preserve"> </v>
      </c>
      <c r="H213" s="182"/>
    </row>
    <row r="214" spans="1:8" ht="41.4">
      <c r="A214" s="214"/>
      <c r="B214" s="228"/>
      <c r="C214" s="191" t="s">
        <v>517</v>
      </c>
      <c r="D214" s="180"/>
      <c r="E214" s="181" t="s">
        <v>64</v>
      </c>
      <c r="F214" s="181"/>
      <c r="G214" s="181" t="str">
        <f>_xlfn.IFNA(VLOOKUP(F214,'Abaques besoins fonctionnels'!$B$3:$C$5,2,0)," ")</f>
        <v xml:space="preserve"> </v>
      </c>
      <c r="H214" s="182"/>
    </row>
    <row r="215" spans="1:8" ht="110.4">
      <c r="A215" s="214"/>
      <c r="B215" s="232" t="s">
        <v>518</v>
      </c>
      <c r="C215" s="191" t="s">
        <v>519</v>
      </c>
      <c r="D215" s="180"/>
      <c r="E215" s="181" t="s">
        <v>64</v>
      </c>
      <c r="F215" s="181"/>
      <c r="G215" s="181" t="str">
        <f>_xlfn.IFNA(VLOOKUP(F215,'Abaques besoins fonctionnels'!$B$3:$C$5,2,0)," ")</f>
        <v xml:space="preserve"> </v>
      </c>
      <c r="H215" s="182"/>
    </row>
    <row r="216" spans="1:8" ht="41.4">
      <c r="A216" s="214"/>
      <c r="B216" s="227" t="s">
        <v>520</v>
      </c>
      <c r="C216" s="191" t="s">
        <v>521</v>
      </c>
      <c r="D216" s="180"/>
      <c r="E216" s="181" t="s">
        <v>64</v>
      </c>
      <c r="F216" s="181"/>
      <c r="G216" s="181" t="str">
        <f>_xlfn.IFNA(VLOOKUP(F216,'Abaques besoins fonctionnels'!$B$3:$C$5,2,0)," ")</f>
        <v xml:space="preserve"> </v>
      </c>
      <c r="H216" s="182"/>
    </row>
    <row r="217" spans="1:8" ht="27.6">
      <c r="A217" s="214"/>
      <c r="B217" s="227"/>
      <c r="C217" s="191" t="s">
        <v>522</v>
      </c>
      <c r="D217" s="180"/>
      <c r="E217" s="181" t="s">
        <v>64</v>
      </c>
      <c r="F217" s="181"/>
      <c r="G217" s="181" t="str">
        <f>_xlfn.IFNA(VLOOKUP(F217,'Abaques besoins fonctionnels'!$B$3:$C$5,2,0)," ")</f>
        <v xml:space="preserve"> </v>
      </c>
      <c r="H217" s="182"/>
    </row>
    <row r="218" spans="1:8" ht="27.6">
      <c r="A218" s="214"/>
      <c r="B218" s="228"/>
      <c r="C218" s="191" t="s">
        <v>523</v>
      </c>
      <c r="D218" s="180"/>
      <c r="E218" s="181" t="s">
        <v>64</v>
      </c>
      <c r="F218" s="181"/>
      <c r="G218" s="181" t="str">
        <f>_xlfn.IFNA(VLOOKUP(F218,'Abaques besoins fonctionnels'!$B$3:$C$5,2,0)," ")</f>
        <v xml:space="preserve"> </v>
      </c>
      <c r="H218" s="182"/>
    </row>
    <row r="219" spans="1:8" ht="82.8">
      <c r="A219" s="214"/>
      <c r="B219" s="232" t="s">
        <v>524</v>
      </c>
      <c r="C219" s="191" t="s">
        <v>525</v>
      </c>
      <c r="D219" s="180"/>
      <c r="E219" s="181" t="s">
        <v>64</v>
      </c>
      <c r="F219" s="181"/>
      <c r="G219" s="181" t="str">
        <f>_xlfn.IFNA(VLOOKUP(F219,'Abaques besoins fonctionnels'!$B$3:$C$5,2,0)," ")</f>
        <v xml:space="preserve"> </v>
      </c>
      <c r="H219" s="182"/>
    </row>
    <row r="220" spans="1:8" ht="55.2">
      <c r="A220" s="214"/>
      <c r="B220" s="230" t="s">
        <v>526</v>
      </c>
      <c r="C220" s="206" t="s">
        <v>527</v>
      </c>
      <c r="D220" s="207"/>
      <c r="E220" s="181" t="s">
        <v>64</v>
      </c>
      <c r="F220" s="181"/>
      <c r="G220" s="181" t="str">
        <f>_xlfn.IFNA(VLOOKUP(F220,'Abaques besoins fonctionnels'!$B$3:$C$5,2,0)," ")</f>
        <v xml:space="preserve"> </v>
      </c>
      <c r="H220" s="182"/>
    </row>
    <row r="221" spans="1:8" ht="55.2">
      <c r="A221" s="214"/>
      <c r="B221" s="233" t="s">
        <v>528</v>
      </c>
      <c r="C221" s="191" t="s">
        <v>529</v>
      </c>
      <c r="D221" s="180"/>
      <c r="E221" s="181" t="s">
        <v>64</v>
      </c>
      <c r="F221" s="181"/>
      <c r="G221" s="181" t="str">
        <f>_xlfn.IFNA(VLOOKUP(F221,'Abaques besoins fonctionnels'!$B$3:$C$5,2,0)," ")</f>
        <v xml:space="preserve"> </v>
      </c>
      <c r="H221" s="182"/>
    </row>
    <row r="222" spans="1:8" ht="27.6">
      <c r="A222" s="214"/>
      <c r="B222" s="234"/>
      <c r="C222" s="191" t="s">
        <v>530</v>
      </c>
      <c r="D222" s="180"/>
      <c r="E222" s="181" t="s">
        <v>64</v>
      </c>
      <c r="F222" s="181"/>
      <c r="G222" s="181" t="str">
        <f>_xlfn.IFNA(VLOOKUP(F222,'Abaques besoins fonctionnels'!$B$3:$C$5,2,0)," ")</f>
        <v xml:space="preserve"> </v>
      </c>
      <c r="H222" s="182"/>
    </row>
    <row r="223" spans="1:8" ht="41.4">
      <c r="A223" s="214"/>
      <c r="B223" s="234"/>
      <c r="C223" s="191" t="s">
        <v>531</v>
      </c>
      <c r="D223" s="180"/>
      <c r="E223" s="181" t="s">
        <v>64</v>
      </c>
      <c r="F223" s="181"/>
      <c r="G223" s="181" t="str">
        <f>_xlfn.IFNA(VLOOKUP(F223,'Abaques besoins fonctionnels'!$B$3:$C$5,2,0)," ")</f>
        <v xml:space="preserve"> </v>
      </c>
      <c r="H223" s="182"/>
    </row>
    <row r="224" spans="1:8" ht="27.6">
      <c r="A224" s="214"/>
      <c r="B224" s="235"/>
      <c r="C224" s="191" t="s">
        <v>532</v>
      </c>
      <c r="D224" s="180"/>
      <c r="E224" s="181" t="s">
        <v>64</v>
      </c>
      <c r="F224" s="181"/>
      <c r="G224" s="181" t="str">
        <f>_xlfn.IFNA(VLOOKUP(F224,'Abaques besoins fonctionnels'!$B$3:$C$5,2,0)," ")</f>
        <v xml:space="preserve"> </v>
      </c>
      <c r="H224" s="182" t="s">
        <v>533</v>
      </c>
    </row>
    <row r="225" spans="1:10" ht="27.6">
      <c r="A225" s="214"/>
      <c r="B225" s="233" t="s">
        <v>534</v>
      </c>
      <c r="C225" s="191" t="s">
        <v>535</v>
      </c>
      <c r="D225" s="180"/>
      <c r="E225" s="181" t="s">
        <v>64</v>
      </c>
      <c r="F225" s="181"/>
      <c r="G225" s="181" t="str">
        <f>_xlfn.IFNA(VLOOKUP(F225,'Abaques besoins fonctionnels'!$B$3:$C$5,2,0)," ")</f>
        <v xml:space="preserve"> </v>
      </c>
      <c r="H225" s="182" t="s">
        <v>536</v>
      </c>
    </row>
    <row r="226" spans="1:10" ht="82.8">
      <c r="A226" s="214"/>
      <c r="B226" s="234"/>
      <c r="C226" s="206" t="s">
        <v>537</v>
      </c>
      <c r="D226" s="207"/>
      <c r="E226" s="181" t="s">
        <v>440</v>
      </c>
      <c r="F226" s="181" t="s">
        <v>538</v>
      </c>
      <c r="G226" s="181">
        <f>_xlfn.IFNA(VLOOKUP(F226,'Abaques besoins fonctionnels'!$B$3:$C$5,2,0)," ")</f>
        <v>28</v>
      </c>
      <c r="H226" s="182" t="s">
        <v>539</v>
      </c>
    </row>
    <row r="227" spans="1:10" ht="82.8">
      <c r="A227" s="214"/>
      <c r="B227" s="234"/>
      <c r="C227" s="191" t="s">
        <v>540</v>
      </c>
      <c r="D227" s="180"/>
      <c r="E227" s="181" t="s">
        <v>440</v>
      </c>
      <c r="F227" s="181" t="s">
        <v>538</v>
      </c>
      <c r="G227" s="181">
        <f>_xlfn.IFNA(VLOOKUP(F227,'Abaques besoins fonctionnels'!$B$3:$C$5,2,0)," ")</f>
        <v>28</v>
      </c>
      <c r="H227" s="182" t="s">
        <v>541</v>
      </c>
    </row>
    <row r="228" spans="1:10" ht="41.4">
      <c r="A228" s="214"/>
      <c r="B228" s="235"/>
      <c r="C228" s="191" t="s">
        <v>542</v>
      </c>
      <c r="D228" s="180"/>
      <c r="E228" s="181" t="s">
        <v>64</v>
      </c>
      <c r="F228" s="181"/>
      <c r="G228" s="181" t="str">
        <f>_xlfn.IFNA(VLOOKUP(F228,'Abaques besoins fonctionnels'!$B$3:$C$5,2,0)," ")</f>
        <v xml:space="preserve"> </v>
      </c>
      <c r="H228" s="182" t="s">
        <v>543</v>
      </c>
    </row>
    <row r="229" spans="1:10" ht="165.6">
      <c r="A229" s="214"/>
      <c r="B229" s="230" t="s">
        <v>544</v>
      </c>
      <c r="C229" s="191" t="s">
        <v>545</v>
      </c>
      <c r="D229" s="180"/>
      <c r="E229" s="181" t="s">
        <v>189</v>
      </c>
      <c r="F229" s="181"/>
      <c r="G229" s="181" t="str">
        <f>_xlfn.IFNA(VLOOKUP(F229,'Abaques besoins fonctionnels'!$B$3:$C$5,2,0)," ")</f>
        <v xml:space="preserve"> </v>
      </c>
      <c r="H229" s="182" t="s">
        <v>546</v>
      </c>
    </row>
    <row r="230" spans="1:10" ht="110.4">
      <c r="A230" s="214"/>
      <c r="B230" s="227" t="s">
        <v>547</v>
      </c>
      <c r="C230" s="191" t="s">
        <v>548</v>
      </c>
      <c r="D230" s="180"/>
      <c r="E230" s="181" t="s">
        <v>189</v>
      </c>
      <c r="F230" s="181"/>
      <c r="G230" s="181" t="str">
        <f>_xlfn.IFNA(VLOOKUP(F230,'Abaques besoins fonctionnels'!$B$3:$C$5,2,0)," ")</f>
        <v xml:space="preserve"> </v>
      </c>
      <c r="H230" s="182" t="s">
        <v>546</v>
      </c>
    </row>
    <row r="231" spans="1:10" ht="89.25" customHeight="1">
      <c r="A231" s="214"/>
      <c r="B231" s="229"/>
      <c r="C231" s="191" t="s">
        <v>549</v>
      </c>
      <c r="D231" s="180"/>
      <c r="E231" s="181" t="s">
        <v>189</v>
      </c>
      <c r="F231" s="181"/>
      <c r="G231" s="181" t="str">
        <f>_xlfn.IFNA(VLOOKUP(F231,'Abaques besoins fonctionnels'!$B$3:$C$5,2,0)," ")</f>
        <v xml:space="preserve"> </v>
      </c>
      <c r="H231" s="182" t="s">
        <v>546</v>
      </c>
    </row>
    <row r="232" spans="1:10" ht="62.55" customHeight="1">
      <c r="A232" s="214"/>
      <c r="B232" s="230" t="s">
        <v>550</v>
      </c>
      <c r="C232" s="206" t="s">
        <v>551</v>
      </c>
      <c r="D232" s="207"/>
      <c r="E232" s="181" t="s">
        <v>189</v>
      </c>
      <c r="F232" s="181"/>
      <c r="G232" s="181" t="str">
        <f>_xlfn.IFNA(VLOOKUP(F232,'Abaques besoins fonctionnels'!$B$3:$C$5,2,0)," ")</f>
        <v xml:space="preserve"> </v>
      </c>
      <c r="H232" s="182" t="s">
        <v>552</v>
      </c>
    </row>
    <row r="233" spans="1:10" ht="83.4" thickBot="1">
      <c r="A233" s="218"/>
      <c r="B233" s="236" t="s">
        <v>553</v>
      </c>
      <c r="C233" s="197" t="s">
        <v>554</v>
      </c>
      <c r="D233" s="198"/>
      <c r="E233" s="199" t="s">
        <v>64</v>
      </c>
      <c r="F233" s="199"/>
      <c r="G233" s="199" t="str">
        <f>_xlfn.IFNA(VLOOKUP(F233,'Abaques besoins fonctionnels'!$B$3:$C$5,2,0)," ")</f>
        <v xml:space="preserve"> </v>
      </c>
      <c r="H233" s="200" t="s">
        <v>555</v>
      </c>
    </row>
    <row r="234" spans="1:10" ht="15" thickBot="1">
      <c r="G234" s="209" t="str">
        <f>_xlfn.IFNA(VLOOKUP(F231,'Abaques besoins fonctionnels'!$B$3:$C$5,2,0)," ")</f>
        <v xml:space="preserve"> </v>
      </c>
    </row>
    <row r="235" spans="1:10" s="18" customFormat="1" ht="16.2" thickBot="1">
      <c r="A235" s="140" t="s">
        <v>556</v>
      </c>
      <c r="B235" s="141"/>
      <c r="C235" s="154"/>
      <c r="D235" s="141"/>
      <c r="E235" s="141"/>
      <c r="F235" s="141"/>
      <c r="G235" s="141"/>
      <c r="H235" s="141"/>
      <c r="J235" s="172"/>
    </row>
    <row r="236" spans="1:10" ht="82.8">
      <c r="A236" s="213" t="s">
        <v>557</v>
      </c>
      <c r="B236" s="224" t="s">
        <v>558</v>
      </c>
      <c r="C236" s="189" t="s">
        <v>559</v>
      </c>
      <c r="D236" s="176"/>
      <c r="E236" s="177" t="s">
        <v>64</v>
      </c>
      <c r="F236" s="177"/>
      <c r="G236" s="177" t="str">
        <f>_xlfn.IFNA(VLOOKUP(F236,'Abaques besoins fonctionnels'!$B$3:$C$5,2,0)," ")</f>
        <v xml:space="preserve"> </v>
      </c>
      <c r="H236" s="178" t="s">
        <v>560</v>
      </c>
    </row>
    <row r="237" spans="1:10" ht="27.6">
      <c r="A237" s="214"/>
      <c r="B237" s="237"/>
      <c r="C237" s="191" t="s">
        <v>561</v>
      </c>
      <c r="D237" s="180"/>
      <c r="E237" s="181" t="s">
        <v>194</v>
      </c>
      <c r="F237" s="181"/>
      <c r="G237" s="181" t="str">
        <f>_xlfn.IFNA(VLOOKUP(F237,'Abaques besoins fonctionnels'!$B$3:$C$5,2,0)," ")</f>
        <v xml:space="preserve"> </v>
      </c>
      <c r="H237" s="182" t="s">
        <v>562</v>
      </c>
    </row>
    <row r="238" spans="1:10" ht="96.6">
      <c r="A238" s="214"/>
      <c r="B238" s="224" t="s">
        <v>563</v>
      </c>
      <c r="C238" s="191" t="s">
        <v>564</v>
      </c>
      <c r="D238" s="180"/>
      <c r="E238" s="181" t="s">
        <v>64</v>
      </c>
      <c r="F238" s="181"/>
      <c r="G238" s="181" t="str">
        <f>_xlfn.IFNA(VLOOKUP(F238,'Abaques besoins fonctionnels'!$B$3:$C$5,2,0)," ")</f>
        <v xml:space="preserve"> </v>
      </c>
      <c r="H238" s="182" t="s">
        <v>565</v>
      </c>
    </row>
    <row r="239" spans="1:10" ht="55.2">
      <c r="A239" s="214"/>
      <c r="B239" s="238"/>
      <c r="C239" s="191" t="s">
        <v>566</v>
      </c>
      <c r="D239" s="180"/>
      <c r="E239" s="181" t="s">
        <v>78</v>
      </c>
      <c r="F239" s="181"/>
      <c r="G239" s="181" t="str">
        <f>_xlfn.IFNA(VLOOKUP(F239,'Abaques besoins fonctionnels'!$B$3:$C$5,2,0)," ")</f>
        <v xml:space="preserve"> </v>
      </c>
      <c r="H239" s="182" t="s">
        <v>567</v>
      </c>
    </row>
    <row r="240" spans="1:10">
      <c r="A240" s="214"/>
      <c r="B240" s="238"/>
      <c r="C240" s="191" t="s">
        <v>568</v>
      </c>
      <c r="D240" s="180"/>
      <c r="E240" s="181" t="s">
        <v>78</v>
      </c>
      <c r="F240" s="181"/>
      <c r="G240" s="181" t="str">
        <f>_xlfn.IFNA(VLOOKUP(F240,'Abaques besoins fonctionnels'!$B$3:$C$5,2,0)," ")</f>
        <v xml:space="preserve"> </v>
      </c>
      <c r="H240" s="182" t="s">
        <v>569</v>
      </c>
    </row>
    <row r="241" spans="1:8" ht="27.6">
      <c r="A241" s="214"/>
      <c r="B241" s="238"/>
      <c r="C241" s="191" t="s">
        <v>570</v>
      </c>
      <c r="D241" s="180"/>
      <c r="E241" s="181" t="s">
        <v>78</v>
      </c>
      <c r="F241" s="181"/>
      <c r="G241" s="181" t="str">
        <f>_xlfn.IFNA(VLOOKUP(F241,'Abaques besoins fonctionnels'!$B$3:$C$5,2,0)," ")</f>
        <v xml:space="preserve"> </v>
      </c>
      <c r="H241" s="182" t="s">
        <v>571</v>
      </c>
    </row>
    <row r="242" spans="1:8" ht="55.2">
      <c r="A242" s="214"/>
      <c r="B242" s="238"/>
      <c r="C242" s="191" t="s">
        <v>572</v>
      </c>
      <c r="D242" s="180"/>
      <c r="E242" s="181" t="s">
        <v>64</v>
      </c>
      <c r="F242" s="181"/>
      <c r="G242" s="181" t="str">
        <f>_xlfn.IFNA(VLOOKUP(F242,'Abaques besoins fonctionnels'!$B$3:$C$5,2,0)," ")</f>
        <v xml:space="preserve"> </v>
      </c>
      <c r="H242" s="182" t="s">
        <v>573</v>
      </c>
    </row>
    <row r="243" spans="1:8" ht="41.4">
      <c r="A243" s="214"/>
      <c r="B243" s="238"/>
      <c r="C243" s="191" t="s">
        <v>574</v>
      </c>
      <c r="D243" s="180"/>
      <c r="E243" s="181" t="s">
        <v>64</v>
      </c>
      <c r="F243" s="181"/>
      <c r="G243" s="181" t="str">
        <f>_xlfn.IFNA(VLOOKUP(F243,'Abaques besoins fonctionnels'!$B$3:$C$5,2,0)," ")</f>
        <v xml:space="preserve"> </v>
      </c>
      <c r="H243" s="182" t="s">
        <v>575</v>
      </c>
    </row>
    <row r="244" spans="1:8" ht="27.6">
      <c r="A244" s="214"/>
      <c r="B244" s="237"/>
      <c r="C244" s="191" t="s">
        <v>576</v>
      </c>
      <c r="D244" s="180"/>
      <c r="E244" s="181" t="s">
        <v>64</v>
      </c>
      <c r="F244" s="181"/>
      <c r="G244" s="181" t="str">
        <f>_xlfn.IFNA(VLOOKUP(F244,'Abaques besoins fonctionnels'!$B$3:$C$5,2,0)," ")</f>
        <v xml:space="preserve"> </v>
      </c>
      <c r="H244" s="182" t="s">
        <v>577</v>
      </c>
    </row>
    <row r="245" spans="1:8" ht="27.6">
      <c r="A245" s="214"/>
      <c r="B245" s="224" t="s">
        <v>578</v>
      </c>
      <c r="C245" s="191" t="s">
        <v>579</v>
      </c>
      <c r="D245" s="180"/>
      <c r="E245" s="181" t="s">
        <v>64</v>
      </c>
      <c r="F245" s="181"/>
      <c r="G245" s="181" t="str">
        <f>_xlfn.IFNA(VLOOKUP(F245,'Abaques besoins fonctionnels'!$B$3:$C$5,2,0)," ")</f>
        <v xml:space="preserve"> </v>
      </c>
      <c r="H245" s="182" t="s">
        <v>580</v>
      </c>
    </row>
    <row r="246" spans="1:8" ht="41.4">
      <c r="A246" s="214"/>
      <c r="B246" s="237"/>
      <c r="C246" s="191" t="s">
        <v>581</v>
      </c>
      <c r="D246" s="180"/>
      <c r="E246" s="181" t="s">
        <v>64</v>
      </c>
      <c r="F246" s="181"/>
      <c r="G246" s="181" t="str">
        <f>_xlfn.IFNA(VLOOKUP(F246,'Abaques besoins fonctionnels'!$B$3:$C$5,2,0)," ")</f>
        <v xml:space="preserve"> </v>
      </c>
      <c r="H246" s="182" t="s">
        <v>582</v>
      </c>
    </row>
    <row r="247" spans="1:8" ht="27.6">
      <c r="A247" s="214"/>
      <c r="B247" s="224" t="s">
        <v>583</v>
      </c>
      <c r="C247" s="191" t="s">
        <v>584</v>
      </c>
      <c r="D247" s="180"/>
      <c r="E247" s="181" t="s">
        <v>64</v>
      </c>
      <c r="F247" s="181"/>
      <c r="G247" s="181" t="str">
        <f>_xlfn.IFNA(VLOOKUP(F247,'Abaques besoins fonctionnels'!$B$3:$C$5,2,0)," ")</f>
        <v xml:space="preserve"> </v>
      </c>
      <c r="H247" s="182" t="s">
        <v>585</v>
      </c>
    </row>
    <row r="248" spans="1:8" ht="41.4">
      <c r="A248" s="214"/>
      <c r="B248" s="238"/>
      <c r="C248" s="191" t="s">
        <v>586</v>
      </c>
      <c r="D248" s="180"/>
      <c r="E248" s="181" t="s">
        <v>64</v>
      </c>
      <c r="F248" s="181"/>
      <c r="G248" s="181" t="str">
        <f>_xlfn.IFNA(VLOOKUP(F248,'Abaques besoins fonctionnels'!$B$3:$C$5,2,0)," ")</f>
        <v xml:space="preserve"> </v>
      </c>
      <c r="H248" s="182" t="s">
        <v>587</v>
      </c>
    </row>
    <row r="249" spans="1:8" ht="27.6">
      <c r="A249" s="214"/>
      <c r="B249" s="237"/>
      <c r="C249" s="191" t="s">
        <v>588</v>
      </c>
      <c r="D249" s="180"/>
      <c r="E249" s="181" t="s">
        <v>64</v>
      </c>
      <c r="F249" s="181"/>
      <c r="G249" s="181" t="str">
        <f>_xlfn.IFNA(VLOOKUP(F249,'Abaques besoins fonctionnels'!$B$3:$C$5,2,0)," ")</f>
        <v xml:space="preserve"> </v>
      </c>
      <c r="H249" s="182" t="s">
        <v>589</v>
      </c>
    </row>
    <row r="250" spans="1:8" ht="41.4">
      <c r="A250" s="214"/>
      <c r="B250" s="224" t="s">
        <v>590</v>
      </c>
      <c r="C250" s="191" t="s">
        <v>591</v>
      </c>
      <c r="D250" s="180"/>
      <c r="E250" s="181" t="s">
        <v>78</v>
      </c>
      <c r="F250" s="181"/>
      <c r="G250" s="181" t="str">
        <f>_xlfn.IFNA(VLOOKUP(F250,'Abaques besoins fonctionnels'!$B$3:$C$5,2,0)," ")</f>
        <v xml:space="preserve"> </v>
      </c>
      <c r="H250" s="182" t="s">
        <v>592</v>
      </c>
    </row>
    <row r="251" spans="1:8" ht="41.4">
      <c r="A251" s="214"/>
      <c r="B251" s="238"/>
      <c r="C251" s="191" t="s">
        <v>593</v>
      </c>
      <c r="D251" s="180"/>
      <c r="E251" s="181" t="s">
        <v>64</v>
      </c>
      <c r="F251" s="181"/>
      <c r="G251" s="181" t="str">
        <f>_xlfn.IFNA(VLOOKUP(F251,'Abaques besoins fonctionnels'!$B$3:$C$5,2,0)," ")</f>
        <v xml:space="preserve"> </v>
      </c>
      <c r="H251" s="182" t="s">
        <v>594</v>
      </c>
    </row>
    <row r="252" spans="1:8" ht="41.4">
      <c r="A252" s="214"/>
      <c r="B252" s="237"/>
      <c r="C252" s="191" t="s">
        <v>595</v>
      </c>
      <c r="D252" s="180"/>
      <c r="E252" s="181" t="s">
        <v>64</v>
      </c>
      <c r="F252" s="181"/>
      <c r="G252" s="181" t="str">
        <f>_xlfn.IFNA(VLOOKUP(F252,'Abaques besoins fonctionnels'!$B$3:$C$5,2,0)," ")</f>
        <v xml:space="preserve"> </v>
      </c>
      <c r="H252" s="182" t="s">
        <v>596</v>
      </c>
    </row>
    <row r="253" spans="1:8" ht="41.4">
      <c r="A253" s="214"/>
      <c r="B253" s="224" t="s">
        <v>597</v>
      </c>
      <c r="C253" s="191" t="s">
        <v>598</v>
      </c>
      <c r="D253" s="180"/>
      <c r="E253" s="181" t="s">
        <v>78</v>
      </c>
      <c r="F253" s="181"/>
      <c r="G253" s="181" t="str">
        <f>_xlfn.IFNA(VLOOKUP(F253,'Abaques besoins fonctionnels'!$B$3:$C$5,2,0)," ")</f>
        <v xml:space="preserve"> </v>
      </c>
      <c r="H253" s="182" t="s">
        <v>599</v>
      </c>
    </row>
    <row r="254" spans="1:8" ht="82.8">
      <c r="A254" s="214"/>
      <c r="B254" s="237"/>
      <c r="C254" s="191" t="s">
        <v>600</v>
      </c>
      <c r="D254" s="180"/>
      <c r="E254" s="181" t="s">
        <v>78</v>
      </c>
      <c r="F254" s="181"/>
      <c r="G254" s="181" t="str">
        <f>_xlfn.IFNA(VLOOKUP(F254,'Abaques besoins fonctionnels'!$B$3:$C$5,2,0)," ")</f>
        <v xml:space="preserve"> </v>
      </c>
      <c r="H254" s="182" t="s">
        <v>601</v>
      </c>
    </row>
    <row r="255" spans="1:8" ht="41.4">
      <c r="A255" s="214"/>
      <c r="B255" s="224" t="s">
        <v>602</v>
      </c>
      <c r="C255" s="191" t="s">
        <v>603</v>
      </c>
      <c r="D255" s="180"/>
      <c r="E255" s="181" t="s">
        <v>64</v>
      </c>
      <c r="F255" s="181"/>
      <c r="G255" s="181" t="str">
        <f>_xlfn.IFNA(VLOOKUP(F255,'Abaques besoins fonctionnels'!$B$3:$C$5,2,0)," ")</f>
        <v xml:space="preserve"> </v>
      </c>
      <c r="H255" s="182" t="s">
        <v>604</v>
      </c>
    </row>
    <row r="256" spans="1:8" ht="27.6">
      <c r="A256" s="214"/>
      <c r="B256" s="238"/>
      <c r="C256" s="191" t="s">
        <v>605</v>
      </c>
      <c r="D256" s="180"/>
      <c r="E256" s="181" t="s">
        <v>64</v>
      </c>
      <c r="F256" s="181"/>
      <c r="G256" s="181" t="str">
        <f>_xlfn.IFNA(VLOOKUP(F256,'Abaques besoins fonctionnels'!$B$3:$C$5,2,0)," ")</f>
        <v xml:space="preserve"> </v>
      </c>
      <c r="H256" s="182" t="s">
        <v>606</v>
      </c>
    </row>
    <row r="257" spans="1:8" ht="27.6">
      <c r="A257" s="214"/>
      <c r="B257" s="238"/>
      <c r="C257" s="191" t="s">
        <v>532</v>
      </c>
      <c r="D257" s="180"/>
      <c r="E257" s="181" t="s">
        <v>189</v>
      </c>
      <c r="F257" s="181"/>
      <c r="G257" s="181" t="str">
        <f>_xlfn.IFNA(VLOOKUP(F257,'Abaques besoins fonctionnels'!$B$3:$C$5,2,0)," ")</f>
        <v xml:space="preserve"> </v>
      </c>
      <c r="H257" s="182" t="s">
        <v>607</v>
      </c>
    </row>
    <row r="258" spans="1:8">
      <c r="A258" s="214"/>
      <c r="B258" s="238"/>
      <c r="C258" s="191" t="s">
        <v>608</v>
      </c>
      <c r="D258" s="180"/>
      <c r="E258" s="181" t="s">
        <v>78</v>
      </c>
      <c r="F258" s="181"/>
      <c r="G258" s="181" t="str">
        <f>_xlfn.IFNA(VLOOKUP(F258,'Abaques besoins fonctionnels'!$B$3:$C$5,2,0)," ")</f>
        <v xml:space="preserve"> </v>
      </c>
      <c r="H258" s="182" t="s">
        <v>609</v>
      </c>
    </row>
    <row r="259" spans="1:8" ht="27.6">
      <c r="A259" s="214"/>
      <c r="B259" s="237"/>
      <c r="C259" s="191" t="s">
        <v>610</v>
      </c>
      <c r="D259" s="180"/>
      <c r="E259" s="181" t="s">
        <v>64</v>
      </c>
      <c r="F259" s="181"/>
      <c r="G259" s="181" t="str">
        <f>_xlfn.IFNA(VLOOKUP(F259,'Abaques besoins fonctionnels'!$B$3:$C$5,2,0)," ")</f>
        <v xml:space="preserve"> </v>
      </c>
      <c r="H259" s="182" t="s">
        <v>611</v>
      </c>
    </row>
    <row r="260" spans="1:8" ht="27.6">
      <c r="A260" s="214"/>
      <c r="B260" s="224" t="s">
        <v>612</v>
      </c>
      <c r="C260" s="191" t="s">
        <v>613</v>
      </c>
      <c r="D260" s="180"/>
      <c r="E260" s="181" t="s">
        <v>64</v>
      </c>
      <c r="F260" s="181"/>
      <c r="G260" s="181" t="str">
        <f>_xlfn.IFNA(VLOOKUP(F260,'Abaques besoins fonctionnels'!$B$3:$C$5,2,0)," ")</f>
        <v xml:space="preserve"> </v>
      </c>
      <c r="H260" s="182" t="s">
        <v>614</v>
      </c>
    </row>
    <row r="261" spans="1:8" ht="27.6">
      <c r="A261" s="214"/>
      <c r="B261" s="237"/>
      <c r="C261" s="191" t="s">
        <v>615</v>
      </c>
      <c r="D261" s="180"/>
      <c r="E261" s="181" t="s">
        <v>64</v>
      </c>
      <c r="F261" s="181"/>
      <c r="G261" s="181" t="str">
        <f>_xlfn.IFNA(VLOOKUP(F261,'Abaques besoins fonctionnels'!$B$3:$C$5,2,0)," ")</f>
        <v xml:space="preserve"> </v>
      </c>
      <c r="H261" s="182" t="s">
        <v>614</v>
      </c>
    </row>
    <row r="262" spans="1:8" ht="27.6">
      <c r="A262" s="214"/>
      <c r="B262" s="224" t="s">
        <v>616</v>
      </c>
      <c r="C262" s="191" t="s">
        <v>617</v>
      </c>
      <c r="D262" s="180"/>
      <c r="E262" s="181" t="s">
        <v>64</v>
      </c>
      <c r="F262" s="181"/>
      <c r="G262" s="181" t="str">
        <f>_xlfn.IFNA(VLOOKUP(F262,'Abaques besoins fonctionnels'!$B$3:$C$5,2,0)," ")</f>
        <v xml:space="preserve"> </v>
      </c>
      <c r="H262" s="182" t="s">
        <v>614</v>
      </c>
    </row>
    <row r="263" spans="1:8" ht="27.6">
      <c r="A263" s="214"/>
      <c r="B263" s="237"/>
      <c r="C263" s="191" t="s">
        <v>618</v>
      </c>
      <c r="D263" s="180"/>
      <c r="E263" s="181" t="s">
        <v>64</v>
      </c>
      <c r="F263" s="181"/>
      <c r="G263" s="181" t="str">
        <f>_xlfn.IFNA(VLOOKUP(F263,'Abaques besoins fonctionnels'!$B$3:$C$5,2,0)," ")</f>
        <v xml:space="preserve"> </v>
      </c>
      <c r="H263" s="182" t="s">
        <v>614</v>
      </c>
    </row>
    <row r="264" spans="1:8" ht="27.6">
      <c r="A264" s="214"/>
      <c r="B264" s="224" t="s">
        <v>619</v>
      </c>
      <c r="C264" s="191" t="s">
        <v>620</v>
      </c>
      <c r="D264" s="180"/>
      <c r="E264" s="181" t="s">
        <v>64</v>
      </c>
      <c r="F264" s="181"/>
      <c r="G264" s="181" t="str">
        <f>_xlfn.IFNA(VLOOKUP(F264,'Abaques besoins fonctionnels'!$B$3:$C$5,2,0)," ")</f>
        <v xml:space="preserve"> </v>
      </c>
      <c r="H264" s="182" t="s">
        <v>621</v>
      </c>
    </row>
    <row r="265" spans="1:8">
      <c r="A265" s="214"/>
      <c r="B265" s="237"/>
      <c r="C265" s="191" t="s">
        <v>608</v>
      </c>
      <c r="D265" s="180"/>
      <c r="E265" s="181" t="s">
        <v>440</v>
      </c>
      <c r="F265" s="181" t="s">
        <v>441</v>
      </c>
      <c r="G265" s="181">
        <f>_xlfn.IFNA(VLOOKUP(F265,'Abaques besoins fonctionnels'!$B$3:$C$5,2,0)," ")</f>
        <v>18</v>
      </c>
      <c r="H265" s="182" t="s">
        <v>622</v>
      </c>
    </row>
    <row r="266" spans="1:8" ht="27.6">
      <c r="A266" s="214"/>
      <c r="B266" s="224" t="s">
        <v>623</v>
      </c>
      <c r="C266" s="191" t="s">
        <v>624</v>
      </c>
      <c r="D266" s="180"/>
      <c r="E266" s="181" t="s">
        <v>194</v>
      </c>
      <c r="F266" s="181"/>
      <c r="G266" s="181" t="str">
        <f>_xlfn.IFNA(VLOOKUP(F266,'Abaques besoins fonctionnels'!$B$3:$C$5,2,0)," ")</f>
        <v xml:space="preserve"> </v>
      </c>
      <c r="H266" s="182" t="s">
        <v>625</v>
      </c>
    </row>
    <row r="267" spans="1:8" ht="27.6">
      <c r="A267" s="214"/>
      <c r="B267" s="237"/>
      <c r="C267" s="191" t="s">
        <v>626</v>
      </c>
      <c r="D267" s="180"/>
      <c r="E267" s="181" t="s">
        <v>194</v>
      </c>
      <c r="F267" s="181"/>
      <c r="G267" s="181" t="str">
        <f>_xlfn.IFNA(VLOOKUP(F267,'Abaques besoins fonctionnels'!$B$3:$C$5,2,0)," ")</f>
        <v xml:space="preserve"> </v>
      </c>
      <c r="H267" s="182" t="s">
        <v>625</v>
      </c>
    </row>
    <row r="268" spans="1:8" ht="27.6">
      <c r="A268" s="214"/>
      <c r="B268" s="224" t="s">
        <v>627</v>
      </c>
      <c r="C268" s="191" t="s">
        <v>628</v>
      </c>
      <c r="D268" s="180"/>
      <c r="E268" s="181" t="s">
        <v>64</v>
      </c>
      <c r="F268" s="181"/>
      <c r="G268" s="181" t="str">
        <f>_xlfn.IFNA(VLOOKUP(F268,'Abaques besoins fonctionnels'!$B$3:$C$5,2,0)," ")</f>
        <v xml:space="preserve"> </v>
      </c>
      <c r="H268" s="182" t="s">
        <v>629</v>
      </c>
    </row>
    <row r="269" spans="1:8">
      <c r="A269" s="214"/>
      <c r="B269" s="237"/>
      <c r="C269" s="191" t="s">
        <v>630</v>
      </c>
      <c r="D269" s="180"/>
      <c r="E269" s="181" t="s">
        <v>64</v>
      </c>
      <c r="F269" s="181"/>
      <c r="G269" s="181" t="str">
        <f>_xlfn.IFNA(VLOOKUP(F269,'Abaques besoins fonctionnels'!$B$3:$C$5,2,0)," ")</f>
        <v xml:space="preserve"> </v>
      </c>
      <c r="H269" s="182" t="s">
        <v>629</v>
      </c>
    </row>
    <row r="270" spans="1:8" ht="27.6">
      <c r="A270" s="214"/>
      <c r="B270" s="224" t="s">
        <v>631</v>
      </c>
      <c r="C270" s="191" t="s">
        <v>632</v>
      </c>
      <c r="D270" s="180"/>
      <c r="E270" s="181" t="s">
        <v>64</v>
      </c>
      <c r="F270" s="181"/>
      <c r="G270" s="181" t="str">
        <f>_xlfn.IFNA(VLOOKUP(F270,'Abaques besoins fonctionnels'!$B$3:$C$5,2,0)," ")</f>
        <v xml:space="preserve"> </v>
      </c>
      <c r="H270" s="182" t="s">
        <v>633</v>
      </c>
    </row>
    <row r="271" spans="1:8" ht="41.4">
      <c r="A271" s="214"/>
      <c r="B271" s="238"/>
      <c r="C271" s="191" t="s">
        <v>634</v>
      </c>
      <c r="D271" s="180"/>
      <c r="E271" s="181" t="s">
        <v>64</v>
      </c>
      <c r="F271" s="181"/>
      <c r="G271" s="181" t="str">
        <f>_xlfn.IFNA(VLOOKUP(F271,'Abaques besoins fonctionnels'!$B$3:$C$5,2,0)," ")</f>
        <v xml:space="preserve"> </v>
      </c>
      <c r="H271" s="182"/>
    </row>
    <row r="272" spans="1:8" ht="41.4">
      <c r="A272" s="214"/>
      <c r="B272" s="237"/>
      <c r="C272" s="191" t="s">
        <v>635</v>
      </c>
      <c r="D272" s="180"/>
      <c r="E272" s="181" t="s">
        <v>194</v>
      </c>
      <c r="F272" s="181"/>
      <c r="G272" s="181" t="str">
        <f>_xlfn.IFNA(VLOOKUP(F272,'Abaques besoins fonctionnels'!$B$3:$C$5,2,0)," ")</f>
        <v xml:space="preserve"> </v>
      </c>
      <c r="H272" s="182" t="s">
        <v>625</v>
      </c>
    </row>
    <row r="273" spans="1:8" ht="41.4">
      <c r="A273" s="214"/>
      <c r="B273" s="224" t="s">
        <v>636</v>
      </c>
      <c r="C273" s="191" t="s">
        <v>637</v>
      </c>
      <c r="D273" s="180"/>
      <c r="E273" s="181" t="s">
        <v>64</v>
      </c>
      <c r="F273" s="181"/>
      <c r="G273" s="181" t="str">
        <f>_xlfn.IFNA(VLOOKUP(F273,'Abaques besoins fonctionnels'!$B$3:$C$5,2,0)," ")</f>
        <v xml:space="preserve"> </v>
      </c>
      <c r="H273" s="182" t="s">
        <v>638</v>
      </c>
    </row>
    <row r="274" spans="1:8" ht="27.6">
      <c r="A274" s="214"/>
      <c r="B274" s="238"/>
      <c r="C274" s="191" t="s">
        <v>639</v>
      </c>
      <c r="D274" s="180"/>
      <c r="E274" s="181" t="s">
        <v>64</v>
      </c>
      <c r="F274" s="181"/>
      <c r="G274" s="181" t="str">
        <f>_xlfn.IFNA(VLOOKUP(F274,'Abaques besoins fonctionnels'!$B$3:$C$5,2,0)," ")</f>
        <v xml:space="preserve"> </v>
      </c>
      <c r="H274" s="182" t="s">
        <v>638</v>
      </c>
    </row>
    <row r="275" spans="1:8" ht="41.4">
      <c r="A275" s="214"/>
      <c r="B275" s="238"/>
      <c r="C275" s="191" t="s">
        <v>640</v>
      </c>
      <c r="D275" s="180"/>
      <c r="E275" s="181" t="s">
        <v>64</v>
      </c>
      <c r="F275" s="181"/>
      <c r="G275" s="181" t="str">
        <f>_xlfn.IFNA(VLOOKUP(F275,'Abaques besoins fonctionnels'!$B$3:$C$5,2,0)," ")</f>
        <v xml:space="preserve"> </v>
      </c>
      <c r="H275" s="182" t="s">
        <v>641</v>
      </c>
    </row>
    <row r="276" spans="1:8" ht="27.6">
      <c r="A276" s="214"/>
      <c r="B276" s="237"/>
      <c r="C276" s="191" t="s">
        <v>642</v>
      </c>
      <c r="D276" s="180"/>
      <c r="E276" s="181" t="s">
        <v>78</v>
      </c>
      <c r="F276" s="181"/>
      <c r="G276" s="181" t="str">
        <f>_xlfn.IFNA(VLOOKUP(F276,'Abaques besoins fonctionnels'!$B$3:$C$5,2,0)," ")</f>
        <v xml:space="preserve"> </v>
      </c>
      <c r="H276" s="182" t="s">
        <v>643</v>
      </c>
    </row>
    <row r="277" spans="1:8" ht="39" customHeight="1">
      <c r="A277" s="214"/>
      <c r="B277" s="224" t="s">
        <v>644</v>
      </c>
      <c r="C277" s="191" t="s">
        <v>645</v>
      </c>
      <c r="D277" s="180"/>
      <c r="E277" s="181" t="s">
        <v>64</v>
      </c>
      <c r="F277" s="181"/>
      <c r="G277" s="181" t="str">
        <f>_xlfn.IFNA(VLOOKUP(F277,'Abaques besoins fonctionnels'!$B$3:$C$5,2,0)," ")</f>
        <v xml:space="preserve"> </v>
      </c>
      <c r="H277" s="332" t="s">
        <v>646</v>
      </c>
    </row>
    <row r="278" spans="1:8" ht="27.6">
      <c r="A278" s="214"/>
      <c r="B278" s="238"/>
      <c r="C278" s="191" t="s">
        <v>647</v>
      </c>
      <c r="D278" s="180"/>
      <c r="E278" s="181" t="s">
        <v>64</v>
      </c>
      <c r="F278" s="181"/>
      <c r="G278" s="181" t="str">
        <f>_xlfn.IFNA(VLOOKUP(F278,'Abaques besoins fonctionnels'!$B$3:$C$5,2,0)," ")</f>
        <v xml:space="preserve"> </v>
      </c>
      <c r="H278" s="332"/>
    </row>
    <row r="279" spans="1:8" ht="27.6">
      <c r="A279" s="214"/>
      <c r="B279" s="237"/>
      <c r="C279" s="191" t="s">
        <v>648</v>
      </c>
      <c r="D279" s="180"/>
      <c r="E279" s="181" t="s">
        <v>64</v>
      </c>
      <c r="F279" s="181"/>
      <c r="G279" s="181" t="str">
        <f>_xlfn.IFNA(VLOOKUP(F279,'Abaques besoins fonctionnels'!$B$3:$C$5,2,0)," ")</f>
        <v xml:space="preserve"> </v>
      </c>
      <c r="H279" s="182" t="s">
        <v>649</v>
      </c>
    </row>
    <row r="280" spans="1:8" ht="27.6">
      <c r="A280" s="214"/>
      <c r="B280" s="224" t="s">
        <v>650</v>
      </c>
      <c r="C280" s="191" t="s">
        <v>651</v>
      </c>
      <c r="D280" s="180"/>
      <c r="E280" s="181" t="s">
        <v>64</v>
      </c>
      <c r="F280" s="181"/>
      <c r="G280" s="181" t="str">
        <f>_xlfn.IFNA(VLOOKUP(F280,'Abaques besoins fonctionnels'!$B$3:$C$5,2,0)," ")</f>
        <v xml:space="preserve"> </v>
      </c>
      <c r="H280" s="182" t="s">
        <v>652</v>
      </c>
    </row>
    <row r="281" spans="1:8" ht="27.6">
      <c r="A281" s="214"/>
      <c r="B281" s="237"/>
      <c r="C281" s="191" t="s">
        <v>653</v>
      </c>
      <c r="D281" s="180"/>
      <c r="E281" s="181" t="s">
        <v>64</v>
      </c>
      <c r="F281" s="181"/>
      <c r="G281" s="181" t="str">
        <f>_xlfn.IFNA(VLOOKUP(F281,'Abaques besoins fonctionnels'!$B$3:$C$5,2,0)," ")</f>
        <v xml:space="preserve"> </v>
      </c>
      <c r="H281" s="182" t="s">
        <v>654</v>
      </c>
    </row>
    <row r="282" spans="1:8" ht="41.4">
      <c r="A282" s="214"/>
      <c r="B282" s="224" t="s">
        <v>655</v>
      </c>
      <c r="C282" s="191" t="s">
        <v>656</v>
      </c>
      <c r="D282" s="180"/>
      <c r="E282" s="181" t="s">
        <v>78</v>
      </c>
      <c r="F282" s="181"/>
      <c r="G282" s="181" t="str">
        <f>_xlfn.IFNA(VLOOKUP(F282,'Abaques besoins fonctionnels'!$B$3:$C$5,2,0)," ")</f>
        <v xml:space="preserve"> </v>
      </c>
      <c r="H282" s="182" t="s">
        <v>657</v>
      </c>
    </row>
    <row r="283" spans="1:8" ht="27.6">
      <c r="A283" s="214"/>
      <c r="B283" s="238"/>
      <c r="C283" s="191" t="s">
        <v>658</v>
      </c>
      <c r="D283" s="180"/>
      <c r="E283" s="181" t="s">
        <v>64</v>
      </c>
      <c r="F283" s="181"/>
      <c r="G283" s="181" t="str">
        <f>_xlfn.IFNA(VLOOKUP(F283,'Abaques besoins fonctionnels'!$B$3:$C$5,2,0)," ")</f>
        <v xml:space="preserve"> </v>
      </c>
      <c r="H283" s="182" t="s">
        <v>659</v>
      </c>
    </row>
    <row r="284" spans="1:8" ht="41.4">
      <c r="A284" s="214"/>
      <c r="B284" s="237"/>
      <c r="C284" s="191" t="s">
        <v>660</v>
      </c>
      <c r="D284" s="180"/>
      <c r="E284" s="181" t="s">
        <v>64</v>
      </c>
      <c r="F284" s="181"/>
      <c r="G284" s="181" t="str">
        <f>_xlfn.IFNA(VLOOKUP(F284,'Abaques besoins fonctionnels'!$B$3:$C$5,2,0)," ")</f>
        <v xml:space="preserve"> </v>
      </c>
      <c r="H284" s="182" t="s">
        <v>661</v>
      </c>
    </row>
    <row r="285" spans="1:8" ht="41.4">
      <c r="A285" s="214"/>
      <c r="B285" s="239" t="s">
        <v>662</v>
      </c>
      <c r="C285" s="191" t="s">
        <v>663</v>
      </c>
      <c r="D285" s="180"/>
      <c r="E285" s="181" t="s">
        <v>64</v>
      </c>
      <c r="F285" s="181"/>
      <c r="G285" s="181" t="str">
        <f>_xlfn.IFNA(VLOOKUP(F285,'Abaques besoins fonctionnels'!$B$3:$C$5,2,0)," ")</f>
        <v xml:space="preserve"> </v>
      </c>
      <c r="H285" s="182" t="s">
        <v>664</v>
      </c>
    </row>
    <row r="286" spans="1:8" ht="27.6">
      <c r="A286" s="214"/>
      <c r="B286" s="224" t="s">
        <v>665</v>
      </c>
      <c r="C286" s="206" t="s">
        <v>666</v>
      </c>
      <c r="D286" s="207"/>
      <c r="E286" s="181" t="s">
        <v>78</v>
      </c>
      <c r="F286" s="181"/>
      <c r="G286" s="181" t="str">
        <f>_xlfn.IFNA(VLOOKUP(F286,'Abaques besoins fonctionnels'!$B$3:$C$5,2,0)," ")</f>
        <v xml:space="preserve"> </v>
      </c>
      <c r="H286" s="182" t="s">
        <v>667</v>
      </c>
    </row>
    <row r="287" spans="1:8" ht="27.6">
      <c r="A287" s="214"/>
      <c r="B287" s="237"/>
      <c r="C287" s="206" t="s">
        <v>668</v>
      </c>
      <c r="D287" s="207"/>
      <c r="E287" s="181" t="s">
        <v>440</v>
      </c>
      <c r="F287" s="181" t="s">
        <v>441</v>
      </c>
      <c r="G287" s="181">
        <f>_xlfn.IFNA(VLOOKUP(F287,'Abaques besoins fonctionnels'!$B$3:$C$5,2,0)," ")</f>
        <v>18</v>
      </c>
      <c r="H287" s="182" t="s">
        <v>669</v>
      </c>
    </row>
    <row r="288" spans="1:8" ht="27.6">
      <c r="A288" s="214"/>
      <c r="B288" s="224" t="s">
        <v>670</v>
      </c>
      <c r="C288" s="191" t="s">
        <v>671</v>
      </c>
      <c r="D288" s="180"/>
      <c r="E288" s="181" t="s">
        <v>64</v>
      </c>
      <c r="F288" s="181"/>
      <c r="G288" s="181" t="str">
        <f>_xlfn.IFNA(VLOOKUP(F288,'Abaques besoins fonctionnels'!$B$3:$C$5,2,0)," ")</f>
        <v xml:space="preserve"> </v>
      </c>
      <c r="H288" s="182" t="s">
        <v>672</v>
      </c>
    </row>
    <row r="289" spans="1:10">
      <c r="A289" s="214"/>
      <c r="B289" s="238"/>
      <c r="C289" s="191" t="s">
        <v>673</v>
      </c>
      <c r="D289" s="180"/>
      <c r="E289" s="181" t="s">
        <v>64</v>
      </c>
      <c r="F289" s="181"/>
      <c r="G289" s="181" t="str">
        <f>_xlfn.IFNA(VLOOKUP(F289,'Abaques besoins fonctionnels'!$B$3:$C$5,2,0)," ")</f>
        <v xml:space="preserve"> </v>
      </c>
      <c r="H289" s="182" t="s">
        <v>674</v>
      </c>
    </row>
    <row r="290" spans="1:10" ht="27.6">
      <c r="A290" s="214"/>
      <c r="B290" s="237"/>
      <c r="C290" s="191" t="s">
        <v>675</v>
      </c>
      <c r="D290" s="180"/>
      <c r="E290" s="181" t="s">
        <v>64</v>
      </c>
      <c r="F290" s="181"/>
      <c r="G290" s="181" t="str">
        <f>_xlfn.IFNA(VLOOKUP(F290,'Abaques besoins fonctionnels'!$B$3:$C$5,2,0)," ")</f>
        <v xml:space="preserve"> </v>
      </c>
      <c r="H290" s="182" t="s">
        <v>676</v>
      </c>
    </row>
    <row r="291" spans="1:10" ht="27.6">
      <c r="A291" s="214"/>
      <c r="B291" s="224" t="s">
        <v>677</v>
      </c>
      <c r="C291" s="191" t="s">
        <v>678</v>
      </c>
      <c r="D291" s="180"/>
      <c r="E291" s="181" t="s">
        <v>64</v>
      </c>
      <c r="F291" s="181"/>
      <c r="G291" s="181" t="str">
        <f>_xlfn.IFNA(VLOOKUP(F291,'Abaques besoins fonctionnels'!$B$3:$C$5,2,0)," ")</f>
        <v xml:space="preserve"> </v>
      </c>
      <c r="H291" s="182" t="s">
        <v>679</v>
      </c>
    </row>
    <row r="292" spans="1:10" ht="55.2">
      <c r="A292" s="214"/>
      <c r="B292" s="237"/>
      <c r="C292" s="191" t="s">
        <v>680</v>
      </c>
      <c r="D292" s="180"/>
      <c r="E292" s="181" t="s">
        <v>64</v>
      </c>
      <c r="F292" s="181"/>
      <c r="G292" s="181" t="str">
        <f>_xlfn.IFNA(VLOOKUP(F292,'Abaques besoins fonctionnels'!$B$3:$C$5,2,0)," ")</f>
        <v xml:space="preserve"> </v>
      </c>
      <c r="H292" s="182" t="s">
        <v>681</v>
      </c>
    </row>
    <row r="293" spans="1:10" ht="27.6">
      <c r="A293" s="214"/>
      <c r="B293" s="224" t="s">
        <v>682</v>
      </c>
      <c r="C293" s="206" t="s">
        <v>683</v>
      </c>
      <c r="D293" s="207"/>
      <c r="E293" s="181" t="s">
        <v>64</v>
      </c>
      <c r="F293" s="181"/>
      <c r="G293" s="181" t="str">
        <f>_xlfn.IFNA(VLOOKUP(F293,'Abaques besoins fonctionnels'!$B$3:$C$5,2,0)," ")</f>
        <v xml:space="preserve"> </v>
      </c>
      <c r="H293" s="182" t="s">
        <v>684</v>
      </c>
    </row>
    <row r="294" spans="1:10" ht="27.6">
      <c r="A294" s="214"/>
      <c r="B294" s="237"/>
      <c r="C294" s="206" t="s">
        <v>685</v>
      </c>
      <c r="D294" s="207"/>
      <c r="E294" s="181" t="s">
        <v>64</v>
      </c>
      <c r="F294" s="181"/>
      <c r="G294" s="181" t="str">
        <f>_xlfn.IFNA(VLOOKUP(F294,'Abaques besoins fonctionnels'!$B$3:$C$5,2,0)," ")</f>
        <v xml:space="preserve"> </v>
      </c>
      <c r="H294" s="182" t="s">
        <v>684</v>
      </c>
    </row>
    <row r="295" spans="1:10" ht="27.6">
      <c r="A295" s="214"/>
      <c r="B295" s="224" t="s">
        <v>686</v>
      </c>
      <c r="C295" s="206" t="s">
        <v>687</v>
      </c>
      <c r="D295" s="207"/>
      <c r="E295" s="181" t="s">
        <v>64</v>
      </c>
      <c r="F295" s="181"/>
      <c r="G295" s="181" t="str">
        <f>_xlfn.IFNA(VLOOKUP(F295,'Abaques besoins fonctionnels'!$B$3:$C$5,2,0)," ")</f>
        <v xml:space="preserve"> </v>
      </c>
      <c r="H295" s="182" t="s">
        <v>688</v>
      </c>
    </row>
    <row r="296" spans="1:10" ht="27.6">
      <c r="A296" s="214"/>
      <c r="B296" s="237"/>
      <c r="C296" s="206" t="s">
        <v>689</v>
      </c>
      <c r="D296" s="207"/>
      <c r="E296" s="181" t="s">
        <v>64</v>
      </c>
      <c r="F296" s="181"/>
      <c r="G296" s="181" t="str">
        <f>_xlfn.IFNA(VLOOKUP(F296,'Abaques besoins fonctionnels'!$B$3:$C$5,2,0)," ")</f>
        <v xml:space="preserve"> </v>
      </c>
      <c r="H296" s="182" t="s">
        <v>688</v>
      </c>
    </row>
    <row r="297" spans="1:10" ht="42" thickBot="1">
      <c r="A297" s="218"/>
      <c r="B297" s="240" t="s">
        <v>690</v>
      </c>
      <c r="C297" s="197" t="s">
        <v>691</v>
      </c>
      <c r="D297" s="198"/>
      <c r="E297" s="199" t="s">
        <v>78</v>
      </c>
      <c r="F297" s="199"/>
      <c r="G297" s="199" t="str">
        <f>_xlfn.IFNA(VLOOKUP(F297,'Abaques besoins fonctionnels'!$B$3:$C$5,2,0)," ")</f>
        <v xml:space="preserve"> </v>
      </c>
      <c r="H297" s="200" t="s">
        <v>692</v>
      </c>
    </row>
    <row r="298" spans="1:10" ht="15" thickBot="1">
      <c r="G298" s="209" t="str">
        <f>_xlfn.IFNA(VLOOKUP(F295,'Abaques besoins fonctionnels'!$B$3:$C$5,2,0)," ")</f>
        <v xml:space="preserve"> </v>
      </c>
    </row>
    <row r="299" spans="1:10" s="18" customFormat="1" ht="16.2" thickBot="1">
      <c r="A299" s="140" t="s">
        <v>693</v>
      </c>
      <c r="B299" s="141"/>
      <c r="C299" s="154"/>
      <c r="D299" s="141"/>
      <c r="E299" s="141"/>
      <c r="F299" s="141"/>
      <c r="G299" s="141"/>
      <c r="H299" s="141"/>
      <c r="J299" s="172"/>
    </row>
    <row r="300" spans="1:10" ht="55.2">
      <c r="A300" s="333" t="s">
        <v>694</v>
      </c>
      <c r="B300" s="241" t="s">
        <v>695</v>
      </c>
      <c r="C300" s="189" t="s">
        <v>696</v>
      </c>
      <c r="D300" s="176"/>
      <c r="E300" s="177" t="s">
        <v>64</v>
      </c>
      <c r="F300" s="177"/>
      <c r="G300" s="177" t="str">
        <f>_xlfn.IFNA(VLOOKUP(F300,'Abaques besoins fonctionnels'!$B$3:$C$5,2,0)," ")</f>
        <v xml:space="preserve"> </v>
      </c>
      <c r="H300" s="178" t="s">
        <v>697</v>
      </c>
    </row>
    <row r="301" spans="1:10" ht="55.2">
      <c r="A301" s="334"/>
      <c r="B301" s="324" t="s">
        <v>698</v>
      </c>
      <c r="C301" s="191" t="s">
        <v>699</v>
      </c>
      <c r="D301" s="180"/>
      <c r="E301" s="181" t="s">
        <v>64</v>
      </c>
      <c r="F301" s="181"/>
      <c r="G301" s="181" t="str">
        <f>_xlfn.IFNA(VLOOKUP(F301,'Abaques besoins fonctionnels'!$B$3:$C$5,2,0)," ")</f>
        <v xml:space="preserve"> </v>
      </c>
      <c r="H301" s="182" t="s">
        <v>700</v>
      </c>
    </row>
    <row r="302" spans="1:10" ht="27.6">
      <c r="A302" s="334"/>
      <c r="B302" s="325"/>
      <c r="C302" s="191" t="s">
        <v>701</v>
      </c>
      <c r="D302" s="180"/>
      <c r="E302" s="181" t="s">
        <v>189</v>
      </c>
      <c r="F302" s="181"/>
      <c r="G302" s="181" t="str">
        <f>_xlfn.IFNA(VLOOKUP(F302,'Abaques besoins fonctionnels'!$B$3:$C$5,2,0)," ")</f>
        <v xml:space="preserve"> </v>
      </c>
      <c r="H302" s="182" t="s">
        <v>702</v>
      </c>
    </row>
    <row r="303" spans="1:10" ht="41.4">
      <c r="A303" s="334"/>
      <c r="B303" s="325"/>
      <c r="C303" s="191" t="s">
        <v>703</v>
      </c>
      <c r="D303" s="180"/>
      <c r="E303" s="181" t="s">
        <v>64</v>
      </c>
      <c r="F303" s="181"/>
      <c r="G303" s="181" t="str">
        <f>_xlfn.IFNA(VLOOKUP(F303,'Abaques besoins fonctionnels'!$B$3:$C$5,2,0)," ")</f>
        <v xml:space="preserve"> </v>
      </c>
      <c r="H303" s="182" t="s">
        <v>704</v>
      </c>
    </row>
    <row r="304" spans="1:10" ht="41.4">
      <c r="A304" s="334"/>
      <c r="B304" s="325"/>
      <c r="C304" s="191" t="s">
        <v>705</v>
      </c>
      <c r="D304" s="180"/>
      <c r="E304" s="181" t="s">
        <v>64</v>
      </c>
      <c r="F304" s="181"/>
      <c r="G304" s="181" t="str">
        <f>_xlfn.IFNA(VLOOKUP(F304,'Abaques besoins fonctionnels'!$B$3:$C$5,2,0)," ")</f>
        <v xml:space="preserve"> </v>
      </c>
      <c r="H304" s="182" t="s">
        <v>706</v>
      </c>
    </row>
    <row r="305" spans="1:8" ht="27.6">
      <c r="A305" s="334"/>
      <c r="B305" s="325"/>
      <c r="C305" s="191" t="s">
        <v>707</v>
      </c>
      <c r="D305" s="180"/>
      <c r="E305" s="181" t="s">
        <v>64</v>
      </c>
      <c r="F305" s="181"/>
      <c r="G305" s="181" t="str">
        <f>_xlfn.IFNA(VLOOKUP(F305,'Abaques besoins fonctionnels'!$B$3:$C$5,2,0)," ")</f>
        <v xml:space="preserve"> </v>
      </c>
      <c r="H305" s="182" t="s">
        <v>708</v>
      </c>
    </row>
    <row r="306" spans="1:8" ht="110.4">
      <c r="A306" s="334"/>
      <c r="B306" s="325"/>
      <c r="C306" s="191" t="s">
        <v>709</v>
      </c>
      <c r="D306" s="180"/>
      <c r="E306" s="181" t="s">
        <v>440</v>
      </c>
      <c r="F306" s="181" t="s">
        <v>538</v>
      </c>
      <c r="G306" s="181">
        <f>_xlfn.IFNA(VLOOKUP(F306,'Abaques besoins fonctionnels'!$B$3:$C$5,2,0)," ")</f>
        <v>28</v>
      </c>
      <c r="H306" s="182" t="s">
        <v>710</v>
      </c>
    </row>
    <row r="307" spans="1:8" ht="27.6">
      <c r="A307" s="334"/>
      <c r="B307" s="336"/>
      <c r="C307" s="191" t="s">
        <v>711</v>
      </c>
      <c r="D307" s="180"/>
      <c r="E307" s="181" t="s">
        <v>64</v>
      </c>
      <c r="F307" s="181"/>
      <c r="G307" s="181" t="str">
        <f>_xlfn.IFNA(VLOOKUP(F307,'Abaques besoins fonctionnels'!$B$3:$C$5,2,0)," ")</f>
        <v xml:space="preserve"> </v>
      </c>
      <c r="H307" s="182" t="s">
        <v>712</v>
      </c>
    </row>
    <row r="308" spans="1:8" ht="165.6">
      <c r="A308" s="334"/>
      <c r="B308" s="242" t="s">
        <v>713</v>
      </c>
      <c r="C308" s="191" t="s">
        <v>714</v>
      </c>
      <c r="D308" s="180"/>
      <c r="E308" s="181" t="s">
        <v>64</v>
      </c>
      <c r="F308" s="181"/>
      <c r="G308" s="181" t="str">
        <f>_xlfn.IFNA(VLOOKUP(F308,'Abaques besoins fonctionnels'!$B$3:$C$5,2,0)," ")</f>
        <v xml:space="preserve"> </v>
      </c>
      <c r="H308" s="182" t="s">
        <v>715</v>
      </c>
    </row>
    <row r="309" spans="1:8" ht="110.4">
      <c r="A309" s="334"/>
      <c r="B309" s="239" t="s">
        <v>716</v>
      </c>
      <c r="C309" s="191" t="s">
        <v>717</v>
      </c>
      <c r="D309" s="180"/>
      <c r="E309" s="181" t="s">
        <v>64</v>
      </c>
      <c r="F309" s="181"/>
      <c r="G309" s="181" t="str">
        <f>_xlfn.IFNA(VLOOKUP(F309,'Abaques besoins fonctionnels'!$B$3:$C$5,2,0)," ")</f>
        <v xml:space="preserve"> </v>
      </c>
      <c r="H309" s="182" t="s">
        <v>718</v>
      </c>
    </row>
    <row r="310" spans="1:8" ht="27.6">
      <c r="A310" s="334"/>
      <c r="B310" s="324" t="s">
        <v>719</v>
      </c>
      <c r="C310" s="191" t="s">
        <v>720</v>
      </c>
      <c r="D310" s="180"/>
      <c r="E310" s="181" t="s">
        <v>64</v>
      </c>
      <c r="F310" s="181"/>
      <c r="G310" s="181" t="str">
        <f>_xlfn.IFNA(VLOOKUP(F310,'Abaques besoins fonctionnels'!$B$3:$C$5,2,0)," ")</f>
        <v xml:space="preserve"> </v>
      </c>
      <c r="H310" s="182" t="s">
        <v>721</v>
      </c>
    </row>
    <row r="311" spans="1:8" ht="55.2">
      <c r="A311" s="334"/>
      <c r="B311" s="325"/>
      <c r="C311" s="191" t="s">
        <v>722</v>
      </c>
      <c r="D311" s="180"/>
      <c r="E311" s="181" t="s">
        <v>64</v>
      </c>
      <c r="F311" s="181"/>
      <c r="G311" s="181" t="str">
        <f>_xlfn.IFNA(VLOOKUP(F311,'Abaques besoins fonctionnels'!$B$3:$C$5,2,0)," ")</f>
        <v xml:space="preserve"> </v>
      </c>
      <c r="H311" s="182" t="s">
        <v>723</v>
      </c>
    </row>
    <row r="312" spans="1:8" ht="27.6">
      <c r="A312" s="334"/>
      <c r="B312" s="336"/>
      <c r="C312" s="191" t="s">
        <v>724</v>
      </c>
      <c r="D312" s="180"/>
      <c r="E312" s="181" t="s">
        <v>440</v>
      </c>
      <c r="F312" s="181" t="s">
        <v>441</v>
      </c>
      <c r="G312" s="181">
        <f>_xlfn.IFNA(VLOOKUP(F312,'Abaques besoins fonctionnels'!$B$3:$C$5,2,0)," ")</f>
        <v>18</v>
      </c>
      <c r="H312" s="182" t="s">
        <v>725</v>
      </c>
    </row>
    <row r="313" spans="1:8" ht="27.6">
      <c r="A313" s="334"/>
      <c r="B313" s="324" t="s">
        <v>726</v>
      </c>
      <c r="C313" s="206" t="s">
        <v>727</v>
      </c>
      <c r="D313" s="207"/>
      <c r="E313" s="181" t="s">
        <v>78</v>
      </c>
      <c r="F313" s="181"/>
      <c r="G313" s="181" t="str">
        <f>_xlfn.IFNA(VLOOKUP(F313,'Abaques besoins fonctionnels'!$B$3:$C$5,2,0)," ")</f>
        <v xml:space="preserve"> </v>
      </c>
      <c r="H313" s="182" t="s">
        <v>728</v>
      </c>
    </row>
    <row r="314" spans="1:8">
      <c r="A314" s="334"/>
      <c r="B314" s="325"/>
      <c r="C314" s="206" t="s">
        <v>729</v>
      </c>
      <c r="D314" s="207"/>
      <c r="E314" s="181" t="s">
        <v>64</v>
      </c>
      <c r="F314" s="181"/>
      <c r="G314" s="181" t="str">
        <f>_xlfn.IFNA(VLOOKUP(F314,'Abaques besoins fonctionnels'!$B$3:$C$5,2,0)," ")</f>
        <v xml:space="preserve"> </v>
      </c>
      <c r="H314" s="182" t="s">
        <v>730</v>
      </c>
    </row>
    <row r="315" spans="1:8" ht="41.4">
      <c r="A315" s="334"/>
      <c r="B315" s="325"/>
      <c r="C315" s="206" t="s">
        <v>731</v>
      </c>
      <c r="D315" s="207"/>
      <c r="E315" s="181" t="s">
        <v>64</v>
      </c>
      <c r="F315" s="181"/>
      <c r="G315" s="181" t="str">
        <f>_xlfn.IFNA(VLOOKUP(F315,'Abaques besoins fonctionnels'!$B$3:$C$5,2,0)," ")</f>
        <v xml:space="preserve"> </v>
      </c>
      <c r="H315" s="182" t="s">
        <v>732</v>
      </c>
    </row>
    <row r="316" spans="1:8">
      <c r="A316" s="334"/>
      <c r="B316" s="325"/>
      <c r="C316" s="206" t="s">
        <v>733</v>
      </c>
      <c r="D316" s="207"/>
      <c r="E316" s="181" t="s">
        <v>64</v>
      </c>
      <c r="F316" s="181"/>
      <c r="G316" s="181" t="str">
        <f>_xlfn.IFNA(VLOOKUP(F316,'Abaques besoins fonctionnels'!$B$3:$C$5,2,0)," ")</f>
        <v xml:space="preserve"> </v>
      </c>
      <c r="H316" s="182" t="s">
        <v>734</v>
      </c>
    </row>
    <row r="317" spans="1:8" ht="41.4">
      <c r="A317" s="334"/>
      <c r="B317" s="336"/>
      <c r="C317" s="206" t="s">
        <v>735</v>
      </c>
      <c r="D317" s="207"/>
      <c r="E317" s="181" t="s">
        <v>64</v>
      </c>
      <c r="F317" s="181"/>
      <c r="G317" s="181"/>
      <c r="H317" s="182" t="s">
        <v>736</v>
      </c>
    </row>
    <row r="318" spans="1:8" ht="69">
      <c r="A318" s="334"/>
      <c r="B318" s="324" t="s">
        <v>737</v>
      </c>
      <c r="C318" s="206" t="s">
        <v>738</v>
      </c>
      <c r="D318" s="207"/>
      <c r="E318" s="181" t="s">
        <v>440</v>
      </c>
      <c r="F318" s="181" t="s">
        <v>538</v>
      </c>
      <c r="G318" s="181">
        <f>_xlfn.IFNA(VLOOKUP(F318,'Abaques besoins fonctionnels'!$B$3:$C$5,2,0)," ")</f>
        <v>28</v>
      </c>
      <c r="H318" s="182" t="s">
        <v>739</v>
      </c>
    </row>
    <row r="319" spans="1:8" ht="27.6">
      <c r="A319" s="334"/>
      <c r="B319" s="325"/>
      <c r="C319" s="206" t="s">
        <v>740</v>
      </c>
      <c r="D319" s="207"/>
      <c r="E319" s="181" t="s">
        <v>189</v>
      </c>
      <c r="F319" s="181"/>
      <c r="G319" s="181" t="str">
        <f>_xlfn.IFNA(VLOOKUP(F319,'Abaques besoins fonctionnels'!$B$3:$C$5,2,0)," ")</f>
        <v xml:space="preserve"> </v>
      </c>
      <c r="H319" s="182" t="s">
        <v>702</v>
      </c>
    </row>
    <row r="320" spans="1:8" ht="27.6">
      <c r="A320" s="334"/>
      <c r="B320" s="336"/>
      <c r="C320" s="206" t="s">
        <v>741</v>
      </c>
      <c r="D320" s="207"/>
      <c r="E320" s="181" t="s">
        <v>64</v>
      </c>
      <c r="F320" s="181"/>
      <c r="G320" s="181"/>
      <c r="H320" s="182" t="s">
        <v>742</v>
      </c>
    </row>
    <row r="321" spans="1:10" ht="27.6">
      <c r="A321" s="334"/>
      <c r="B321" s="324" t="s">
        <v>743</v>
      </c>
      <c r="C321" s="191" t="s">
        <v>744</v>
      </c>
      <c r="D321" s="180"/>
      <c r="E321" s="181" t="s">
        <v>64</v>
      </c>
      <c r="F321" s="181"/>
      <c r="G321" s="181" t="str">
        <f>_xlfn.IFNA(VLOOKUP(F321,'Abaques besoins fonctionnels'!$B$3:$C$5,2,0)," ")</f>
        <v xml:space="preserve"> </v>
      </c>
      <c r="H321" s="182" t="s">
        <v>745</v>
      </c>
    </row>
    <row r="322" spans="1:10" ht="27.6">
      <c r="A322" s="334"/>
      <c r="B322" s="325"/>
      <c r="C322" s="191" t="s">
        <v>746</v>
      </c>
      <c r="D322" s="180"/>
      <c r="E322" s="181" t="s">
        <v>78</v>
      </c>
      <c r="F322" s="181"/>
      <c r="G322" s="181" t="str">
        <f>_xlfn.IFNA(VLOOKUP(F322,'Abaques besoins fonctionnels'!$B$3:$C$5,2,0)," ")</f>
        <v xml:space="preserve"> </v>
      </c>
      <c r="H322" s="182" t="s">
        <v>747</v>
      </c>
    </row>
    <row r="323" spans="1:10" ht="41.4">
      <c r="A323" s="334"/>
      <c r="B323" s="325"/>
      <c r="C323" s="191" t="s">
        <v>748</v>
      </c>
      <c r="D323" s="180"/>
      <c r="E323" s="181" t="s">
        <v>64</v>
      </c>
      <c r="F323" s="181"/>
      <c r="G323" s="181" t="str">
        <f>_xlfn.IFNA(VLOOKUP(F323,'Abaques besoins fonctionnels'!$B$3:$C$5,2,0)," ")</f>
        <v xml:space="preserve"> </v>
      </c>
      <c r="H323" s="182" t="s">
        <v>749</v>
      </c>
    </row>
    <row r="324" spans="1:10" ht="27.6">
      <c r="A324" s="334"/>
      <c r="B324" s="325"/>
      <c r="C324" s="191" t="s">
        <v>750</v>
      </c>
      <c r="D324" s="180"/>
      <c r="E324" s="181" t="s">
        <v>64</v>
      </c>
      <c r="F324" s="181"/>
      <c r="G324" s="181" t="str">
        <f>_xlfn.IFNA(VLOOKUP(F324,'Abaques besoins fonctionnels'!$B$3:$C$5,2,0)," ")</f>
        <v xml:space="preserve"> </v>
      </c>
      <c r="H324" s="182"/>
    </row>
    <row r="325" spans="1:10">
      <c r="A325" s="334"/>
      <c r="B325" s="325"/>
      <c r="C325" s="191" t="s">
        <v>751</v>
      </c>
      <c r="D325" s="180"/>
      <c r="E325" s="181" t="s">
        <v>64</v>
      </c>
      <c r="F325" s="181" t="s">
        <v>752</v>
      </c>
      <c r="G325" s="181">
        <f>_xlfn.IFNA(VLOOKUP(F325,'Abaques besoins fonctionnels'!$B$3:$C$5,2,0)," ")</f>
        <v>10</v>
      </c>
      <c r="H325" s="182" t="s">
        <v>753</v>
      </c>
    </row>
    <row r="326" spans="1:10">
      <c r="A326" s="334"/>
      <c r="B326" s="325"/>
      <c r="C326" s="191" t="s">
        <v>754</v>
      </c>
      <c r="D326" s="180"/>
      <c r="E326" s="181" t="s">
        <v>64</v>
      </c>
      <c r="F326" s="181"/>
      <c r="G326" s="181" t="str">
        <f>_xlfn.IFNA(VLOOKUP(F326,'Abaques besoins fonctionnels'!$B$3:$C$5,2,0)," ")</f>
        <v xml:space="preserve"> </v>
      </c>
      <c r="H326" s="182" t="s">
        <v>755</v>
      </c>
    </row>
    <row r="327" spans="1:10" ht="41.4">
      <c r="A327" s="334"/>
      <c r="B327" s="325"/>
      <c r="C327" s="191" t="s">
        <v>756</v>
      </c>
      <c r="D327" s="180"/>
      <c r="E327" s="181" t="s">
        <v>64</v>
      </c>
      <c r="F327" s="181" t="s">
        <v>441</v>
      </c>
      <c r="G327" s="181">
        <f>_xlfn.IFNA(VLOOKUP(F327,'Abaques besoins fonctionnels'!$B$3:$C$5,2,0)," ")</f>
        <v>18</v>
      </c>
      <c r="H327" s="182" t="s">
        <v>757</v>
      </c>
    </row>
    <row r="328" spans="1:10" ht="27.6">
      <c r="A328" s="334"/>
      <c r="B328" s="336"/>
      <c r="C328" s="191" t="s">
        <v>758</v>
      </c>
      <c r="D328" s="180"/>
      <c r="E328" s="181" t="s">
        <v>64</v>
      </c>
      <c r="F328" s="181" t="s">
        <v>752</v>
      </c>
      <c r="G328" s="181">
        <f>_xlfn.IFNA(VLOOKUP(F328,'Abaques besoins fonctionnels'!$B$3:$C$5,2,0)," ")</f>
        <v>10</v>
      </c>
      <c r="H328" s="182" t="s">
        <v>759</v>
      </c>
    </row>
    <row r="329" spans="1:10" ht="41.4">
      <c r="A329" s="334"/>
      <c r="B329" s="324" t="s">
        <v>760</v>
      </c>
      <c r="C329" s="191" t="s">
        <v>761</v>
      </c>
      <c r="D329" s="180"/>
      <c r="E329" s="181" t="s">
        <v>189</v>
      </c>
      <c r="F329" s="181"/>
      <c r="G329" s="181" t="str">
        <f>_xlfn.IFNA(VLOOKUP(F329,'Abaques besoins fonctionnels'!$B$3:$C$5,2,0)," ")</f>
        <v xml:space="preserve"> </v>
      </c>
      <c r="H329" s="182" t="s">
        <v>702</v>
      </c>
    </row>
    <row r="330" spans="1:10" ht="28.2" thickBot="1">
      <c r="A330" s="335"/>
      <c r="B330" s="326"/>
      <c r="C330" s="197" t="s">
        <v>762</v>
      </c>
      <c r="D330" s="198"/>
      <c r="E330" s="199" t="s">
        <v>189</v>
      </c>
      <c r="F330" s="199"/>
      <c r="G330" s="199" t="str">
        <f>_xlfn.IFNA(VLOOKUP(F330,'Abaques besoins fonctionnels'!$B$3:$C$5,2,0)," ")</f>
        <v xml:space="preserve"> </v>
      </c>
      <c r="H330" s="200" t="s">
        <v>702</v>
      </c>
    </row>
    <row r="331" spans="1:10" ht="15" thickBot="1">
      <c r="G331" s="209"/>
    </row>
    <row r="332" spans="1:10" s="18" customFormat="1" ht="16.2" thickBot="1">
      <c r="A332" s="140" t="s">
        <v>763</v>
      </c>
      <c r="B332" s="141"/>
      <c r="C332" s="201"/>
      <c r="D332" s="201"/>
      <c r="E332" s="201"/>
      <c r="F332" s="201"/>
      <c r="G332" s="201"/>
      <c r="H332" s="201"/>
      <c r="J332" s="172"/>
    </row>
    <row r="333" spans="1:10" ht="27.6">
      <c r="A333" s="333" t="s">
        <v>764</v>
      </c>
      <c r="B333" s="337" t="s">
        <v>765</v>
      </c>
      <c r="C333" s="189" t="s">
        <v>766</v>
      </c>
      <c r="D333" s="176"/>
      <c r="E333" s="177" t="s">
        <v>64</v>
      </c>
      <c r="F333" s="177"/>
      <c r="G333" s="177" t="str">
        <f>_xlfn.IFNA(VLOOKUP(F333,'Abaques besoins fonctionnels'!$B$3:$C$5,2,0)," ")</f>
        <v xml:space="preserve"> </v>
      </c>
      <c r="H333" s="178"/>
    </row>
    <row r="334" spans="1:10" ht="27.6">
      <c r="A334" s="334"/>
      <c r="B334" s="336"/>
      <c r="C334" s="191" t="s">
        <v>767</v>
      </c>
      <c r="D334" s="180"/>
      <c r="E334" s="181" t="s">
        <v>64</v>
      </c>
      <c r="F334" s="181"/>
      <c r="G334" s="181" t="str">
        <f>_xlfn.IFNA(VLOOKUP(F334,'Abaques besoins fonctionnels'!$B$3:$C$5,2,0)," ")</f>
        <v xml:space="preserve"> </v>
      </c>
      <c r="H334" s="182"/>
    </row>
    <row r="335" spans="1:10" ht="55.2">
      <c r="A335" s="334"/>
      <c r="B335" s="324" t="s">
        <v>768</v>
      </c>
      <c r="C335" s="191" t="s">
        <v>769</v>
      </c>
      <c r="D335" s="180"/>
      <c r="E335" s="181" t="s">
        <v>64</v>
      </c>
      <c r="F335" s="181"/>
      <c r="G335" s="181" t="str">
        <f>_xlfn.IFNA(VLOOKUP(F335,'Abaques besoins fonctionnels'!$B$3:$C$5,2,0)," ")</f>
        <v xml:space="preserve"> </v>
      </c>
      <c r="H335" s="182"/>
    </row>
    <row r="336" spans="1:10" ht="27.6">
      <c r="A336" s="334"/>
      <c r="B336" s="325"/>
      <c r="C336" s="191" t="s">
        <v>770</v>
      </c>
      <c r="D336" s="180"/>
      <c r="E336" s="181" t="s">
        <v>64</v>
      </c>
      <c r="F336" s="181"/>
      <c r="G336" s="181" t="str">
        <f>_xlfn.IFNA(VLOOKUP(F336,'Abaques besoins fonctionnels'!$B$3:$C$5,2,0)," ")</f>
        <v xml:space="preserve"> </v>
      </c>
      <c r="H336" s="182"/>
    </row>
    <row r="337" spans="1:8" ht="41.4">
      <c r="A337" s="334"/>
      <c r="B337" s="336"/>
      <c r="C337" s="191" t="s">
        <v>771</v>
      </c>
      <c r="D337" s="180"/>
      <c r="E337" s="181" t="s">
        <v>64</v>
      </c>
      <c r="F337" s="181"/>
      <c r="G337" s="181" t="str">
        <f>_xlfn.IFNA(VLOOKUP(F337,'Abaques besoins fonctionnels'!$B$3:$C$5,2,0)," ")</f>
        <v xml:space="preserve"> </v>
      </c>
      <c r="H337" s="182"/>
    </row>
    <row r="338" spans="1:8" ht="41.4">
      <c r="A338" s="334"/>
      <c r="B338" s="324" t="s">
        <v>772</v>
      </c>
      <c r="C338" s="191" t="s">
        <v>773</v>
      </c>
      <c r="D338" s="180"/>
      <c r="E338" s="181" t="s">
        <v>64</v>
      </c>
      <c r="F338" s="181"/>
      <c r="G338" s="181" t="str">
        <f>_xlfn.IFNA(VLOOKUP(F338,'Abaques besoins fonctionnels'!$B$3:$C$5,2,0)," ")</f>
        <v xml:space="preserve"> </v>
      </c>
      <c r="H338" s="182" t="s">
        <v>774</v>
      </c>
    </row>
    <row r="339" spans="1:8" ht="27.6">
      <c r="A339" s="334"/>
      <c r="B339" s="325"/>
      <c r="C339" s="191" t="s">
        <v>775</v>
      </c>
      <c r="D339" s="180"/>
      <c r="E339" s="181" t="s">
        <v>64</v>
      </c>
      <c r="F339" s="181"/>
      <c r="G339" s="181" t="str">
        <f>_xlfn.IFNA(VLOOKUP(F339,'Abaques besoins fonctionnels'!$B$3:$C$5,2,0)," ")</f>
        <v xml:space="preserve"> </v>
      </c>
      <c r="H339" s="182"/>
    </row>
    <row r="340" spans="1:8" ht="27.6">
      <c r="A340" s="334"/>
      <c r="B340" s="325"/>
      <c r="C340" s="191" t="s">
        <v>776</v>
      </c>
      <c r="D340" s="180"/>
      <c r="E340" s="181" t="s">
        <v>64</v>
      </c>
      <c r="F340" s="181"/>
      <c r="G340" s="181" t="str">
        <f>_xlfn.IFNA(VLOOKUP(F340,'Abaques besoins fonctionnels'!$B$3:$C$5,2,0)," ")</f>
        <v xml:space="preserve"> </v>
      </c>
      <c r="H340" s="182"/>
    </row>
    <row r="341" spans="1:8" ht="41.4">
      <c r="A341" s="334"/>
      <c r="B341" s="325"/>
      <c r="C341" s="191" t="s">
        <v>777</v>
      </c>
      <c r="D341" s="180"/>
      <c r="E341" s="181" t="s">
        <v>64</v>
      </c>
      <c r="F341" s="181"/>
      <c r="G341" s="181" t="str">
        <f>_xlfn.IFNA(VLOOKUP(F341,'Abaques besoins fonctionnels'!$B$3:$C$5,2,0)," ")</f>
        <v xml:space="preserve"> </v>
      </c>
      <c r="H341" s="182"/>
    </row>
    <row r="342" spans="1:8" ht="27.6">
      <c r="A342" s="334"/>
      <c r="B342" s="325"/>
      <c r="C342" s="191" t="s">
        <v>778</v>
      </c>
      <c r="D342" s="180"/>
      <c r="E342" s="181" t="s">
        <v>194</v>
      </c>
      <c r="F342" s="181"/>
      <c r="G342" s="181" t="str">
        <f>_xlfn.IFNA(VLOOKUP(F342,'Abaques besoins fonctionnels'!$B$3:$C$5,2,0)," ")</f>
        <v xml:space="preserve"> </v>
      </c>
      <c r="H342" s="182" t="s">
        <v>779</v>
      </c>
    </row>
    <row r="343" spans="1:8" ht="27.6">
      <c r="A343" s="334"/>
      <c r="B343" s="325"/>
      <c r="C343" s="191" t="s">
        <v>780</v>
      </c>
      <c r="D343" s="180"/>
      <c r="E343" s="181" t="s">
        <v>440</v>
      </c>
      <c r="F343" s="181"/>
      <c r="G343" s="181" t="str">
        <f>_xlfn.IFNA(VLOOKUP(F343,'Abaques besoins fonctionnels'!$B$3:$C$5,2,0)," ")</f>
        <v xml:space="preserve"> </v>
      </c>
      <c r="H343" s="182" t="s">
        <v>781</v>
      </c>
    </row>
    <row r="344" spans="1:8" ht="69">
      <c r="A344" s="334"/>
      <c r="B344" s="325"/>
      <c r="C344" s="191" t="s">
        <v>782</v>
      </c>
      <c r="D344" s="180"/>
      <c r="E344" s="181" t="s">
        <v>64</v>
      </c>
      <c r="F344" s="181"/>
      <c r="G344" s="181" t="str">
        <f>_xlfn.IFNA(VLOOKUP(F344,'Abaques besoins fonctionnels'!$B$3:$C$5,2,0)," ")</f>
        <v xml:space="preserve"> </v>
      </c>
      <c r="H344" s="182"/>
    </row>
    <row r="345" spans="1:8" ht="41.4">
      <c r="A345" s="334"/>
      <c r="B345" s="336"/>
      <c r="C345" s="191" t="s">
        <v>783</v>
      </c>
      <c r="D345" s="180"/>
      <c r="E345" s="181" t="s">
        <v>64</v>
      </c>
      <c r="F345" s="181"/>
      <c r="G345" s="181" t="str">
        <f>_xlfn.IFNA(VLOOKUP(F345,'Abaques besoins fonctionnels'!$B$3:$C$5,2,0)," ")</f>
        <v xml:space="preserve"> </v>
      </c>
      <c r="H345" s="182" t="s">
        <v>784</v>
      </c>
    </row>
    <row r="346" spans="1:8" ht="27.6">
      <c r="A346" s="334"/>
      <c r="B346" s="324" t="s">
        <v>785</v>
      </c>
      <c r="C346" s="191" t="s">
        <v>786</v>
      </c>
      <c r="D346" s="180"/>
      <c r="E346" s="181" t="s">
        <v>64</v>
      </c>
      <c r="F346" s="181"/>
      <c r="G346" s="181" t="str">
        <f>_xlfn.IFNA(VLOOKUP(F346,'Abaques besoins fonctionnels'!$B$3:$C$5,2,0)," ")</f>
        <v xml:space="preserve"> </v>
      </c>
      <c r="H346" s="182"/>
    </row>
    <row r="347" spans="1:8" ht="41.4">
      <c r="A347" s="334"/>
      <c r="B347" s="325"/>
      <c r="C347" s="191" t="s">
        <v>787</v>
      </c>
      <c r="D347" s="180"/>
      <c r="E347" s="181" t="s">
        <v>64</v>
      </c>
      <c r="F347" s="181"/>
      <c r="G347" s="181" t="str">
        <f>_xlfn.IFNA(VLOOKUP(F347,'Abaques besoins fonctionnels'!$B$3:$C$5,2,0)," ")</f>
        <v xml:space="preserve"> </v>
      </c>
      <c r="H347" s="182"/>
    </row>
    <row r="348" spans="1:8" ht="41.4">
      <c r="A348" s="334"/>
      <c r="B348" s="336"/>
      <c r="C348" s="191" t="s">
        <v>788</v>
      </c>
      <c r="D348" s="180"/>
      <c r="E348" s="181" t="s">
        <v>194</v>
      </c>
      <c r="F348" s="181"/>
      <c r="G348" s="181" t="str">
        <f>_xlfn.IFNA(VLOOKUP(F348,'Abaques besoins fonctionnels'!$B$3:$C$5,2,0)," ")</f>
        <v xml:space="preserve"> </v>
      </c>
      <c r="H348" s="182" t="s">
        <v>789</v>
      </c>
    </row>
    <row r="349" spans="1:8" ht="27" customHeight="1">
      <c r="A349" s="334"/>
      <c r="B349" s="324" t="s">
        <v>790</v>
      </c>
      <c r="C349" s="191" t="s">
        <v>791</v>
      </c>
      <c r="D349" s="180"/>
      <c r="E349" s="181" t="s">
        <v>64</v>
      </c>
      <c r="F349" s="181"/>
      <c r="G349" s="181" t="str">
        <f>_xlfn.IFNA(VLOOKUP(F349,'Abaques besoins fonctionnels'!$B$3:$C$5,2,0)," ")</f>
        <v xml:space="preserve"> </v>
      </c>
      <c r="H349" s="182"/>
    </row>
    <row r="350" spans="1:8" ht="27.6">
      <c r="A350" s="334"/>
      <c r="B350" s="325"/>
      <c r="C350" s="191" t="s">
        <v>792</v>
      </c>
      <c r="D350" s="180"/>
      <c r="E350" s="181" t="s">
        <v>64</v>
      </c>
      <c r="F350" s="181"/>
      <c r="G350" s="181" t="str">
        <f>_xlfn.IFNA(VLOOKUP(F350,'Abaques besoins fonctionnels'!$B$3:$C$5,2,0)," ")</f>
        <v xml:space="preserve"> </v>
      </c>
      <c r="H350" s="182"/>
    </row>
    <row r="351" spans="1:8" ht="27.6">
      <c r="A351" s="334"/>
      <c r="B351" s="325"/>
      <c r="C351" s="191" t="s">
        <v>793</v>
      </c>
      <c r="D351" s="180"/>
      <c r="E351" s="181" t="s">
        <v>64</v>
      </c>
      <c r="F351" s="181"/>
      <c r="G351" s="181" t="str">
        <f>_xlfn.IFNA(VLOOKUP(F351,'Abaques besoins fonctionnels'!$B$3:$C$5,2,0)," ")</f>
        <v xml:space="preserve"> </v>
      </c>
      <c r="H351" s="182"/>
    </row>
    <row r="352" spans="1:8" ht="27.6">
      <c r="A352" s="334"/>
      <c r="B352" s="336"/>
      <c r="C352" s="191" t="s">
        <v>794</v>
      </c>
      <c r="D352" s="180"/>
      <c r="E352" s="181" t="s">
        <v>64</v>
      </c>
      <c r="F352" s="181"/>
      <c r="G352" s="181" t="str">
        <f>_xlfn.IFNA(VLOOKUP(F352,'Abaques besoins fonctionnels'!$B$3:$C$5,2,0)," ")</f>
        <v xml:space="preserve"> </v>
      </c>
      <c r="H352" s="182"/>
    </row>
    <row r="353" spans="1:10" ht="55.2">
      <c r="A353" s="334"/>
      <c r="B353" s="324" t="s">
        <v>795</v>
      </c>
      <c r="C353" s="191" t="s">
        <v>796</v>
      </c>
      <c r="D353" s="180"/>
      <c r="E353" s="181" t="s">
        <v>194</v>
      </c>
      <c r="F353" s="181"/>
      <c r="G353" s="181" t="str">
        <f>_xlfn.IFNA(VLOOKUP(F353,'Abaques besoins fonctionnels'!$B$3:$C$5,2,0)," ")</f>
        <v xml:space="preserve"> </v>
      </c>
      <c r="H353" s="182" t="s">
        <v>797</v>
      </c>
    </row>
    <row r="354" spans="1:10" ht="41.4">
      <c r="A354" s="334"/>
      <c r="B354" s="336"/>
      <c r="C354" s="191" t="s">
        <v>798</v>
      </c>
      <c r="D354" s="180"/>
      <c r="E354" s="181" t="s">
        <v>194</v>
      </c>
      <c r="F354" s="181"/>
      <c r="G354" s="181" t="str">
        <f>_xlfn.IFNA(VLOOKUP(F354,'Abaques besoins fonctionnels'!$B$3:$C$5,2,0)," ")</f>
        <v xml:space="preserve"> </v>
      </c>
      <c r="H354" s="182" t="s">
        <v>797</v>
      </c>
    </row>
    <row r="355" spans="1:10" ht="175.5" customHeight="1">
      <c r="A355" s="334"/>
      <c r="B355" s="239" t="s">
        <v>799</v>
      </c>
      <c r="C355" s="191" t="s">
        <v>800</v>
      </c>
      <c r="D355" s="180"/>
      <c r="E355" s="181" t="s">
        <v>64</v>
      </c>
      <c r="F355" s="181"/>
      <c r="G355" s="181" t="str">
        <f>_xlfn.IFNA(VLOOKUP(F355,'Abaques besoins fonctionnels'!$B$3:$C$5,2,0)," ")</f>
        <v xml:space="preserve"> </v>
      </c>
      <c r="H355" s="182" t="s">
        <v>801</v>
      </c>
    </row>
    <row r="356" spans="1:10" ht="124.2">
      <c r="A356" s="334"/>
      <c r="B356" s="239" t="s">
        <v>802</v>
      </c>
      <c r="C356" s="191" t="s">
        <v>803</v>
      </c>
      <c r="D356" s="180"/>
      <c r="E356" s="181" t="s">
        <v>194</v>
      </c>
      <c r="F356" s="181"/>
      <c r="G356" s="181" t="str">
        <f>_xlfn.IFNA(VLOOKUP(F356,'Abaques besoins fonctionnels'!$B$3:$C$5,2,0)," ")</f>
        <v xml:space="preserve"> </v>
      </c>
      <c r="H356" s="182" t="s">
        <v>804</v>
      </c>
    </row>
    <row r="357" spans="1:10" ht="27.6">
      <c r="A357" s="334"/>
      <c r="B357" s="324" t="s">
        <v>805</v>
      </c>
      <c r="C357" s="191" t="s">
        <v>806</v>
      </c>
      <c r="D357" s="180"/>
      <c r="E357" s="181" t="s">
        <v>64</v>
      </c>
      <c r="F357" s="181"/>
      <c r="G357" s="181" t="str">
        <f>_xlfn.IFNA(VLOOKUP(F357,'Abaques besoins fonctionnels'!$B$3:$C$5,2,0)," ")</f>
        <v xml:space="preserve"> </v>
      </c>
      <c r="H357" s="182"/>
    </row>
    <row r="358" spans="1:10" ht="15" thickBot="1">
      <c r="A358" s="335"/>
      <c r="B358" s="326"/>
      <c r="C358" s="197" t="s">
        <v>807</v>
      </c>
      <c r="D358" s="198"/>
      <c r="E358" s="199" t="s">
        <v>64</v>
      </c>
      <c r="F358" s="199"/>
      <c r="G358" s="199" t="str">
        <f>_xlfn.IFNA(VLOOKUP(F358,'Abaques besoins fonctionnels'!$B$3:$C$5,2,0)," ")</f>
        <v xml:space="preserve"> </v>
      </c>
      <c r="H358" s="200"/>
    </row>
    <row r="359" spans="1:10" ht="15" thickBot="1">
      <c r="B359" s="5"/>
      <c r="G359" s="209" t="str">
        <f>_xlfn.IFNA(VLOOKUP(F356,'Abaques besoins fonctionnels'!$B$3:$C$5,2,0)," ")</f>
        <v xml:space="preserve"> </v>
      </c>
    </row>
    <row r="360" spans="1:10" s="18" customFormat="1" ht="16.2" thickBot="1">
      <c r="A360" s="140" t="s">
        <v>808</v>
      </c>
      <c r="B360" s="141"/>
      <c r="C360" s="154"/>
      <c r="D360" s="141"/>
      <c r="E360" s="141"/>
      <c r="F360" s="141"/>
      <c r="G360" s="201"/>
      <c r="H360" s="201"/>
      <c r="J360" s="172"/>
    </row>
    <row r="361" spans="1:10" ht="41.4">
      <c r="A361" s="243" t="s">
        <v>809</v>
      </c>
      <c r="B361" s="241" t="s">
        <v>810</v>
      </c>
      <c r="C361" s="203" t="s">
        <v>811</v>
      </c>
      <c r="D361" s="204"/>
      <c r="E361" s="177" t="s">
        <v>64</v>
      </c>
      <c r="F361" s="177"/>
      <c r="G361" s="177" t="str">
        <f>_xlfn.IFNA(VLOOKUP(F361,'Abaques besoins fonctionnels'!$B$3:$C$5,2,0)," ")</f>
        <v xml:space="preserve"> </v>
      </c>
      <c r="H361" s="178"/>
    </row>
    <row r="362" spans="1:10" ht="124.2">
      <c r="A362" s="244"/>
      <c r="B362" s="338" t="s">
        <v>812</v>
      </c>
      <c r="C362" s="191" t="s">
        <v>813</v>
      </c>
      <c r="D362" s="180"/>
      <c r="E362" s="181" t="s">
        <v>440</v>
      </c>
      <c r="F362" s="181" t="s">
        <v>538</v>
      </c>
      <c r="G362" s="181">
        <f>_xlfn.IFNA(VLOOKUP(F362,'Abaques besoins fonctionnels'!$B$3:$C$5,2,0)," ")</f>
        <v>28</v>
      </c>
      <c r="H362" s="182" t="s">
        <v>814</v>
      </c>
    </row>
    <row r="363" spans="1:10" ht="27.6">
      <c r="A363" s="244"/>
      <c r="B363" s="339"/>
      <c r="C363" s="191" t="s">
        <v>815</v>
      </c>
      <c r="D363" s="180"/>
      <c r="E363" s="181" t="s">
        <v>64</v>
      </c>
      <c r="F363" s="181"/>
      <c r="G363" s="181" t="str">
        <f>_xlfn.IFNA(VLOOKUP(F363,'Abaques besoins fonctionnels'!$B$3:$C$5,2,0)," ")</f>
        <v xml:space="preserve"> </v>
      </c>
      <c r="H363" s="182"/>
    </row>
    <row r="364" spans="1:10" ht="151.80000000000001">
      <c r="A364" s="244"/>
      <c r="B364" s="338" t="s">
        <v>816</v>
      </c>
      <c r="C364" s="191" t="s">
        <v>817</v>
      </c>
      <c r="D364" s="180"/>
      <c r="E364" s="181" t="s">
        <v>440</v>
      </c>
      <c r="F364" s="181" t="s">
        <v>441</v>
      </c>
      <c r="G364" s="181">
        <f>_xlfn.IFNA(VLOOKUP(F364,'Abaques besoins fonctionnels'!$B$3:$C$5,2,0)," ")</f>
        <v>18</v>
      </c>
      <c r="H364" s="182" t="s">
        <v>814</v>
      </c>
    </row>
    <row r="365" spans="1:10">
      <c r="A365" s="244"/>
      <c r="B365" s="340"/>
      <c r="C365" s="191" t="s">
        <v>818</v>
      </c>
      <c r="D365" s="180"/>
      <c r="E365" s="181" t="s">
        <v>64</v>
      </c>
      <c r="F365" s="181"/>
      <c r="G365" s="181" t="str">
        <f>_xlfn.IFNA(VLOOKUP(F365,'Abaques besoins fonctionnels'!$B$3:$C$5,2,0)," ")</f>
        <v xml:space="preserve"> </v>
      </c>
      <c r="H365" s="182"/>
    </row>
    <row r="366" spans="1:10" ht="27.6">
      <c r="A366" s="244"/>
      <c r="B366" s="339"/>
      <c r="C366" s="191" t="s">
        <v>819</v>
      </c>
      <c r="D366" s="180"/>
      <c r="E366" s="181" t="s">
        <v>64</v>
      </c>
      <c r="F366" s="181"/>
      <c r="G366" s="181" t="str">
        <f>_xlfn.IFNA(VLOOKUP(F366,'Abaques besoins fonctionnels'!$B$3:$C$5,2,0)," ")</f>
        <v xml:space="preserve"> </v>
      </c>
      <c r="H366" s="182"/>
    </row>
    <row r="367" spans="1:10" ht="27.6">
      <c r="A367" s="244"/>
      <c r="B367" s="338" t="s">
        <v>820</v>
      </c>
      <c r="C367" s="191" t="s">
        <v>821</v>
      </c>
      <c r="D367" s="180"/>
      <c r="E367" s="181" t="s">
        <v>64</v>
      </c>
      <c r="F367" s="181"/>
      <c r="G367" s="181" t="str">
        <f>_xlfn.IFNA(VLOOKUP(F367,'Abaques besoins fonctionnels'!$B$3:$C$5,2,0)," ")</f>
        <v xml:space="preserve"> </v>
      </c>
      <c r="H367" s="182"/>
    </row>
    <row r="368" spans="1:10" ht="41.4">
      <c r="A368" s="244"/>
      <c r="B368" s="339"/>
      <c r="C368" s="191" t="s">
        <v>822</v>
      </c>
      <c r="D368" s="180"/>
      <c r="E368" s="181" t="s">
        <v>64</v>
      </c>
      <c r="F368" s="181"/>
      <c r="G368" s="181" t="str">
        <f>_xlfn.IFNA(VLOOKUP(F368,'Abaques besoins fonctionnels'!$B$3:$C$5,2,0)," ")</f>
        <v xml:space="preserve"> </v>
      </c>
      <c r="H368" s="182"/>
    </row>
    <row r="369" spans="1:10" ht="166.2" thickBot="1">
      <c r="A369" s="245"/>
      <c r="B369" s="246" t="s">
        <v>823</v>
      </c>
      <c r="C369" s="197" t="s">
        <v>824</v>
      </c>
      <c r="D369" s="198"/>
      <c r="E369" s="199" t="s">
        <v>440</v>
      </c>
      <c r="F369" s="199" t="s">
        <v>441</v>
      </c>
      <c r="G369" s="199">
        <f>_xlfn.IFNA(VLOOKUP(F369,'Abaques besoins fonctionnels'!$B$3:$C$5,2,0)," ")</f>
        <v>18</v>
      </c>
      <c r="H369" s="200" t="s">
        <v>825</v>
      </c>
    </row>
    <row r="370" spans="1:10" ht="15" thickBot="1">
      <c r="G370" s="209" t="str">
        <f>_xlfn.IFNA(VLOOKUP(F367,'Abaques besoins fonctionnels'!$B$3:$C$5,2,0)," ")</f>
        <v xml:space="preserve"> </v>
      </c>
    </row>
    <row r="371" spans="1:10" s="18" customFormat="1" ht="16.2" thickBot="1">
      <c r="A371" s="140" t="s">
        <v>826</v>
      </c>
      <c r="B371" s="141"/>
      <c r="C371" s="154"/>
      <c r="D371" s="141"/>
      <c r="E371" s="141"/>
      <c r="F371" s="141"/>
      <c r="G371" s="141"/>
      <c r="H371" s="201"/>
      <c r="J371" s="172"/>
    </row>
    <row r="372" spans="1:10" ht="82.8">
      <c r="A372" s="247" t="s">
        <v>827</v>
      </c>
      <c r="B372" s="248" t="s">
        <v>828</v>
      </c>
      <c r="C372" s="189" t="s">
        <v>829</v>
      </c>
      <c r="D372" s="176"/>
      <c r="E372" s="177" t="s">
        <v>194</v>
      </c>
      <c r="F372" s="177"/>
      <c r="G372" s="177"/>
      <c r="H372" s="178" t="s">
        <v>830</v>
      </c>
    </row>
    <row r="373" spans="1:10" ht="55.2">
      <c r="A373" s="249"/>
      <c r="B373" s="237"/>
      <c r="C373" s="191" t="s">
        <v>831</v>
      </c>
      <c r="D373" s="180"/>
      <c r="E373" s="181" t="s">
        <v>440</v>
      </c>
      <c r="F373" s="181" t="s">
        <v>752</v>
      </c>
      <c r="G373" s="181">
        <f>_xlfn.IFNA(VLOOKUP(F373,'Abaques besoins fonctionnels'!$B$3:$C$5,2,0)," ")</f>
        <v>10</v>
      </c>
      <c r="H373" s="182"/>
    </row>
    <row r="374" spans="1:10" ht="138">
      <c r="A374" s="249"/>
      <c r="B374" s="239" t="s">
        <v>832</v>
      </c>
      <c r="C374" s="191" t="s">
        <v>833</v>
      </c>
      <c r="D374" s="180"/>
      <c r="E374" s="181" t="s">
        <v>64</v>
      </c>
      <c r="F374" s="181"/>
      <c r="G374" s="181" t="str">
        <f>_xlfn.IFNA(VLOOKUP(F374,'Abaques besoins fonctionnels'!$B$3:$C$5,2,0)," ")</f>
        <v xml:space="preserve"> </v>
      </c>
      <c r="H374" s="182"/>
    </row>
    <row r="375" spans="1:10" ht="138">
      <c r="A375" s="249"/>
      <c r="B375" s="239" t="s">
        <v>834</v>
      </c>
      <c r="C375" s="191" t="s">
        <v>835</v>
      </c>
      <c r="D375" s="180"/>
      <c r="E375" s="181" t="s">
        <v>64</v>
      </c>
      <c r="F375" s="181"/>
      <c r="G375" s="181" t="str">
        <f>_xlfn.IFNA(VLOOKUP(F375,'Abaques besoins fonctionnels'!$B$3:$C$5,2,0)," ")</f>
        <v xml:space="preserve"> </v>
      </c>
      <c r="H375" s="182"/>
    </row>
    <row r="376" spans="1:10" ht="41.4">
      <c r="A376" s="249"/>
      <c r="B376" s="242" t="s">
        <v>836</v>
      </c>
      <c r="C376" s="191" t="s">
        <v>837</v>
      </c>
      <c r="D376" s="180"/>
      <c r="E376" s="181" t="s">
        <v>64</v>
      </c>
      <c r="F376" s="181"/>
      <c r="G376" s="181" t="str">
        <f>_xlfn.IFNA(VLOOKUP(F376,'Abaques besoins fonctionnels'!$B$3:$C$5,2,0)," ")</f>
        <v xml:space="preserve"> </v>
      </c>
      <c r="H376" s="182"/>
    </row>
    <row r="377" spans="1:10" ht="82.8">
      <c r="A377" s="249"/>
      <c r="B377" s="239" t="s">
        <v>838</v>
      </c>
      <c r="C377" s="191" t="s">
        <v>839</v>
      </c>
      <c r="D377" s="180"/>
      <c r="E377" s="181" t="s">
        <v>64</v>
      </c>
      <c r="F377" s="181"/>
      <c r="G377" s="181" t="str">
        <f>_xlfn.IFNA(VLOOKUP(F377,'Abaques besoins fonctionnels'!$B$3:$C$5,2,0)," ")</f>
        <v xml:space="preserve"> </v>
      </c>
      <c r="H377" s="182"/>
    </row>
    <row r="378" spans="1:10" ht="69">
      <c r="A378" s="249"/>
      <c r="B378" s="239" t="s">
        <v>840</v>
      </c>
      <c r="C378" s="191" t="s">
        <v>841</v>
      </c>
      <c r="D378" s="180"/>
      <c r="E378" s="181" t="s">
        <v>64</v>
      </c>
      <c r="F378" s="181"/>
      <c r="G378" s="181" t="str">
        <f>_xlfn.IFNA(VLOOKUP(F378,'Abaques besoins fonctionnels'!$B$3:$C$5,2,0)," ")</f>
        <v xml:space="preserve"> </v>
      </c>
      <c r="H378" s="182"/>
    </row>
    <row r="379" spans="1:10" ht="110.4">
      <c r="A379" s="249"/>
      <c r="B379" s="324" t="s">
        <v>842</v>
      </c>
      <c r="C379" s="191" t="s">
        <v>843</v>
      </c>
      <c r="D379" s="180"/>
      <c r="E379" s="181" t="s">
        <v>64</v>
      </c>
      <c r="F379" s="181"/>
      <c r="G379" s="181" t="str">
        <f>_xlfn.IFNA(VLOOKUP(F379,'Abaques besoins fonctionnels'!$B$3:$C$5,2,0)," ")</f>
        <v xml:space="preserve"> </v>
      </c>
      <c r="H379" s="182"/>
    </row>
    <row r="380" spans="1:10" ht="41.4">
      <c r="A380" s="249"/>
      <c r="B380" s="336"/>
      <c r="C380" s="191" t="s">
        <v>844</v>
      </c>
      <c r="D380" s="180"/>
      <c r="E380" s="181" t="s">
        <v>64</v>
      </c>
      <c r="F380" s="181"/>
      <c r="G380" s="181" t="str">
        <f>_xlfn.IFNA(VLOOKUP(F380,'Abaques besoins fonctionnels'!$B$3:$C$5,2,0)," ")</f>
        <v xml:space="preserve"> </v>
      </c>
      <c r="H380" s="182"/>
    </row>
    <row r="381" spans="1:10" ht="82.8">
      <c r="A381" s="249"/>
      <c r="B381" s="324" t="s">
        <v>845</v>
      </c>
      <c r="C381" s="191" t="s">
        <v>846</v>
      </c>
      <c r="D381" s="180"/>
      <c r="E381" s="181" t="s">
        <v>64</v>
      </c>
      <c r="F381" s="181"/>
      <c r="G381" s="181" t="str">
        <f>_xlfn.IFNA(VLOOKUP(F381,'Abaques besoins fonctionnels'!$B$3:$C$5,2,0)," ")</f>
        <v xml:space="preserve"> </v>
      </c>
      <c r="H381" s="182"/>
    </row>
    <row r="382" spans="1:10" ht="69">
      <c r="A382" s="249"/>
      <c r="B382" s="325"/>
      <c r="C382" s="191" t="s">
        <v>847</v>
      </c>
      <c r="D382" s="180"/>
      <c r="E382" s="181" t="s">
        <v>64</v>
      </c>
      <c r="F382" s="181"/>
      <c r="G382" s="181" t="str">
        <f>_xlfn.IFNA(VLOOKUP(F382,'Abaques besoins fonctionnels'!$B$3:$C$5,2,0)," ")</f>
        <v xml:space="preserve"> </v>
      </c>
      <c r="H382" s="182"/>
    </row>
    <row r="383" spans="1:10" ht="27.6">
      <c r="A383" s="249"/>
      <c r="B383" s="325"/>
      <c r="C383" s="191" t="s">
        <v>848</v>
      </c>
      <c r="D383" s="180"/>
      <c r="E383" s="181" t="s">
        <v>64</v>
      </c>
      <c r="F383" s="181"/>
      <c r="G383" s="181" t="str">
        <f>_xlfn.IFNA(VLOOKUP(F383,'Abaques besoins fonctionnels'!$B$3:$C$5,2,0)," ")</f>
        <v xml:space="preserve"> </v>
      </c>
      <c r="H383" s="250"/>
    </row>
    <row r="384" spans="1:10" ht="27.6">
      <c r="A384" s="249"/>
      <c r="B384" s="336"/>
      <c r="C384" s="191" t="s">
        <v>849</v>
      </c>
      <c r="D384" s="180"/>
      <c r="E384" s="181" t="s">
        <v>194</v>
      </c>
      <c r="F384" s="181"/>
      <c r="G384" s="181" t="str">
        <f>_xlfn.IFNA(VLOOKUP(F384,'Abaques besoins fonctionnels'!$B$3:$C$5,2,0)," ")</f>
        <v xml:space="preserve"> </v>
      </c>
      <c r="H384" s="182" t="s">
        <v>850</v>
      </c>
    </row>
    <row r="385" spans="1:8" ht="55.2">
      <c r="A385" s="249"/>
      <c r="B385" s="324" t="s">
        <v>851</v>
      </c>
      <c r="C385" s="191" t="s">
        <v>852</v>
      </c>
      <c r="D385" s="180"/>
      <c r="E385" s="181" t="s">
        <v>64</v>
      </c>
      <c r="F385" s="181"/>
      <c r="G385" s="181" t="str">
        <f>_xlfn.IFNA(VLOOKUP(F385,'Abaques besoins fonctionnels'!$B$3:$C$5,2,0)," ")</f>
        <v xml:space="preserve"> </v>
      </c>
      <c r="H385" s="182"/>
    </row>
    <row r="386" spans="1:8" ht="55.2">
      <c r="A386" s="249"/>
      <c r="B386" s="325"/>
      <c r="C386" s="191" t="s">
        <v>853</v>
      </c>
      <c r="D386" s="180"/>
      <c r="E386" s="181" t="s">
        <v>64</v>
      </c>
      <c r="F386" s="181"/>
      <c r="G386" s="181" t="str">
        <f>_xlfn.IFNA(VLOOKUP(F386,'Abaques besoins fonctionnels'!$B$3:$C$5,2,0)," ")</f>
        <v xml:space="preserve"> </v>
      </c>
      <c r="H386" s="182"/>
    </row>
    <row r="387" spans="1:8" ht="27.6">
      <c r="A387" s="249"/>
      <c r="B387" s="336"/>
      <c r="C387" s="191" t="s">
        <v>854</v>
      </c>
      <c r="D387" s="180"/>
      <c r="E387" s="181" t="s">
        <v>64</v>
      </c>
      <c r="F387" s="181"/>
      <c r="G387" s="181" t="str">
        <f>_xlfn.IFNA(VLOOKUP(F387,'Abaques besoins fonctionnels'!$B$3:$C$5,2,0)," ")</f>
        <v xml:space="preserve"> </v>
      </c>
      <c r="H387" s="182"/>
    </row>
    <row r="388" spans="1:8" ht="69">
      <c r="A388" s="249"/>
      <c r="B388" s="324" t="s">
        <v>855</v>
      </c>
      <c r="C388" s="191" t="s">
        <v>856</v>
      </c>
      <c r="D388" s="180"/>
      <c r="E388" s="181" t="s">
        <v>64</v>
      </c>
      <c r="F388" s="181"/>
      <c r="G388" s="181" t="str">
        <f>_xlfn.IFNA(VLOOKUP(F388,'Abaques besoins fonctionnels'!$B$3:$C$5,2,0)," ")</f>
        <v xml:space="preserve"> </v>
      </c>
      <c r="H388" s="182"/>
    </row>
    <row r="389" spans="1:8" ht="27.6">
      <c r="A389" s="249"/>
      <c r="B389" s="336"/>
      <c r="C389" s="191" t="s">
        <v>857</v>
      </c>
      <c r="D389" s="180"/>
      <c r="E389" s="181" t="s">
        <v>64</v>
      </c>
      <c r="F389" s="181"/>
      <c r="G389" s="181" t="str">
        <f>_xlfn.IFNA(VLOOKUP(F389,'Abaques besoins fonctionnels'!$B$3:$C$5,2,0)," ")</f>
        <v xml:space="preserve"> </v>
      </c>
      <c r="H389" s="182"/>
    </row>
    <row r="390" spans="1:8" ht="41.4">
      <c r="A390" s="249"/>
      <c r="B390" s="324" t="s">
        <v>858</v>
      </c>
      <c r="C390" s="191" t="s">
        <v>859</v>
      </c>
      <c r="D390" s="180"/>
      <c r="E390" s="181" t="s">
        <v>64</v>
      </c>
      <c r="F390" s="181"/>
      <c r="G390" s="181" t="str">
        <f>_xlfn.IFNA(VLOOKUP(F390,'Abaques besoins fonctionnels'!$B$3:$C$5,2,0)," ")</f>
        <v xml:space="preserve"> </v>
      </c>
      <c r="H390" s="182"/>
    </row>
    <row r="391" spans="1:8" ht="82.8">
      <c r="A391" s="249"/>
      <c r="B391" s="336"/>
      <c r="C391" s="191" t="s">
        <v>860</v>
      </c>
      <c r="D391" s="180"/>
      <c r="E391" s="181" t="s">
        <v>64</v>
      </c>
      <c r="F391" s="181"/>
      <c r="G391" s="181" t="str">
        <f>_xlfn.IFNA(VLOOKUP(F391,'Abaques besoins fonctionnels'!$B$3:$C$5,2,0)," ")</f>
        <v xml:space="preserve"> </v>
      </c>
      <c r="H391" s="182"/>
    </row>
    <row r="392" spans="1:8" ht="138">
      <c r="A392" s="249"/>
      <c r="B392" s="251" t="s">
        <v>861</v>
      </c>
      <c r="C392" s="191" t="s">
        <v>862</v>
      </c>
      <c r="D392" s="180"/>
      <c r="E392" s="181" t="s">
        <v>64</v>
      </c>
      <c r="F392" s="181"/>
      <c r="G392" s="181" t="str">
        <f>_xlfn.IFNA(VLOOKUP(F392,'Abaques besoins fonctionnels'!$B$3:$C$5,2,0)," ")</f>
        <v xml:space="preserve"> </v>
      </c>
      <c r="H392" s="182"/>
    </row>
    <row r="393" spans="1:8" ht="55.2">
      <c r="A393" s="249"/>
      <c r="B393" s="324" t="s">
        <v>863</v>
      </c>
      <c r="C393" s="191" t="s">
        <v>864</v>
      </c>
      <c r="D393" s="180"/>
      <c r="E393" s="181" t="s">
        <v>64</v>
      </c>
      <c r="F393" s="181"/>
      <c r="G393" s="181" t="str">
        <f>_xlfn.IFNA(VLOOKUP(F393,'Abaques besoins fonctionnels'!$B$3:$C$5,2,0)," ")</f>
        <v xml:space="preserve"> </v>
      </c>
      <c r="H393" s="182"/>
    </row>
    <row r="394" spans="1:8" ht="27.6">
      <c r="A394" s="249"/>
      <c r="B394" s="325"/>
      <c r="C394" s="191" t="s">
        <v>865</v>
      </c>
      <c r="D394" s="180"/>
      <c r="E394" s="181" t="s">
        <v>64</v>
      </c>
      <c r="F394" s="181"/>
      <c r="G394" s="181" t="str">
        <f>_xlfn.IFNA(VLOOKUP(F394,'Abaques besoins fonctionnels'!$B$3:$C$5,2,0)," ")</f>
        <v xml:space="preserve"> </v>
      </c>
      <c r="H394" s="182"/>
    </row>
    <row r="395" spans="1:8" ht="41.4">
      <c r="A395" s="249"/>
      <c r="B395" s="325"/>
      <c r="C395" s="191" t="s">
        <v>866</v>
      </c>
      <c r="D395" s="180"/>
      <c r="E395" s="181" t="s">
        <v>64</v>
      </c>
      <c r="F395" s="181"/>
      <c r="G395" s="181" t="str">
        <f>_xlfn.IFNA(VLOOKUP(F395,'Abaques besoins fonctionnels'!$B$3:$C$5,2,0)," ")</f>
        <v xml:space="preserve"> </v>
      </c>
      <c r="H395" s="182"/>
    </row>
    <row r="396" spans="1:8" ht="41.4">
      <c r="A396" s="249"/>
      <c r="B396" s="336"/>
      <c r="C396" s="191" t="s">
        <v>867</v>
      </c>
      <c r="D396" s="180"/>
      <c r="E396" s="181" t="s">
        <v>64</v>
      </c>
      <c r="F396" s="181"/>
      <c r="G396" s="181" t="str">
        <f>_xlfn.IFNA(VLOOKUP(F396,'Abaques besoins fonctionnels'!$B$3:$C$5,2,0)," ")</f>
        <v xml:space="preserve"> </v>
      </c>
      <c r="H396" s="182"/>
    </row>
    <row r="397" spans="1:8" ht="110.4">
      <c r="A397" s="249"/>
      <c r="B397" s="251" t="s">
        <v>868</v>
      </c>
      <c r="C397" s="191" t="s">
        <v>869</v>
      </c>
      <c r="D397" s="180"/>
      <c r="E397" s="181" t="s">
        <v>64</v>
      </c>
      <c r="F397" s="181"/>
      <c r="G397" s="181" t="str">
        <f>_xlfn.IFNA(VLOOKUP(F397,'Abaques besoins fonctionnels'!$B$3:$C$5,2,0)," ")</f>
        <v xml:space="preserve"> </v>
      </c>
      <c r="H397" s="182"/>
    </row>
    <row r="398" spans="1:8" ht="69">
      <c r="A398" s="249"/>
      <c r="B398" s="324" t="s">
        <v>870</v>
      </c>
      <c r="C398" s="191" t="s">
        <v>871</v>
      </c>
      <c r="D398" s="180"/>
      <c r="E398" s="181" t="s">
        <v>64</v>
      </c>
      <c r="F398" s="181"/>
      <c r="G398" s="181" t="str">
        <f>_xlfn.IFNA(VLOOKUP(F398,'Abaques besoins fonctionnels'!$B$3:$C$5,2,0)," ")</f>
        <v xml:space="preserve"> </v>
      </c>
      <c r="H398" s="182"/>
    </row>
    <row r="399" spans="1:8" ht="41.4">
      <c r="A399" s="249"/>
      <c r="B399" s="336"/>
      <c r="C399" s="191" t="s">
        <v>872</v>
      </c>
      <c r="D399" s="180"/>
      <c r="E399" s="181" t="s">
        <v>64</v>
      </c>
      <c r="F399" s="181"/>
      <c r="G399" s="181" t="str">
        <f>_xlfn.IFNA(VLOOKUP(F399,'Abaques besoins fonctionnels'!$B$3:$C$5,2,0)," ")</f>
        <v xml:space="preserve"> </v>
      </c>
      <c r="H399" s="182"/>
    </row>
    <row r="400" spans="1:8" ht="69">
      <c r="A400" s="249"/>
      <c r="B400" s="324" t="s">
        <v>873</v>
      </c>
      <c r="C400" s="191" t="s">
        <v>874</v>
      </c>
      <c r="D400" s="180"/>
      <c r="E400" s="181" t="s">
        <v>64</v>
      </c>
      <c r="F400" s="181"/>
      <c r="G400" s="181" t="str">
        <f>_xlfn.IFNA(VLOOKUP(F400,'Abaques besoins fonctionnels'!$B$3:$C$5,2,0)," ")</f>
        <v xml:space="preserve"> </v>
      </c>
      <c r="H400" s="182"/>
    </row>
    <row r="401" spans="1:8" ht="55.2">
      <c r="A401" s="249"/>
      <c r="B401" s="336"/>
      <c r="C401" s="191" t="s">
        <v>875</v>
      </c>
      <c r="D401" s="180"/>
      <c r="E401" s="181" t="s">
        <v>64</v>
      </c>
      <c r="F401" s="181"/>
      <c r="G401" s="181" t="str">
        <f>_xlfn.IFNA(VLOOKUP(F401,'Abaques besoins fonctionnels'!$B$3:$C$5,2,0)," ")</f>
        <v xml:space="preserve"> </v>
      </c>
      <c r="H401" s="182"/>
    </row>
    <row r="402" spans="1:8" ht="27.6">
      <c r="A402" s="249"/>
      <c r="B402" s="324" t="s">
        <v>876</v>
      </c>
      <c r="C402" s="191" t="s">
        <v>877</v>
      </c>
      <c r="D402" s="180"/>
      <c r="E402" s="181" t="s">
        <v>64</v>
      </c>
      <c r="F402" s="181"/>
      <c r="G402" s="181" t="str">
        <f>_xlfn.IFNA(VLOOKUP(F402,'Abaques besoins fonctionnels'!$B$3:$C$5,2,0)," ")</f>
        <v xml:space="preserve"> </v>
      </c>
      <c r="H402" s="182"/>
    </row>
    <row r="403" spans="1:8" ht="69">
      <c r="A403" s="249"/>
      <c r="B403" s="336"/>
      <c r="C403" s="191" t="s">
        <v>878</v>
      </c>
      <c r="D403" s="180"/>
      <c r="E403" s="181" t="s">
        <v>64</v>
      </c>
      <c r="F403" s="181"/>
      <c r="G403" s="181" t="str">
        <f>_xlfn.IFNA(VLOOKUP(F403,'Abaques besoins fonctionnels'!$B$3:$C$5,2,0)," ")</f>
        <v xml:space="preserve"> </v>
      </c>
      <c r="H403" s="182"/>
    </row>
    <row r="404" spans="1:8" ht="27.6">
      <c r="A404" s="249"/>
      <c r="B404" s="324" t="s">
        <v>879</v>
      </c>
      <c r="C404" s="191" t="s">
        <v>880</v>
      </c>
      <c r="D404" s="180"/>
      <c r="E404" s="181" t="s">
        <v>64</v>
      </c>
      <c r="F404" s="181"/>
      <c r="G404" s="181" t="str">
        <f>_xlfn.IFNA(VLOOKUP(F404,'Abaques besoins fonctionnels'!$B$3:$C$5,2,0)," ")</f>
        <v xml:space="preserve"> </v>
      </c>
      <c r="H404" s="182"/>
    </row>
    <row r="405" spans="1:8" ht="27.6">
      <c r="A405" s="249"/>
      <c r="B405" s="325"/>
      <c r="C405" s="191" t="s">
        <v>881</v>
      </c>
      <c r="D405" s="180"/>
      <c r="E405" s="181" t="s">
        <v>64</v>
      </c>
      <c r="F405" s="181"/>
      <c r="G405" s="181" t="str">
        <f>_xlfn.IFNA(VLOOKUP(F405,'Abaques besoins fonctionnels'!$B$3:$C$5,2,0)," ")</f>
        <v xml:space="preserve"> </v>
      </c>
      <c r="H405" s="182"/>
    </row>
    <row r="406" spans="1:8" ht="41.4">
      <c r="A406" s="249"/>
      <c r="B406" s="336"/>
      <c r="C406" s="191" t="s">
        <v>882</v>
      </c>
      <c r="D406" s="180"/>
      <c r="E406" s="181" t="s">
        <v>64</v>
      </c>
      <c r="F406" s="181"/>
      <c r="G406" s="181" t="str">
        <f>_xlfn.IFNA(VLOOKUP(F406,'Abaques besoins fonctionnels'!$B$3:$C$5,2,0)," ")</f>
        <v xml:space="preserve"> </v>
      </c>
      <c r="H406" s="182"/>
    </row>
    <row r="407" spans="1:8" ht="69">
      <c r="A407" s="249"/>
      <c r="B407" s="324" t="s">
        <v>883</v>
      </c>
      <c r="C407" s="191" t="s">
        <v>884</v>
      </c>
      <c r="D407" s="180"/>
      <c r="E407" s="181" t="s">
        <v>64</v>
      </c>
      <c r="F407" s="181"/>
      <c r="G407" s="181" t="str">
        <f>_xlfn.IFNA(VLOOKUP(F407,'Abaques besoins fonctionnels'!$B$3:$C$5,2,0)," ")</f>
        <v xml:space="preserve"> </v>
      </c>
      <c r="H407" s="182"/>
    </row>
    <row r="408" spans="1:8" ht="96.6">
      <c r="A408" s="249"/>
      <c r="B408" s="336"/>
      <c r="C408" s="191" t="s">
        <v>885</v>
      </c>
      <c r="D408" s="180"/>
      <c r="E408" s="181" t="s">
        <v>64</v>
      </c>
      <c r="F408" s="181"/>
      <c r="G408" s="181"/>
      <c r="H408" s="182"/>
    </row>
    <row r="409" spans="1:8" ht="41.4">
      <c r="A409" s="249"/>
      <c r="B409" s="222" t="s">
        <v>886</v>
      </c>
      <c r="C409" s="191" t="s">
        <v>887</v>
      </c>
      <c r="D409" s="180"/>
      <c r="E409" s="181" t="s">
        <v>440</v>
      </c>
      <c r="F409" s="181" t="s">
        <v>441</v>
      </c>
      <c r="G409" s="181">
        <f>_xlfn.IFNA(VLOOKUP(F409,'Abaques besoins fonctionnels'!$B$3:$C$5,2,0)," ")</f>
        <v>18</v>
      </c>
      <c r="H409" s="182" t="s">
        <v>888</v>
      </c>
    </row>
    <row r="410" spans="1:8" ht="69">
      <c r="A410" s="249"/>
      <c r="B410" s="252" t="s">
        <v>889</v>
      </c>
      <c r="C410" s="191" t="s">
        <v>890</v>
      </c>
      <c r="D410" s="180"/>
      <c r="E410" s="181" t="s">
        <v>64</v>
      </c>
      <c r="F410" s="181"/>
      <c r="G410" s="181" t="str">
        <f>_xlfn.IFNA(VLOOKUP(F410,'Abaques besoins fonctionnels'!$B$3:$C$5,2,0)," ")</f>
        <v xml:space="preserve"> </v>
      </c>
      <c r="H410" s="182"/>
    </row>
    <row r="411" spans="1:8" ht="41.4">
      <c r="A411" s="249"/>
      <c r="B411" s="252"/>
      <c r="C411" s="191" t="s">
        <v>891</v>
      </c>
      <c r="D411" s="180"/>
      <c r="E411" s="181" t="s">
        <v>64</v>
      </c>
      <c r="F411" s="181"/>
      <c r="G411" s="181" t="str">
        <f>_xlfn.IFNA(VLOOKUP(F411,'Abaques besoins fonctionnels'!$B$3:$C$5,2,0)," ")</f>
        <v xml:space="preserve"> </v>
      </c>
      <c r="H411" s="182"/>
    </row>
    <row r="412" spans="1:8" ht="28.2" thickBot="1">
      <c r="A412" s="253"/>
      <c r="B412" s="254" t="s">
        <v>892</v>
      </c>
      <c r="C412" s="195" t="s">
        <v>893</v>
      </c>
      <c r="D412" s="183"/>
      <c r="E412" s="184" t="s">
        <v>64</v>
      </c>
      <c r="F412" s="184"/>
      <c r="G412" s="184" t="str">
        <f>_xlfn.IFNA(VLOOKUP(F412,'Abaques besoins fonctionnels'!$B$3:$C$5,2,0)," ")</f>
        <v xml:space="preserve"> </v>
      </c>
      <c r="H412" s="185"/>
    </row>
    <row r="413" spans="1:8" ht="41.4">
      <c r="A413" s="341" t="s">
        <v>894</v>
      </c>
      <c r="B413" s="323" t="s">
        <v>895</v>
      </c>
      <c r="C413" s="189" t="s">
        <v>896</v>
      </c>
      <c r="D413" s="176"/>
      <c r="E413" s="177" t="s">
        <v>64</v>
      </c>
      <c r="F413" s="177"/>
      <c r="G413" s="177" t="str">
        <f>_xlfn.IFNA(VLOOKUP(F413,'Abaques besoins fonctionnels'!$B$3:$C$5,2,0)," ")</f>
        <v xml:space="preserve"> </v>
      </c>
      <c r="H413" s="178"/>
    </row>
    <row r="414" spans="1:8" ht="55.2">
      <c r="A414" s="342"/>
      <c r="B414" s="319"/>
      <c r="C414" s="191" t="s">
        <v>897</v>
      </c>
      <c r="D414" s="180"/>
      <c r="E414" s="181" t="s">
        <v>64</v>
      </c>
      <c r="F414" s="181"/>
      <c r="G414" s="181" t="str">
        <f>_xlfn.IFNA(VLOOKUP(F414,'Abaques besoins fonctionnels'!$B$3:$C$5,2,0)," ")</f>
        <v xml:space="preserve"> </v>
      </c>
      <c r="H414" s="182"/>
    </row>
    <row r="415" spans="1:8" ht="55.2">
      <c r="A415" s="342"/>
      <c r="B415" s="320"/>
      <c r="C415" s="191" t="s">
        <v>898</v>
      </c>
      <c r="D415" s="180"/>
      <c r="E415" s="181" t="s">
        <v>64</v>
      </c>
      <c r="F415" s="181"/>
      <c r="G415" s="181" t="str">
        <f>_xlfn.IFNA(VLOOKUP(F415,'Abaques besoins fonctionnels'!$B$3:$C$5,2,0)," ")</f>
        <v xml:space="preserve"> </v>
      </c>
      <c r="H415" s="182"/>
    </row>
    <row r="416" spans="1:8" ht="27.6">
      <c r="A416" s="342"/>
      <c r="B416" s="318" t="s">
        <v>899</v>
      </c>
      <c r="C416" s="191" t="s">
        <v>900</v>
      </c>
      <c r="D416" s="180"/>
      <c r="E416" s="181" t="s">
        <v>64</v>
      </c>
      <c r="F416" s="181"/>
      <c r="G416" s="181" t="str">
        <f>_xlfn.IFNA(VLOOKUP(F416,'Abaques besoins fonctionnels'!$B$3:$C$5,2,0)," ")</f>
        <v xml:space="preserve"> </v>
      </c>
      <c r="H416" s="182"/>
    </row>
    <row r="417" spans="1:10" ht="41.4">
      <c r="A417" s="342"/>
      <c r="B417" s="319"/>
      <c r="C417" s="191" t="s">
        <v>901</v>
      </c>
      <c r="D417" s="180"/>
      <c r="E417" s="181" t="s">
        <v>440</v>
      </c>
      <c r="F417" s="181" t="s">
        <v>441</v>
      </c>
      <c r="G417" s="181">
        <f>_xlfn.IFNA(VLOOKUP(F417,'Abaques besoins fonctionnels'!$B$3:$C$5,2,0)," ")</f>
        <v>18</v>
      </c>
      <c r="H417" s="182"/>
    </row>
    <row r="418" spans="1:10" ht="41.4">
      <c r="A418" s="342"/>
      <c r="B418" s="320"/>
      <c r="C418" s="191" t="s">
        <v>902</v>
      </c>
      <c r="D418" s="180"/>
      <c r="E418" s="181" t="s">
        <v>64</v>
      </c>
      <c r="F418" s="181"/>
      <c r="G418" s="181" t="str">
        <f>_xlfn.IFNA(VLOOKUP(F418,'Abaques besoins fonctionnels'!$B$3:$C$5,2,0)," ")</f>
        <v xml:space="preserve"> </v>
      </c>
      <c r="H418" s="182"/>
    </row>
    <row r="419" spans="1:10" ht="82.8">
      <c r="A419" s="342"/>
      <c r="B419" s="318" t="s">
        <v>889</v>
      </c>
      <c r="C419" s="191" t="s">
        <v>903</v>
      </c>
      <c r="D419" s="180"/>
      <c r="E419" s="181" t="s">
        <v>64</v>
      </c>
      <c r="F419" s="181"/>
      <c r="G419" s="181" t="str">
        <f>_xlfn.IFNA(VLOOKUP(F419,'Abaques besoins fonctionnels'!$B$3:$C$5,2,0)," ")</f>
        <v xml:space="preserve"> </v>
      </c>
      <c r="H419" s="182"/>
    </row>
    <row r="420" spans="1:10" ht="41.4">
      <c r="A420" s="342"/>
      <c r="B420" s="320"/>
      <c r="C420" s="191" t="s">
        <v>904</v>
      </c>
      <c r="D420" s="180"/>
      <c r="E420" s="181" t="s">
        <v>64</v>
      </c>
      <c r="F420" s="181"/>
      <c r="G420" s="181" t="str">
        <f>_xlfn.IFNA(VLOOKUP(F420,'Abaques besoins fonctionnels'!$B$3:$C$5,2,0)," ")</f>
        <v xml:space="preserve"> </v>
      </c>
      <c r="H420" s="182"/>
    </row>
    <row r="421" spans="1:10" ht="41.4">
      <c r="A421" s="342"/>
      <c r="B421" s="239" t="s">
        <v>905</v>
      </c>
      <c r="C421" s="191" t="s">
        <v>906</v>
      </c>
      <c r="D421" s="180"/>
      <c r="E421" s="181" t="s">
        <v>64</v>
      </c>
      <c r="F421" s="181"/>
      <c r="G421" s="181" t="str">
        <f>_xlfn.IFNA(VLOOKUP(F421,'Abaques besoins fonctionnels'!$B$3:$C$5,2,0)," ")</f>
        <v xml:space="preserve"> </v>
      </c>
      <c r="H421" s="182"/>
    </row>
    <row r="422" spans="1:10" ht="28.2" thickBot="1">
      <c r="A422" s="343"/>
      <c r="B422" s="254" t="s">
        <v>892</v>
      </c>
      <c r="C422" s="197" t="s">
        <v>907</v>
      </c>
      <c r="D422" s="198"/>
      <c r="E422" s="199" t="s">
        <v>64</v>
      </c>
      <c r="F422" s="199"/>
      <c r="G422" s="199" t="str">
        <f>_xlfn.IFNA(VLOOKUP(F422,'Abaques besoins fonctionnels'!$B$3:$C$5,2,0)," ")</f>
        <v xml:space="preserve"> </v>
      </c>
      <c r="H422" s="200"/>
    </row>
    <row r="423" spans="1:10" ht="15" thickBot="1">
      <c r="G423" s="209" t="str">
        <f>_xlfn.IFNA(VLOOKUP(F420,'Abaques besoins fonctionnels'!$B$3:$C$5,2,0)," ")</f>
        <v xml:space="preserve"> </v>
      </c>
    </row>
    <row r="424" spans="1:10" s="18" customFormat="1" ht="16.2" thickBot="1">
      <c r="A424" s="140" t="s">
        <v>908</v>
      </c>
      <c r="B424" s="141"/>
      <c r="C424" s="154"/>
      <c r="D424" s="154"/>
      <c r="E424" s="141"/>
      <c r="F424" s="141"/>
      <c r="G424" s="141"/>
      <c r="H424" s="201"/>
      <c r="J424" s="172"/>
    </row>
    <row r="425" spans="1:10" ht="28.2" thickBot="1">
      <c r="A425" s="34" t="s">
        <v>909</v>
      </c>
      <c r="B425" s="255" t="s">
        <v>910</v>
      </c>
      <c r="C425" s="256" t="s">
        <v>911</v>
      </c>
      <c r="D425" s="257"/>
      <c r="E425" s="258" t="s">
        <v>912</v>
      </c>
      <c r="F425" s="258"/>
      <c r="G425" s="258" t="str">
        <f>_xlfn.IFNA(VLOOKUP(F422,'Abaques besoins fonctionnels'!$B$3:$C$5,2,0)," ")</f>
        <v xml:space="preserve"> </v>
      </c>
      <c r="H425" s="259"/>
    </row>
    <row r="426" spans="1:10" ht="27.6">
      <c r="A426" s="215" t="s">
        <v>913</v>
      </c>
      <c r="B426" s="329" t="s">
        <v>914</v>
      </c>
      <c r="C426" s="176" t="s">
        <v>915</v>
      </c>
      <c r="D426" s="176"/>
      <c r="E426" s="177" t="s">
        <v>912</v>
      </c>
      <c r="F426" s="177"/>
      <c r="G426" s="177" t="str">
        <f>_xlfn.IFNA(VLOOKUP(F423,'Abaques besoins fonctionnels'!$B$3:$C$5,2,0)," ")</f>
        <v xml:space="preserve"> </v>
      </c>
      <c r="H426" s="178"/>
    </row>
    <row r="427" spans="1:10">
      <c r="A427" s="215"/>
      <c r="B427" s="330"/>
      <c r="C427" s="180" t="s">
        <v>916</v>
      </c>
      <c r="D427" s="180"/>
      <c r="E427" s="181" t="s">
        <v>912</v>
      </c>
      <c r="F427" s="181"/>
      <c r="G427" s="181" t="str">
        <f>_xlfn.IFNA(VLOOKUP(F424,'Abaques besoins fonctionnels'!$B$3:$C$5,2,0)," ")</f>
        <v xml:space="preserve"> </v>
      </c>
      <c r="H427" s="182"/>
    </row>
    <row r="428" spans="1:10">
      <c r="A428" s="215"/>
      <c r="B428" s="330"/>
      <c r="C428" s="180" t="s">
        <v>917</v>
      </c>
      <c r="D428" s="180"/>
      <c r="E428" s="181" t="s">
        <v>912</v>
      </c>
      <c r="F428" s="181"/>
      <c r="G428" s="181" t="str">
        <f>_xlfn.IFNA(VLOOKUP(F425,'Abaques besoins fonctionnels'!$B$3:$C$5,2,0)," ")</f>
        <v xml:space="preserve"> </v>
      </c>
      <c r="H428" s="182"/>
    </row>
    <row r="429" spans="1:10" ht="27.6">
      <c r="A429" s="215"/>
      <c r="B429" s="345"/>
      <c r="C429" s="180" t="s">
        <v>918</v>
      </c>
      <c r="D429" s="180"/>
      <c r="E429" s="181" t="s">
        <v>912</v>
      </c>
      <c r="F429" s="181"/>
      <c r="G429" s="181" t="str">
        <f>_xlfn.IFNA(VLOOKUP(F426,'Abaques besoins fonctionnels'!$B$3:$C$5,2,0)," ")</f>
        <v xml:space="preserve"> </v>
      </c>
      <c r="H429" s="182" t="s">
        <v>919</v>
      </c>
    </row>
    <row r="430" spans="1:10">
      <c r="A430" s="215"/>
      <c r="B430" s="346" t="s">
        <v>920</v>
      </c>
      <c r="C430" s="180" t="s">
        <v>921</v>
      </c>
      <c r="D430" s="180"/>
      <c r="E430" s="181" t="s">
        <v>912</v>
      </c>
      <c r="F430" s="181"/>
      <c r="G430" s="181" t="str">
        <f>_xlfn.IFNA(VLOOKUP(F427,'Abaques besoins fonctionnels'!$B$3:$C$5,2,0)," ")</f>
        <v xml:space="preserve"> </v>
      </c>
      <c r="H430" s="182"/>
    </row>
    <row r="431" spans="1:10" ht="28.2" thickBot="1">
      <c r="A431" s="215"/>
      <c r="B431" s="331"/>
      <c r="C431" s="183" t="s">
        <v>922</v>
      </c>
      <c r="D431" s="183"/>
      <c r="E431" s="184" t="s">
        <v>912</v>
      </c>
      <c r="F431" s="184"/>
      <c r="G431" s="184" t="str">
        <f>_xlfn.IFNA(VLOOKUP(F428,'Abaques besoins fonctionnels'!$B$3:$C$5,2,0)," ")</f>
        <v xml:space="preserve"> </v>
      </c>
      <c r="H431" s="185" t="s">
        <v>923</v>
      </c>
    </row>
    <row r="432" spans="1:10" ht="27.6">
      <c r="A432" s="260" t="s">
        <v>924</v>
      </c>
      <c r="B432" s="323" t="s">
        <v>925</v>
      </c>
      <c r="C432" s="189" t="s">
        <v>926</v>
      </c>
      <c r="D432" s="176"/>
      <c r="E432" s="177" t="s">
        <v>912</v>
      </c>
      <c r="F432" s="177"/>
      <c r="G432" s="177" t="str">
        <f>_xlfn.IFNA(VLOOKUP(F429,'Abaques besoins fonctionnels'!$B$3:$C$5,2,0)," ")</f>
        <v xml:space="preserve"> </v>
      </c>
      <c r="H432" s="178"/>
    </row>
    <row r="433" spans="1:8" ht="41.4">
      <c r="A433" s="261"/>
      <c r="B433" s="319"/>
      <c r="C433" s="191" t="s">
        <v>927</v>
      </c>
      <c r="D433" s="180"/>
      <c r="E433" s="181" t="s">
        <v>912</v>
      </c>
      <c r="F433" s="181"/>
      <c r="G433" s="181" t="str">
        <f>_xlfn.IFNA(VLOOKUP(F430,'Abaques besoins fonctionnels'!$B$3:$C$5,2,0)," ")</f>
        <v xml:space="preserve"> </v>
      </c>
      <c r="H433" s="182"/>
    </row>
    <row r="434" spans="1:8" ht="27.6">
      <c r="A434" s="261"/>
      <c r="B434" s="320"/>
      <c r="C434" s="191" t="s">
        <v>928</v>
      </c>
      <c r="D434" s="180"/>
      <c r="E434" s="181" t="s">
        <v>912</v>
      </c>
      <c r="F434" s="181"/>
      <c r="G434" s="181" t="str">
        <f>_xlfn.IFNA(VLOOKUP(F431,'Abaques besoins fonctionnels'!$B$3:$C$5,2,0)," ")</f>
        <v xml:space="preserve"> </v>
      </c>
      <c r="H434" s="182"/>
    </row>
    <row r="435" spans="1:8" ht="41.4">
      <c r="A435" s="261"/>
      <c r="B435" s="318" t="s">
        <v>929</v>
      </c>
      <c r="C435" s="191" t="s">
        <v>930</v>
      </c>
      <c r="D435" s="180"/>
      <c r="E435" s="181" t="s">
        <v>912</v>
      </c>
      <c r="F435" s="181"/>
      <c r="G435" s="181" t="str">
        <f>_xlfn.IFNA(VLOOKUP(F432,'Abaques besoins fonctionnels'!$B$3:$C$5,2,0)," ")</f>
        <v xml:space="preserve"> </v>
      </c>
      <c r="H435" s="182"/>
    </row>
    <row r="436" spans="1:8" ht="55.2">
      <c r="A436" s="261"/>
      <c r="B436" s="319"/>
      <c r="C436" s="191" t="s">
        <v>931</v>
      </c>
      <c r="D436" s="180"/>
      <c r="E436" s="181" t="s">
        <v>912</v>
      </c>
      <c r="F436" s="181"/>
      <c r="G436" s="181" t="str">
        <f>_xlfn.IFNA(VLOOKUP(F433,'Abaques besoins fonctionnels'!$B$3:$C$5,2,0)," ")</f>
        <v xml:space="preserve"> </v>
      </c>
      <c r="H436" s="182"/>
    </row>
    <row r="437" spans="1:8" ht="41.4">
      <c r="A437" s="261"/>
      <c r="B437" s="320"/>
      <c r="C437" s="191" t="s">
        <v>932</v>
      </c>
      <c r="D437" s="180"/>
      <c r="E437" s="181" t="s">
        <v>912</v>
      </c>
      <c r="F437" s="181"/>
      <c r="G437" s="181" t="str">
        <f>_xlfn.IFNA(VLOOKUP(F434,'Abaques besoins fonctionnels'!$B$3:$C$5,2,0)," ")</f>
        <v xml:space="preserve"> </v>
      </c>
      <c r="H437" s="182"/>
    </row>
    <row r="438" spans="1:8" ht="41.4">
      <c r="A438" s="261"/>
      <c r="B438" s="318" t="s">
        <v>933</v>
      </c>
      <c r="C438" s="191" t="s">
        <v>934</v>
      </c>
      <c r="D438" s="180"/>
      <c r="E438" s="181" t="s">
        <v>912</v>
      </c>
      <c r="F438" s="181"/>
      <c r="G438" s="181" t="str">
        <f>_xlfn.IFNA(VLOOKUP(F435,'Abaques besoins fonctionnels'!$B$3:$C$5,2,0)," ")</f>
        <v xml:space="preserve"> </v>
      </c>
      <c r="H438" s="182"/>
    </row>
    <row r="439" spans="1:8" ht="41.4">
      <c r="A439" s="261"/>
      <c r="B439" s="319"/>
      <c r="C439" s="191" t="s">
        <v>935</v>
      </c>
      <c r="D439" s="180"/>
      <c r="E439" s="181" t="s">
        <v>912</v>
      </c>
      <c r="F439" s="181"/>
      <c r="G439" s="181" t="str">
        <f>_xlfn.IFNA(VLOOKUP(F436,'Abaques besoins fonctionnels'!$B$3:$C$5,2,0)," ")</f>
        <v xml:space="preserve"> </v>
      </c>
      <c r="H439" s="182"/>
    </row>
    <row r="440" spans="1:8">
      <c r="A440" s="261"/>
      <c r="B440" s="319"/>
      <c r="C440" s="191" t="s">
        <v>936</v>
      </c>
      <c r="D440" s="180"/>
      <c r="E440" s="181" t="s">
        <v>912</v>
      </c>
      <c r="F440" s="181"/>
      <c r="G440" s="181" t="str">
        <f>_xlfn.IFNA(VLOOKUP(F437,'Abaques besoins fonctionnels'!$B$3:$C$5,2,0)," ")</f>
        <v xml:space="preserve"> </v>
      </c>
      <c r="H440" s="182"/>
    </row>
    <row r="441" spans="1:8" ht="27.6">
      <c r="A441" s="261"/>
      <c r="B441" s="319"/>
      <c r="C441" s="191" t="s">
        <v>937</v>
      </c>
      <c r="D441" s="180"/>
      <c r="E441" s="181" t="s">
        <v>912</v>
      </c>
      <c r="F441" s="181"/>
      <c r="G441" s="181" t="str">
        <f>_xlfn.IFNA(VLOOKUP(F438,'Abaques besoins fonctionnels'!$B$3:$C$5,2,0)," ")</f>
        <v xml:space="preserve"> </v>
      </c>
      <c r="H441" s="182"/>
    </row>
    <row r="442" spans="1:8" ht="27.6">
      <c r="A442" s="261"/>
      <c r="B442" s="319"/>
      <c r="C442" s="191" t="s">
        <v>938</v>
      </c>
      <c r="D442" s="180"/>
      <c r="E442" s="181" t="s">
        <v>912</v>
      </c>
      <c r="F442" s="181"/>
      <c r="G442" s="181" t="str">
        <f>_xlfn.IFNA(VLOOKUP(F439,'Abaques besoins fonctionnels'!$B$3:$C$5,2,0)," ")</f>
        <v xml:space="preserve"> </v>
      </c>
      <c r="H442" s="182"/>
    </row>
    <row r="443" spans="1:8" ht="27.6">
      <c r="A443" s="261"/>
      <c r="B443" s="319"/>
      <c r="C443" s="191" t="s">
        <v>939</v>
      </c>
      <c r="D443" s="180"/>
      <c r="E443" s="181" t="s">
        <v>912</v>
      </c>
      <c r="F443" s="181"/>
      <c r="G443" s="181" t="str">
        <f>_xlfn.IFNA(VLOOKUP(F440,'Abaques besoins fonctionnels'!$B$3:$C$5,2,0)," ")</f>
        <v xml:space="preserve"> </v>
      </c>
      <c r="H443" s="182"/>
    </row>
    <row r="444" spans="1:8" ht="41.4">
      <c r="A444" s="261"/>
      <c r="B444" s="319"/>
      <c r="C444" s="191" t="s">
        <v>940</v>
      </c>
      <c r="D444" s="180"/>
      <c r="E444" s="181" t="s">
        <v>912</v>
      </c>
      <c r="F444" s="181"/>
      <c r="G444" s="181" t="str">
        <f>_xlfn.IFNA(VLOOKUP(F441,'Abaques besoins fonctionnels'!$B$3:$C$5,2,0)," ")</f>
        <v xml:space="preserve"> </v>
      </c>
      <c r="H444" s="182"/>
    </row>
    <row r="445" spans="1:8" ht="41.4">
      <c r="A445" s="261"/>
      <c r="B445" s="319"/>
      <c r="C445" s="191" t="s">
        <v>941</v>
      </c>
      <c r="D445" s="180"/>
      <c r="E445" s="181" t="s">
        <v>912</v>
      </c>
      <c r="F445" s="181"/>
      <c r="G445" s="181" t="str">
        <f>_xlfn.IFNA(VLOOKUP(F442,'Abaques besoins fonctionnels'!$B$3:$C$5,2,0)," ")</f>
        <v xml:space="preserve"> </v>
      </c>
      <c r="H445" s="182"/>
    </row>
    <row r="446" spans="1:8" ht="27.6">
      <c r="A446" s="261"/>
      <c r="B446" s="319"/>
      <c r="C446" s="191" t="s">
        <v>942</v>
      </c>
      <c r="D446" s="180"/>
      <c r="E446" s="181" t="s">
        <v>912</v>
      </c>
      <c r="F446" s="181"/>
      <c r="G446" s="181" t="str">
        <f>_xlfn.IFNA(VLOOKUP(F443,'Abaques besoins fonctionnels'!$B$3:$C$5,2,0)," ")</f>
        <v xml:space="preserve"> </v>
      </c>
      <c r="H446" s="182"/>
    </row>
    <row r="447" spans="1:8" ht="55.2">
      <c r="A447" s="261"/>
      <c r="B447" s="319"/>
      <c r="C447" s="191" t="s">
        <v>943</v>
      </c>
      <c r="D447" s="180"/>
      <c r="E447" s="181" t="s">
        <v>912</v>
      </c>
      <c r="F447" s="181"/>
      <c r="G447" s="181" t="str">
        <f>_xlfn.IFNA(VLOOKUP(F444,'Abaques besoins fonctionnels'!$B$3:$C$5,2,0)," ")</f>
        <v xml:space="preserve"> </v>
      </c>
      <c r="H447" s="182"/>
    </row>
    <row r="448" spans="1:8" ht="27.6">
      <c r="A448" s="261"/>
      <c r="B448" s="319"/>
      <c r="C448" s="191" t="s">
        <v>944</v>
      </c>
      <c r="D448" s="180"/>
      <c r="E448" s="181" t="s">
        <v>912</v>
      </c>
      <c r="F448" s="181"/>
      <c r="G448" s="181" t="str">
        <f>_xlfn.IFNA(VLOOKUP(F445,'Abaques besoins fonctionnels'!$B$3:$C$5,2,0)," ")</f>
        <v xml:space="preserve"> </v>
      </c>
      <c r="H448" s="182"/>
    </row>
    <row r="449" spans="1:8" ht="28.2" thickBot="1">
      <c r="A449" s="261"/>
      <c r="B449" s="321"/>
      <c r="C449" s="195" t="s">
        <v>945</v>
      </c>
      <c r="D449" s="183"/>
      <c r="E449" s="184" t="s">
        <v>912</v>
      </c>
      <c r="F449" s="184"/>
      <c r="G449" s="184" t="str">
        <f>_xlfn.IFNA(VLOOKUP(F446,'Abaques besoins fonctionnels'!$B$3:$C$5,2,0)," ")</f>
        <v xml:space="preserve"> </v>
      </c>
      <c r="H449" s="185"/>
    </row>
    <row r="450" spans="1:8" ht="27.6">
      <c r="A450" s="262" t="s">
        <v>946</v>
      </c>
      <c r="B450" s="323" t="s">
        <v>947</v>
      </c>
      <c r="C450" s="189" t="s">
        <v>948</v>
      </c>
      <c r="D450" s="176"/>
      <c r="E450" s="177" t="s">
        <v>912</v>
      </c>
      <c r="F450" s="177"/>
      <c r="G450" s="177" t="str">
        <f>_xlfn.IFNA(VLOOKUP(F447,'Abaques besoins fonctionnels'!$B$3:$C$5,2,0)," ")</f>
        <v xml:space="preserve"> </v>
      </c>
      <c r="H450" s="178"/>
    </row>
    <row r="451" spans="1:8" ht="27.6">
      <c r="A451" s="263"/>
      <c r="B451" s="320"/>
      <c r="C451" s="191" t="s">
        <v>949</v>
      </c>
      <c r="D451" s="180"/>
      <c r="E451" s="181" t="s">
        <v>912</v>
      </c>
      <c r="F451" s="181"/>
      <c r="G451" s="181" t="str">
        <f>_xlfn.IFNA(VLOOKUP(F448,'Abaques besoins fonctionnels'!$B$3:$C$5,2,0)," ")</f>
        <v xml:space="preserve"> </v>
      </c>
      <c r="H451" s="182"/>
    </row>
    <row r="452" spans="1:8">
      <c r="A452" s="263"/>
      <c r="B452" s="318" t="s">
        <v>913</v>
      </c>
      <c r="C452" s="191" t="s">
        <v>950</v>
      </c>
      <c r="D452" s="180"/>
      <c r="E452" s="181" t="s">
        <v>912</v>
      </c>
      <c r="F452" s="181"/>
      <c r="G452" s="181" t="str">
        <f>_xlfn.IFNA(VLOOKUP(F449,'Abaques besoins fonctionnels'!$B$3:$C$5,2,0)," ")</f>
        <v xml:space="preserve"> </v>
      </c>
      <c r="H452" s="182"/>
    </row>
    <row r="453" spans="1:8" ht="15" thickBot="1">
      <c r="A453" s="264"/>
      <c r="B453" s="321"/>
      <c r="C453" s="197" t="s">
        <v>951</v>
      </c>
      <c r="D453" s="198"/>
      <c r="E453" s="199" t="s">
        <v>912</v>
      </c>
      <c r="F453" s="199"/>
      <c r="G453" s="199" t="str">
        <f>_xlfn.IFNA(VLOOKUP(F450,'Abaques besoins fonctionnels'!$B$3:$C$5,2,0)," ")</f>
        <v xml:space="preserve"> </v>
      </c>
      <c r="H453" s="200"/>
    </row>
    <row r="455" spans="1:8" ht="15" thickBot="1">
      <c r="E455" s="344" t="s">
        <v>952</v>
      </c>
      <c r="F455" s="344"/>
      <c r="G455" s="265">
        <f>SUM($G$4:$G$453)</f>
        <v>350</v>
      </c>
    </row>
    <row r="465" spans="6:6">
      <c r="F465" s="16">
        <f>331/430</f>
        <v>0.76976744186046508</v>
      </c>
    </row>
  </sheetData>
  <autoFilter ref="A1:H456" xr:uid="{F8237613-E100-41D6-A85C-77634B75D04C}"/>
  <mergeCells count="94">
    <mergeCell ref="B452:B453"/>
    <mergeCell ref="E455:F455"/>
    <mergeCell ref="B426:B429"/>
    <mergeCell ref="B430:B431"/>
    <mergeCell ref="B432:B434"/>
    <mergeCell ref="B435:B437"/>
    <mergeCell ref="B438:B449"/>
    <mergeCell ref="B450:B451"/>
    <mergeCell ref="B404:B406"/>
    <mergeCell ref="B407:B408"/>
    <mergeCell ref="A413:A422"/>
    <mergeCell ref="B413:B415"/>
    <mergeCell ref="B416:B418"/>
    <mergeCell ref="B419:B420"/>
    <mergeCell ref="B402:B403"/>
    <mergeCell ref="B362:B363"/>
    <mergeCell ref="B364:B366"/>
    <mergeCell ref="B367:B368"/>
    <mergeCell ref="B379:B380"/>
    <mergeCell ref="B381:B384"/>
    <mergeCell ref="B385:B387"/>
    <mergeCell ref="B388:B389"/>
    <mergeCell ref="B390:B391"/>
    <mergeCell ref="B393:B396"/>
    <mergeCell ref="B398:B399"/>
    <mergeCell ref="B400:B401"/>
    <mergeCell ref="A333:A358"/>
    <mergeCell ref="B333:B334"/>
    <mergeCell ref="B335:B337"/>
    <mergeCell ref="B338:B345"/>
    <mergeCell ref="B346:B348"/>
    <mergeCell ref="B349:B352"/>
    <mergeCell ref="B353:B354"/>
    <mergeCell ref="B357:B358"/>
    <mergeCell ref="B162:B164"/>
    <mergeCell ref="H277:H278"/>
    <mergeCell ref="A300:A330"/>
    <mergeCell ref="B301:B307"/>
    <mergeCell ref="B310:B312"/>
    <mergeCell ref="B313:B317"/>
    <mergeCell ref="B318:B320"/>
    <mergeCell ref="B321:B328"/>
    <mergeCell ref="B329:B330"/>
    <mergeCell ref="A136:A139"/>
    <mergeCell ref="B136:B137"/>
    <mergeCell ref="B138:B139"/>
    <mergeCell ref="A142:A161"/>
    <mergeCell ref="B143:B145"/>
    <mergeCell ref="B148:B150"/>
    <mergeCell ref="B151:B153"/>
    <mergeCell ref="B154:B155"/>
    <mergeCell ref="B156:B157"/>
    <mergeCell ref="B158:B159"/>
    <mergeCell ref="A116:A122"/>
    <mergeCell ref="B116:B117"/>
    <mergeCell ref="B120:B121"/>
    <mergeCell ref="A123:A135"/>
    <mergeCell ref="B125:B126"/>
    <mergeCell ref="B127:B128"/>
    <mergeCell ref="B129:B133"/>
    <mergeCell ref="A94:A115"/>
    <mergeCell ref="B94:B97"/>
    <mergeCell ref="B98:B102"/>
    <mergeCell ref="B103:B105"/>
    <mergeCell ref="B106:B108"/>
    <mergeCell ref="B109:B111"/>
    <mergeCell ref="B112:B114"/>
    <mergeCell ref="B69:B71"/>
    <mergeCell ref="B72:B74"/>
    <mergeCell ref="B75:B79"/>
    <mergeCell ref="B80:B83"/>
    <mergeCell ref="A88:A91"/>
    <mergeCell ref="B89:B91"/>
    <mergeCell ref="A84:A87"/>
    <mergeCell ref="B84:B87"/>
    <mergeCell ref="A69:A83"/>
    <mergeCell ref="B27:B30"/>
    <mergeCell ref="B31:B33"/>
    <mergeCell ref="B34:B39"/>
    <mergeCell ref="B40:B41"/>
    <mergeCell ref="A42:A68"/>
    <mergeCell ref="B43:B56"/>
    <mergeCell ref="B57:B63"/>
    <mergeCell ref="B64:B68"/>
    <mergeCell ref="A12:A41"/>
    <mergeCell ref="B12:B14"/>
    <mergeCell ref="B15:B17"/>
    <mergeCell ref="B19:B21"/>
    <mergeCell ref="B23:B26"/>
    <mergeCell ref="A4:A6"/>
    <mergeCell ref="B4:B6"/>
    <mergeCell ref="A7:A11"/>
    <mergeCell ref="B7:B8"/>
    <mergeCell ref="B9:B11"/>
  </mergeCells>
  <dataValidations count="1">
    <dataValidation type="list" allowBlank="1" showInputMessage="1" showErrorMessage="1" sqref="E371 E360 E172 E299:H299 E235:H235" xr:uid="{EEDAE0D1-4B3A-4FBD-9A56-B6132F390B87}"/>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EB050CD-AA4A-4529-8316-9951BE18460C}">
          <x14:formula1>
            <xm:f>'Abaques besoins fonctionnels'!$B$3:$B$5</xm:f>
          </x14:formula1>
          <xm:sqref>F4:F140 G172:H172 G371 F203:F234 F236:F298 F300:F331 F333:F453 F142:F181 F183:F201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AFA2-4AA4-4F7B-BDC7-15A407345444}">
  <sheetPr>
    <tabColor rgb="FF92D050"/>
  </sheetPr>
  <dimension ref="A1:C9"/>
  <sheetViews>
    <sheetView workbookViewId="0">
      <selection activeCell="B4" sqref="B4:B6"/>
    </sheetView>
  </sheetViews>
  <sheetFormatPr baseColWidth="10" defaultColWidth="9" defaultRowHeight="14.4"/>
  <cols>
    <col min="1" max="1" width="17.21875" bestFit="1" customWidth="1"/>
    <col min="2" max="2" width="15.5546875" bestFit="1" customWidth="1"/>
    <col min="3" max="3" width="5.5546875" customWidth="1"/>
  </cols>
  <sheetData>
    <row r="1" spans="1:3">
      <c r="A1" s="347" t="s">
        <v>953</v>
      </c>
      <c r="B1" s="349" t="s">
        <v>954</v>
      </c>
      <c r="C1" s="351" t="s">
        <v>955</v>
      </c>
    </row>
    <row r="2" spans="1:3">
      <c r="A2" s="348"/>
      <c r="B2" s="350"/>
      <c r="C2" s="352"/>
    </row>
    <row r="3" spans="1:3">
      <c r="A3" s="266" t="s">
        <v>956</v>
      </c>
      <c r="B3" s="267" t="s">
        <v>752</v>
      </c>
      <c r="C3" s="268">
        <v>10</v>
      </c>
    </row>
    <row r="4" spans="1:3">
      <c r="A4" s="266" t="s">
        <v>956</v>
      </c>
      <c r="B4" s="267" t="s">
        <v>441</v>
      </c>
      <c r="C4" s="268">
        <v>18</v>
      </c>
    </row>
    <row r="5" spans="1:3">
      <c r="A5" s="269" t="s">
        <v>956</v>
      </c>
      <c r="B5" s="270" t="s">
        <v>538</v>
      </c>
      <c r="C5" s="271">
        <v>28</v>
      </c>
    </row>
    <row r="8" spans="1:3">
      <c r="A8" s="272"/>
    </row>
    <row r="9" spans="1:3">
      <c r="A9" s="272"/>
    </row>
  </sheetData>
  <mergeCells count="3">
    <mergeCell ref="A1:A2"/>
    <mergeCell ref="B1:B2"/>
    <mergeCell ref="C1: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3169-F5FE-4B36-BCDB-A00BBD29BAD6}">
  <sheetPr>
    <tabColor theme="9" tint="0.79998168889431442"/>
  </sheetPr>
  <dimension ref="A1:M19"/>
  <sheetViews>
    <sheetView topLeftCell="F10" zoomScale="70" zoomScaleNormal="70" workbookViewId="0">
      <selection activeCell="L15" sqref="L15"/>
    </sheetView>
  </sheetViews>
  <sheetFormatPr baseColWidth="10" defaultColWidth="10.77734375" defaultRowHeight="14.4"/>
  <cols>
    <col min="1" max="1" width="23.21875" style="13" customWidth="1"/>
    <col min="2" max="2" width="25.77734375" style="12" customWidth="1"/>
    <col min="3" max="4" width="55" style="12" customWidth="1"/>
    <col min="5" max="5" width="55" style="13" customWidth="1"/>
    <col min="6" max="6" width="34.21875" style="1" bestFit="1" customWidth="1"/>
    <col min="7" max="7" width="36.77734375" style="1" bestFit="1" customWidth="1"/>
    <col min="8" max="8" width="36.77734375" style="1" customWidth="1"/>
    <col min="9" max="9" width="41.21875" style="12" customWidth="1"/>
    <col min="10" max="11" width="36.77734375" style="12" customWidth="1"/>
    <col min="12" max="12" width="36.77734375" style="1" customWidth="1"/>
    <col min="13" max="16384" width="10.77734375" style="12"/>
  </cols>
  <sheetData>
    <row r="1" spans="1:13" ht="31.8" thickBot="1">
      <c r="A1" s="40" t="s">
        <v>21</v>
      </c>
      <c r="B1" s="41" t="s">
        <v>957</v>
      </c>
      <c r="C1" s="41" t="s">
        <v>958</v>
      </c>
      <c r="D1" s="41" t="s">
        <v>959</v>
      </c>
      <c r="E1" s="41" t="s">
        <v>960</v>
      </c>
      <c r="F1" s="41" t="s">
        <v>961</v>
      </c>
      <c r="G1" s="281" t="s">
        <v>962</v>
      </c>
      <c r="H1" s="41" t="s">
        <v>963</v>
      </c>
      <c r="I1" s="41" t="s">
        <v>964</v>
      </c>
      <c r="J1" s="41" t="s">
        <v>965</v>
      </c>
      <c r="K1" s="42" t="s">
        <v>24</v>
      </c>
      <c r="L1" s="41" t="s">
        <v>1360</v>
      </c>
    </row>
    <row r="2" spans="1:13" ht="99" customHeight="1" thickBot="1">
      <c r="A2" s="64" t="s">
        <v>966</v>
      </c>
      <c r="B2" s="65" t="s">
        <v>967</v>
      </c>
      <c r="C2" s="35" t="s">
        <v>968</v>
      </c>
      <c r="D2" s="36" t="s">
        <v>969</v>
      </c>
      <c r="E2" s="37" t="s">
        <v>970</v>
      </c>
      <c r="F2" s="38" t="s">
        <v>971</v>
      </c>
      <c r="G2" s="282" t="s">
        <v>971</v>
      </c>
      <c r="H2" s="296" t="s">
        <v>972</v>
      </c>
      <c r="I2" s="37" t="s">
        <v>973</v>
      </c>
      <c r="J2" s="282"/>
      <c r="K2" s="39" t="s">
        <v>974</v>
      </c>
      <c r="L2" s="296">
        <v>44</v>
      </c>
    </row>
    <row r="3" spans="1:13" ht="99" customHeight="1" thickBot="1">
      <c r="A3" s="64" t="s">
        <v>975</v>
      </c>
      <c r="B3" s="65" t="s">
        <v>976</v>
      </c>
      <c r="C3" s="35" t="s">
        <v>977</v>
      </c>
      <c r="D3" s="36" t="s">
        <v>969</v>
      </c>
      <c r="E3" s="37" t="s">
        <v>978</v>
      </c>
      <c r="F3" s="38" t="s">
        <v>971</v>
      </c>
      <c r="G3" s="282" t="s">
        <v>979</v>
      </c>
      <c r="H3" s="297" t="s">
        <v>980</v>
      </c>
      <c r="I3" s="37" t="s">
        <v>973</v>
      </c>
      <c r="J3" s="38"/>
      <c r="K3" s="39" t="s">
        <v>981</v>
      </c>
      <c r="L3" s="297">
        <v>66</v>
      </c>
    </row>
    <row r="4" spans="1:13" ht="99" customHeight="1" thickBot="1">
      <c r="A4" s="64" t="s">
        <v>982</v>
      </c>
      <c r="B4" s="65" t="s">
        <v>983</v>
      </c>
      <c r="C4" s="35" t="s">
        <v>984</v>
      </c>
      <c r="D4" s="43" t="s">
        <v>985</v>
      </c>
      <c r="E4" s="37" t="s">
        <v>986</v>
      </c>
      <c r="F4" s="38" t="s">
        <v>971</v>
      </c>
      <c r="G4" s="282" t="s">
        <v>971</v>
      </c>
      <c r="H4" s="297" t="s">
        <v>987</v>
      </c>
      <c r="I4" s="37" t="s">
        <v>973</v>
      </c>
      <c r="J4" s="38"/>
      <c r="K4" s="39" t="s">
        <v>988</v>
      </c>
      <c r="L4" s="297">
        <v>70</v>
      </c>
    </row>
    <row r="5" spans="1:13" ht="99" customHeight="1" thickBot="1">
      <c r="A5" s="64" t="s">
        <v>989</v>
      </c>
      <c r="B5" s="66" t="s">
        <v>990</v>
      </c>
      <c r="C5" s="35" t="s">
        <v>991</v>
      </c>
      <c r="D5" s="43" t="s">
        <v>992</v>
      </c>
      <c r="E5" s="37" t="s">
        <v>993</v>
      </c>
      <c r="F5" s="38" t="s">
        <v>971</v>
      </c>
      <c r="G5" s="282" t="s">
        <v>971</v>
      </c>
      <c r="H5" s="297" t="s">
        <v>994</v>
      </c>
      <c r="I5" s="37" t="s">
        <v>973</v>
      </c>
      <c r="J5" s="38"/>
      <c r="K5" s="39" t="s">
        <v>995</v>
      </c>
      <c r="L5" s="297">
        <v>361</v>
      </c>
    </row>
    <row r="6" spans="1:13" ht="99" customHeight="1" thickBot="1">
      <c r="A6" s="64" t="s">
        <v>996</v>
      </c>
      <c r="B6" s="65" t="s">
        <v>997</v>
      </c>
      <c r="C6" s="35" t="s">
        <v>998</v>
      </c>
      <c r="D6" s="37" t="s">
        <v>999</v>
      </c>
      <c r="E6" s="37" t="s">
        <v>1000</v>
      </c>
      <c r="F6" s="38" t="s">
        <v>971</v>
      </c>
      <c r="G6" s="282" t="s">
        <v>971</v>
      </c>
      <c r="H6" s="297" t="s">
        <v>1001</v>
      </c>
      <c r="I6" s="37" t="s">
        <v>973</v>
      </c>
      <c r="J6" s="38"/>
      <c r="K6" s="39" t="s">
        <v>1002</v>
      </c>
      <c r="L6" s="297">
        <v>38</v>
      </c>
    </row>
    <row r="7" spans="1:13" ht="99" customHeight="1" thickBot="1">
      <c r="A7" s="64" t="s">
        <v>1003</v>
      </c>
      <c r="B7" s="65" t="s">
        <v>1004</v>
      </c>
      <c r="C7" s="35" t="s">
        <v>1005</v>
      </c>
      <c r="D7" s="43" t="s">
        <v>1006</v>
      </c>
      <c r="E7" s="37" t="s">
        <v>1007</v>
      </c>
      <c r="F7" s="38" t="s">
        <v>971</v>
      </c>
      <c r="G7" s="282" t="s">
        <v>971</v>
      </c>
      <c r="H7" s="297" t="s">
        <v>1008</v>
      </c>
      <c r="I7" s="37" t="s">
        <v>973</v>
      </c>
      <c r="J7" s="38"/>
      <c r="K7" s="39" t="s">
        <v>1009</v>
      </c>
      <c r="L7" s="297">
        <v>183</v>
      </c>
    </row>
    <row r="8" spans="1:13" ht="99" customHeight="1" thickBot="1">
      <c r="A8" s="64" t="s">
        <v>1003</v>
      </c>
      <c r="B8" s="65" t="s">
        <v>1010</v>
      </c>
      <c r="C8" s="35" t="s">
        <v>1011</v>
      </c>
      <c r="D8" s="43" t="s">
        <v>1006</v>
      </c>
      <c r="E8" s="37" t="s">
        <v>1007</v>
      </c>
      <c r="F8" s="38" t="s">
        <v>971</v>
      </c>
      <c r="G8" s="282" t="s">
        <v>971</v>
      </c>
      <c r="H8" s="297" t="s">
        <v>1008</v>
      </c>
      <c r="I8" s="37" t="s">
        <v>973</v>
      </c>
      <c r="J8" s="38"/>
      <c r="K8" s="39" t="s">
        <v>1009</v>
      </c>
      <c r="L8" s="297">
        <v>183</v>
      </c>
    </row>
    <row r="9" spans="1:13" ht="99" customHeight="1" thickBot="1">
      <c r="A9" s="64" t="s">
        <v>1012</v>
      </c>
      <c r="B9" s="65" t="s">
        <v>1013</v>
      </c>
      <c r="C9" s="35" t="s">
        <v>1014</v>
      </c>
      <c r="D9" s="43" t="s">
        <v>1015</v>
      </c>
      <c r="E9" s="37" t="s">
        <v>1016</v>
      </c>
      <c r="F9" s="38" t="s">
        <v>971</v>
      </c>
      <c r="G9" s="282" t="s">
        <v>971</v>
      </c>
      <c r="H9" s="297" t="s">
        <v>1017</v>
      </c>
      <c r="I9" s="37" t="s">
        <v>973</v>
      </c>
      <c r="J9" s="38"/>
      <c r="K9" s="39" t="s">
        <v>1018</v>
      </c>
      <c r="L9" s="297">
        <v>178</v>
      </c>
    </row>
    <row r="10" spans="1:13" ht="99" customHeight="1" thickBot="1">
      <c r="A10" s="64" t="s">
        <v>1012</v>
      </c>
      <c r="B10" s="65" t="s">
        <v>1019</v>
      </c>
      <c r="C10" s="35" t="s">
        <v>1014</v>
      </c>
      <c r="D10" s="43" t="s">
        <v>1015</v>
      </c>
      <c r="E10" s="37" t="s">
        <v>1016</v>
      </c>
      <c r="F10" s="38" t="s">
        <v>971</v>
      </c>
      <c r="G10" s="282" t="s">
        <v>1020</v>
      </c>
      <c r="H10" s="297" t="s">
        <v>1017</v>
      </c>
      <c r="I10" s="37" t="s">
        <v>973</v>
      </c>
      <c r="J10" s="38"/>
      <c r="K10" s="39" t="s">
        <v>1021</v>
      </c>
      <c r="L10" s="297">
        <v>178</v>
      </c>
    </row>
    <row r="11" spans="1:13" ht="99" customHeight="1" thickBot="1">
      <c r="A11" s="64" t="s">
        <v>1022</v>
      </c>
      <c r="B11" s="65" t="s">
        <v>1023</v>
      </c>
      <c r="C11" s="35" t="s">
        <v>1024</v>
      </c>
      <c r="D11" s="43" t="s">
        <v>1025</v>
      </c>
      <c r="E11" s="37" t="s">
        <v>1026</v>
      </c>
      <c r="F11" s="38" t="s">
        <v>1020</v>
      </c>
      <c r="G11" s="282" t="s">
        <v>1020</v>
      </c>
      <c r="H11" s="297" t="s">
        <v>1027</v>
      </c>
      <c r="I11" s="37" t="s">
        <v>973</v>
      </c>
      <c r="J11" s="38"/>
      <c r="K11" s="39" t="s">
        <v>1028</v>
      </c>
      <c r="L11" s="297">
        <v>124</v>
      </c>
    </row>
    <row r="12" spans="1:13" ht="99" customHeight="1" thickBot="1">
      <c r="A12" s="64" t="s">
        <v>1029</v>
      </c>
      <c r="B12" s="65" t="s">
        <v>1030</v>
      </c>
      <c r="C12" s="35" t="s">
        <v>1031</v>
      </c>
      <c r="D12" s="43" t="s">
        <v>1032</v>
      </c>
      <c r="E12" s="36" t="s">
        <v>969</v>
      </c>
      <c r="F12" s="38" t="s">
        <v>1020</v>
      </c>
      <c r="G12" s="282" t="s">
        <v>1020</v>
      </c>
      <c r="H12" s="297" t="s">
        <v>1033</v>
      </c>
      <c r="I12" s="37" t="s">
        <v>973</v>
      </c>
      <c r="J12" s="38"/>
      <c r="K12" s="39" t="s">
        <v>1034</v>
      </c>
      <c r="L12" s="297">
        <v>80</v>
      </c>
    </row>
    <row r="13" spans="1:13">
      <c r="A13" s="3"/>
      <c r="B13" s="2"/>
      <c r="C13" s="2"/>
      <c r="E13" s="3"/>
      <c r="F13" s="2"/>
      <c r="G13" s="2"/>
      <c r="H13" s="2"/>
      <c r="I13" s="2"/>
      <c r="K13" s="2"/>
      <c r="L13" s="2">
        <f>SUM(L1:L12)</f>
        <v>1505</v>
      </c>
      <c r="M13" s="12" t="s">
        <v>1361</v>
      </c>
    </row>
    <row r="14" spans="1:13">
      <c r="A14" s="3"/>
      <c r="B14" s="2" t="s">
        <v>1035</v>
      </c>
      <c r="C14" s="2"/>
      <c r="E14" s="3"/>
      <c r="F14" s="2"/>
      <c r="G14" s="2"/>
      <c r="H14" s="2"/>
      <c r="I14" s="2"/>
      <c r="K14" s="2"/>
      <c r="L14" s="2"/>
    </row>
    <row r="15" spans="1:13">
      <c r="A15" s="3"/>
      <c r="B15" s="2"/>
      <c r="C15" s="2"/>
      <c r="E15" s="3"/>
      <c r="F15" s="2"/>
      <c r="G15" s="2"/>
      <c r="H15" s="2"/>
      <c r="I15" s="2"/>
      <c r="K15" s="2"/>
      <c r="L15" s="2"/>
    </row>
    <row r="16" spans="1:13">
      <c r="F16" s="12"/>
      <c r="G16" s="12"/>
    </row>
    <row r="17" spans="6:7">
      <c r="F17" s="12"/>
      <c r="G17" s="12"/>
    </row>
    <row r="18" spans="6:7">
      <c r="F18" s="12"/>
      <c r="G18" s="12"/>
    </row>
    <row r="19" spans="6:7">
      <c r="F19" s="12"/>
      <c r="G19" s="12"/>
    </row>
  </sheetData>
  <pageMargins left="0.7" right="0.7" top="0.75" bottom="0.75" header="0.3" footer="0.3"/>
  <customProperties>
    <customPr name="_pios_id" r:id="rId1"/>
  </customPropertie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5448EAD6-1D15-49A5-83EC-849ACF9BC89B}">
          <x14:formula1>
            <xm:f>LISTES!$A$14:$A$21</xm:f>
          </x14:formula1>
          <xm:sqref>J2:J12</xm:sqref>
        </x14:dataValidation>
        <x14:dataValidation type="list" allowBlank="1" showInputMessage="1" showErrorMessage="1" xr:uid="{3C1B9B93-A961-4084-944B-B7CD2150D477}">
          <x14:formula1>
            <xm:f>LISTES!$A$23:$A$27</xm:f>
          </x14:formula1>
          <xm:sqref>F2:G12</xm:sqref>
        </x14:dataValidation>
        <x14:dataValidation type="list" allowBlank="1" showInputMessage="1" showErrorMessage="1" xr:uid="{4AB077D9-B6E1-4E81-A7A6-FF58239AC78D}">
          <x14:formula1>
            <xm:f>LISTES!$A$2:$A$3</xm:f>
          </x14:formula1>
          <xm:sqref>I2:I12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F757-9F9B-4A96-AAC0-8636E75A3FBC}">
  <sheetPr>
    <tabColor theme="9" tint="0.79998168889431442"/>
  </sheetPr>
  <dimension ref="A1:E36"/>
  <sheetViews>
    <sheetView topLeftCell="A11" zoomScaleNormal="100" workbookViewId="0">
      <selection activeCell="E28" sqref="E28"/>
    </sheetView>
  </sheetViews>
  <sheetFormatPr baseColWidth="10" defaultColWidth="10.77734375" defaultRowHeight="14.4"/>
  <cols>
    <col min="1" max="1" width="17.77734375" style="12" customWidth="1"/>
    <col min="2" max="2" width="18.77734375" style="12" customWidth="1"/>
    <col min="3" max="3" width="82.77734375" style="13" customWidth="1"/>
    <col min="4" max="4" width="20.44140625" style="13" customWidth="1"/>
    <col min="5" max="5" width="103" style="12" customWidth="1"/>
    <col min="6" max="16384" width="10.77734375" style="12"/>
  </cols>
  <sheetData>
    <row r="1" spans="1:5" ht="16.2" thickBot="1">
      <c r="A1" s="359" t="s">
        <v>1036</v>
      </c>
      <c r="B1" s="360"/>
      <c r="C1" s="360"/>
      <c r="D1" s="99" t="s">
        <v>23</v>
      </c>
      <c r="E1" s="99" t="s">
        <v>1037</v>
      </c>
    </row>
    <row r="2" spans="1:5" ht="409.5" customHeight="1" thickBot="1">
      <c r="A2" s="364" t="s">
        <v>1038</v>
      </c>
      <c r="B2" s="368" t="s">
        <v>1039</v>
      </c>
      <c r="C2" s="70" t="s">
        <v>1040</v>
      </c>
      <c r="D2" s="96" t="s">
        <v>1041</v>
      </c>
      <c r="E2" s="167" t="s">
        <v>1042</v>
      </c>
    </row>
    <row r="3" spans="1:5" ht="61.5" customHeight="1" thickBot="1">
      <c r="A3" s="365"/>
      <c r="B3" s="369"/>
      <c r="C3" s="72" t="s">
        <v>1043</v>
      </c>
      <c r="D3" s="96" t="s">
        <v>1044</v>
      </c>
      <c r="E3" s="13" t="s">
        <v>1045</v>
      </c>
    </row>
    <row r="4" spans="1:5" ht="316.8">
      <c r="A4" s="366"/>
      <c r="B4" s="353" t="s">
        <v>1046</v>
      </c>
      <c r="C4" s="74" t="s">
        <v>1047</v>
      </c>
      <c r="D4" s="74" t="s">
        <v>912</v>
      </c>
      <c r="E4" s="96" t="s">
        <v>1048</v>
      </c>
    </row>
    <row r="5" spans="1:5" ht="14.25" customHeight="1">
      <c r="A5" s="366"/>
      <c r="B5" s="353"/>
      <c r="C5" s="74" t="s">
        <v>1049</v>
      </c>
      <c r="D5" s="168"/>
      <c r="E5" s="121"/>
    </row>
    <row r="6" spans="1:5" ht="372" customHeight="1">
      <c r="A6" s="366"/>
      <c r="B6" s="354"/>
      <c r="C6" s="77" t="s">
        <v>1050</v>
      </c>
      <c r="D6" s="77" t="s">
        <v>1051</v>
      </c>
      <c r="E6" s="165" t="s">
        <v>1052</v>
      </c>
    </row>
    <row r="7" spans="1:5" ht="403.2">
      <c r="A7" s="366"/>
      <c r="B7" s="354"/>
      <c r="C7" s="77" t="s">
        <v>1053</v>
      </c>
      <c r="D7" s="77" t="s">
        <v>1051</v>
      </c>
      <c r="E7" s="165" t="s">
        <v>1054</v>
      </c>
    </row>
    <row r="8" spans="1:5" ht="360" customHeight="1">
      <c r="A8" s="366"/>
      <c r="B8" s="354"/>
      <c r="C8" s="77" t="s">
        <v>1055</v>
      </c>
      <c r="D8" s="77" t="s">
        <v>1056</v>
      </c>
      <c r="E8" s="165" t="s">
        <v>1057</v>
      </c>
    </row>
    <row r="9" spans="1:5" ht="374.4">
      <c r="A9" s="366"/>
      <c r="B9" s="354"/>
      <c r="C9" s="77" t="s">
        <v>1058</v>
      </c>
      <c r="D9" s="77" t="s">
        <v>1051</v>
      </c>
      <c r="E9" s="165" t="s">
        <v>1059</v>
      </c>
    </row>
    <row r="10" spans="1:5" ht="403.2">
      <c r="A10" s="366"/>
      <c r="B10" s="354"/>
      <c r="C10" s="77" t="s">
        <v>1060</v>
      </c>
      <c r="D10" s="77" t="s">
        <v>1051</v>
      </c>
      <c r="E10" s="165" t="s">
        <v>1061</v>
      </c>
    </row>
    <row r="11" spans="1:5" ht="409.5" customHeight="1">
      <c r="A11" s="366"/>
      <c r="B11" s="354"/>
      <c r="C11" s="77" t="s">
        <v>1062</v>
      </c>
      <c r="D11" s="77" t="s">
        <v>1051</v>
      </c>
      <c r="E11" s="165" t="s">
        <v>1063</v>
      </c>
    </row>
    <row r="12" spans="1:5" ht="409.6" customHeight="1">
      <c r="A12" s="366"/>
      <c r="B12" s="354"/>
      <c r="C12" s="77" t="s">
        <v>1064</v>
      </c>
      <c r="D12" s="77" t="s">
        <v>1056</v>
      </c>
      <c r="E12" s="165" t="s">
        <v>1065</v>
      </c>
    </row>
    <row r="13" spans="1:5" ht="285" customHeight="1" thickBot="1">
      <c r="A13" s="367"/>
      <c r="B13" s="355"/>
      <c r="C13" s="80" t="s">
        <v>1066</v>
      </c>
      <c r="D13" s="80" t="s">
        <v>1051</v>
      </c>
      <c r="E13" s="160" t="s">
        <v>1067</v>
      </c>
    </row>
    <row r="14" spans="1:5" ht="25.5" customHeight="1">
      <c r="A14" s="356" t="s">
        <v>1068</v>
      </c>
      <c r="B14" s="361" t="s">
        <v>1069</v>
      </c>
      <c r="C14" s="91" t="s">
        <v>1070</v>
      </c>
      <c r="D14" s="96" t="s">
        <v>912</v>
      </c>
      <c r="E14" s="89" t="s">
        <v>1071</v>
      </c>
    </row>
    <row r="15" spans="1:5" ht="292.5" customHeight="1">
      <c r="A15" s="357"/>
      <c r="B15" s="354"/>
      <c r="C15" s="83" t="s">
        <v>1072</v>
      </c>
      <c r="D15" s="77" t="s">
        <v>912</v>
      </c>
      <c r="E15" s="165" t="s">
        <v>1073</v>
      </c>
    </row>
    <row r="16" spans="1:5" ht="345.6">
      <c r="A16" s="357"/>
      <c r="B16" s="354"/>
      <c r="C16" s="83" t="s">
        <v>1074</v>
      </c>
      <c r="D16" s="77" t="s">
        <v>912</v>
      </c>
      <c r="E16" s="165" t="s">
        <v>1075</v>
      </c>
    </row>
    <row r="17" spans="1:5" ht="297" customHeight="1">
      <c r="A17" s="357"/>
      <c r="B17" s="354"/>
      <c r="C17" s="83" t="s">
        <v>1076</v>
      </c>
      <c r="D17" s="77" t="s">
        <v>912</v>
      </c>
      <c r="E17" s="165" t="s">
        <v>1077</v>
      </c>
    </row>
    <row r="18" spans="1:5" ht="315" customHeight="1">
      <c r="A18" s="357"/>
      <c r="B18" s="354"/>
      <c r="C18" s="83" t="s">
        <v>1078</v>
      </c>
      <c r="D18" s="77" t="s">
        <v>912</v>
      </c>
      <c r="E18" s="165" t="s">
        <v>1079</v>
      </c>
    </row>
    <row r="19" spans="1:5" ht="351.75" customHeight="1">
      <c r="A19" s="357"/>
      <c r="B19" s="354"/>
      <c r="C19" s="83" t="s">
        <v>1080</v>
      </c>
      <c r="D19" s="77" t="s">
        <v>912</v>
      </c>
      <c r="E19" s="165" t="s">
        <v>1081</v>
      </c>
    </row>
    <row r="20" spans="1:5" ht="357.75" customHeight="1">
      <c r="A20" s="357"/>
      <c r="B20" s="354"/>
      <c r="C20" s="83" t="s">
        <v>1082</v>
      </c>
      <c r="D20" s="77" t="s">
        <v>912</v>
      </c>
      <c r="E20" s="165" t="s">
        <v>1083</v>
      </c>
    </row>
    <row r="21" spans="1:5" ht="409.5" customHeight="1">
      <c r="A21" s="357"/>
      <c r="B21" s="354"/>
      <c r="C21" s="83" t="s">
        <v>1084</v>
      </c>
      <c r="D21" s="77" t="s">
        <v>912</v>
      </c>
      <c r="E21" s="165" t="s">
        <v>1085</v>
      </c>
    </row>
    <row r="22" spans="1:5" ht="409.6">
      <c r="A22" s="357"/>
      <c r="B22" s="354"/>
      <c r="C22" s="83" t="s">
        <v>1086</v>
      </c>
      <c r="D22" s="77" t="s">
        <v>912</v>
      </c>
      <c r="E22" s="165" t="s">
        <v>1087</v>
      </c>
    </row>
    <row r="23" spans="1:5" ht="340.5" customHeight="1">
      <c r="A23" s="357"/>
      <c r="B23" s="354"/>
      <c r="C23" s="83" t="s">
        <v>1088</v>
      </c>
      <c r="D23" s="77" t="s">
        <v>912</v>
      </c>
      <c r="E23" s="165" t="s">
        <v>1089</v>
      </c>
    </row>
    <row r="24" spans="1:5">
      <c r="A24" s="357"/>
      <c r="B24" s="362"/>
      <c r="C24" s="84" t="s">
        <v>1090</v>
      </c>
      <c r="D24" s="162" t="s">
        <v>912</v>
      </c>
      <c r="E24" s="166"/>
    </row>
    <row r="25" spans="1:5" ht="352.5" customHeight="1">
      <c r="A25" s="357"/>
      <c r="B25" s="363" t="s">
        <v>1091</v>
      </c>
      <c r="C25" s="85" t="s">
        <v>1092</v>
      </c>
      <c r="D25" s="169" t="s">
        <v>912</v>
      </c>
      <c r="E25" s="164" t="s">
        <v>1093</v>
      </c>
    </row>
    <row r="26" spans="1:5">
      <c r="A26" s="357"/>
      <c r="B26" s="354"/>
      <c r="C26" s="83" t="s">
        <v>1094</v>
      </c>
      <c r="D26" s="77" t="s">
        <v>912</v>
      </c>
      <c r="E26" s="79" t="s">
        <v>1095</v>
      </c>
    </row>
    <row r="27" spans="1:5" ht="295.5" customHeight="1">
      <c r="A27" s="357"/>
      <c r="B27" s="354"/>
      <c r="C27" s="87" t="s">
        <v>1096</v>
      </c>
      <c r="D27" s="77"/>
      <c r="E27" s="165" t="s">
        <v>1097</v>
      </c>
    </row>
    <row r="28" spans="1:5" ht="279" customHeight="1">
      <c r="A28" s="357"/>
      <c r="B28" s="354"/>
      <c r="C28" s="87" t="s">
        <v>1098</v>
      </c>
      <c r="D28" s="77" t="s">
        <v>912</v>
      </c>
      <c r="E28" s="165" t="s">
        <v>1099</v>
      </c>
    </row>
    <row r="29" spans="1:5" ht="260.25" customHeight="1">
      <c r="A29" s="357"/>
      <c r="B29" s="354"/>
      <c r="C29" s="87" t="s">
        <v>1100</v>
      </c>
      <c r="D29" s="77" t="s">
        <v>912</v>
      </c>
      <c r="E29" s="165" t="s">
        <v>1101</v>
      </c>
    </row>
    <row r="30" spans="1:5" ht="341.25" customHeight="1">
      <c r="A30" s="357"/>
      <c r="B30" s="362"/>
      <c r="C30" s="84" t="s">
        <v>1102</v>
      </c>
      <c r="D30" s="162" t="s">
        <v>912</v>
      </c>
      <c r="E30" s="166" t="s">
        <v>1103</v>
      </c>
    </row>
    <row r="31" spans="1:5" ht="293.25" customHeight="1">
      <c r="A31" s="357"/>
      <c r="B31" s="363" t="s">
        <v>1104</v>
      </c>
      <c r="C31" s="85" t="s">
        <v>1105</v>
      </c>
      <c r="D31" s="169" t="s">
        <v>912</v>
      </c>
      <c r="E31" s="164" t="s">
        <v>1106</v>
      </c>
    </row>
    <row r="32" spans="1:5" ht="270" customHeight="1">
      <c r="A32" s="357"/>
      <c r="B32" s="354"/>
      <c r="C32" s="87" t="s">
        <v>1107</v>
      </c>
      <c r="D32" s="77" t="s">
        <v>912</v>
      </c>
      <c r="E32" s="165" t="s">
        <v>1108</v>
      </c>
    </row>
    <row r="33" spans="1:5" ht="288">
      <c r="A33" s="357"/>
      <c r="B33" s="354"/>
      <c r="C33" s="87" t="s">
        <v>1109</v>
      </c>
      <c r="D33" s="77" t="s">
        <v>912</v>
      </c>
      <c r="E33" s="165" t="s">
        <v>1110</v>
      </c>
    </row>
    <row r="34" spans="1:5" ht="288">
      <c r="A34" s="357"/>
      <c r="B34" s="354"/>
      <c r="C34" s="87" t="s">
        <v>1111</v>
      </c>
      <c r="D34" s="77" t="s">
        <v>912</v>
      </c>
      <c r="E34" s="165" t="s">
        <v>1112</v>
      </c>
    </row>
    <row r="35" spans="1:5" ht="331.2">
      <c r="A35" s="357"/>
      <c r="B35" s="354"/>
      <c r="C35" s="87" t="s">
        <v>1113</v>
      </c>
      <c r="D35" s="77" t="s">
        <v>912</v>
      </c>
      <c r="E35" s="165" t="s">
        <v>1114</v>
      </c>
    </row>
    <row r="36" spans="1:5" ht="318.75" customHeight="1" thickBot="1">
      <c r="A36" s="358"/>
      <c r="B36" s="355"/>
      <c r="C36" s="88" t="s">
        <v>1115</v>
      </c>
      <c r="D36" s="80" t="s">
        <v>912</v>
      </c>
      <c r="E36" s="160" t="s">
        <v>1116</v>
      </c>
    </row>
  </sheetData>
  <mergeCells count="8">
    <mergeCell ref="B4:B13"/>
    <mergeCell ref="A14:A36"/>
    <mergeCell ref="A1:C1"/>
    <mergeCell ref="B14:B24"/>
    <mergeCell ref="B25:B30"/>
    <mergeCell ref="B31:B36"/>
    <mergeCell ref="A2:A13"/>
    <mergeCell ref="B2:B3"/>
  </mergeCells>
  <pageMargins left="0.7" right="0.7" top="0.75" bottom="0.75" header="0.3" footer="0.3"/>
  <customProperties>
    <customPr name="_pios_i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2E06D717-4708-402F-8C1F-DD6FF77FBD9D}">
          <x14:formula1>
            <xm:f>LISTES!$A$2:$A$4</xm:f>
          </x14:formula1>
          <xm:sqref>D4 D14:D36</xm:sqref>
        </x14:dataValidation>
        <x14:dataValidation type="list" allowBlank="1" showInputMessage="1" showErrorMessage="1" xr:uid="{833FD0B6-07F8-484D-B366-8B16864E6A2F}">
          <x14:formula1>
            <xm:f>LISTES!$A$30:$A$34</xm:f>
          </x14:formula1>
          <xm:sqref>D6:D13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874D-ADF4-4F35-89C7-09DC50051DD3}">
  <sheetPr>
    <tabColor theme="9" tint="0.79998168889431442"/>
  </sheetPr>
  <dimension ref="A1:D42"/>
  <sheetViews>
    <sheetView topLeftCell="B37" zoomScale="85" zoomScaleNormal="85" workbookViewId="0">
      <selection activeCell="D4" sqref="D4"/>
    </sheetView>
  </sheetViews>
  <sheetFormatPr baseColWidth="10" defaultColWidth="10.77734375" defaultRowHeight="14.4"/>
  <cols>
    <col min="1" max="1" width="42.21875" style="2" customWidth="1"/>
    <col min="2" max="2" width="86.44140625" style="2" customWidth="1"/>
    <col min="3" max="3" width="9.77734375" style="2" customWidth="1"/>
    <col min="4" max="4" width="128.77734375" style="2" customWidth="1"/>
    <col min="5" max="16384" width="10.77734375" style="12"/>
  </cols>
  <sheetData>
    <row r="1" spans="1:4" ht="15.6">
      <c r="A1" s="370" t="s">
        <v>1117</v>
      </c>
      <c r="B1" s="373"/>
      <c r="C1" s="109" t="s">
        <v>23</v>
      </c>
      <c r="D1" s="110" t="s">
        <v>1118</v>
      </c>
    </row>
    <row r="2" spans="1:4" ht="43.2">
      <c r="A2" s="366" t="s">
        <v>1119</v>
      </c>
      <c r="B2" s="100" t="s">
        <v>1120</v>
      </c>
      <c r="C2" s="101"/>
      <c r="D2" s="102" t="s">
        <v>715</v>
      </c>
    </row>
    <row r="3" spans="1:4" ht="14.25" customHeight="1">
      <c r="A3" s="366"/>
      <c r="B3" s="100" t="s">
        <v>1121</v>
      </c>
      <c r="C3" s="119"/>
      <c r="D3" s="120"/>
    </row>
    <row r="4" spans="1:4" s="290" customFormat="1" ht="144">
      <c r="A4" s="366"/>
      <c r="B4" s="287" t="s">
        <v>1122</v>
      </c>
      <c r="C4" s="288" t="s">
        <v>912</v>
      </c>
      <c r="D4" s="289" t="s">
        <v>1334</v>
      </c>
    </row>
    <row r="5" spans="1:4" ht="79.95" customHeight="1">
      <c r="A5" s="366"/>
      <c r="B5" s="103" t="s">
        <v>1123</v>
      </c>
      <c r="C5" s="101" t="s">
        <v>912</v>
      </c>
      <c r="D5" s="286" t="s">
        <v>1335</v>
      </c>
    </row>
    <row r="6" spans="1:4" ht="55.2" customHeight="1">
      <c r="A6" s="366"/>
      <c r="B6" s="103" t="s">
        <v>1124</v>
      </c>
      <c r="C6" s="101" t="s">
        <v>912</v>
      </c>
      <c r="D6" s="286" t="s">
        <v>1333</v>
      </c>
    </row>
    <row r="7" spans="1:4" ht="83.7" customHeight="1">
      <c r="A7" s="366"/>
      <c r="B7" s="103" t="s">
        <v>1125</v>
      </c>
      <c r="C7" s="101" t="s">
        <v>912</v>
      </c>
      <c r="D7" s="286" t="s">
        <v>1332</v>
      </c>
    </row>
    <row r="8" spans="1:4" ht="366.45" customHeight="1">
      <c r="A8" s="375"/>
      <c r="B8" s="105" t="s">
        <v>1126</v>
      </c>
      <c r="C8" s="106" t="s">
        <v>912</v>
      </c>
      <c r="D8" s="293" t="s">
        <v>1331</v>
      </c>
    </row>
    <row r="9" spans="1:4" ht="40.950000000000003" customHeight="1">
      <c r="A9" s="374" t="s">
        <v>1127</v>
      </c>
      <c r="B9" s="116" t="s">
        <v>1128</v>
      </c>
      <c r="C9" s="119"/>
      <c r="D9" s="120"/>
    </row>
    <row r="10" spans="1:4" ht="133.19999999999999" customHeight="1">
      <c r="A10" s="366"/>
      <c r="B10" s="103" t="s">
        <v>1129</v>
      </c>
      <c r="C10" s="101" t="s">
        <v>912</v>
      </c>
      <c r="D10" s="286" t="s">
        <v>1336</v>
      </c>
    </row>
    <row r="11" spans="1:4" ht="76.95" customHeight="1">
      <c r="A11" s="366"/>
      <c r="B11" s="103" t="s">
        <v>1130</v>
      </c>
      <c r="C11" s="101" t="s">
        <v>912</v>
      </c>
      <c r="D11" s="286" t="s">
        <v>1337</v>
      </c>
    </row>
    <row r="12" spans="1:4" ht="180.45" customHeight="1">
      <c r="A12" s="375"/>
      <c r="B12" s="105" t="s">
        <v>1131</v>
      </c>
      <c r="C12" s="101" t="s">
        <v>912</v>
      </c>
      <c r="D12" s="293" t="s">
        <v>1338</v>
      </c>
    </row>
    <row r="13" spans="1:4" ht="14.25" customHeight="1">
      <c r="A13" s="366" t="s">
        <v>1132</v>
      </c>
      <c r="B13" s="100" t="s">
        <v>1133</v>
      </c>
      <c r="C13" s="119"/>
      <c r="D13" s="120"/>
    </row>
    <row r="14" spans="1:4" ht="127.95" customHeight="1">
      <c r="A14" s="366"/>
      <c r="B14" s="103" t="s">
        <v>1134</v>
      </c>
      <c r="C14" s="101" t="s">
        <v>1330</v>
      </c>
      <c r="D14" s="286" t="s">
        <v>1341</v>
      </c>
    </row>
    <row r="15" spans="1:4" ht="55.95" customHeight="1">
      <c r="A15" s="366"/>
      <c r="B15" s="103" t="s">
        <v>1135</v>
      </c>
      <c r="C15" s="101" t="s">
        <v>1330</v>
      </c>
      <c r="D15" s="286" t="s">
        <v>1342</v>
      </c>
    </row>
    <row r="16" spans="1:4" ht="14.25" customHeight="1">
      <c r="A16" s="366"/>
      <c r="B16" s="100" t="s">
        <v>1136</v>
      </c>
      <c r="C16" s="119"/>
      <c r="D16" s="120"/>
    </row>
    <row r="17" spans="1:4" ht="77.7" customHeight="1">
      <c r="A17" s="366"/>
      <c r="B17" s="103" t="s">
        <v>1134</v>
      </c>
      <c r="C17" s="101"/>
      <c r="D17" s="286" t="s">
        <v>1340</v>
      </c>
    </row>
    <row r="18" spans="1:4" ht="151.94999999999999" customHeight="1" thickBot="1">
      <c r="A18" s="367"/>
      <c r="B18" s="107" t="s">
        <v>1135</v>
      </c>
      <c r="C18" s="104"/>
      <c r="D18" s="286" t="s">
        <v>1339</v>
      </c>
    </row>
    <row r="19" spans="1:4" ht="14.25" customHeight="1"/>
    <row r="20" spans="1:4" ht="14.25" customHeight="1" thickBot="1"/>
    <row r="21" spans="1:4" ht="15.6">
      <c r="A21" s="370" t="s">
        <v>1137</v>
      </c>
      <c r="B21" s="371"/>
      <c r="C21" s="109" t="s">
        <v>23</v>
      </c>
      <c r="D21" s="115" t="s">
        <v>1118</v>
      </c>
    </row>
    <row r="22" spans="1:4" ht="14.25" customHeight="1">
      <c r="A22" s="365" t="s">
        <v>1138</v>
      </c>
      <c r="B22" s="123" t="s">
        <v>1139</v>
      </c>
      <c r="C22" s="119"/>
      <c r="D22" s="120"/>
    </row>
    <row r="23" spans="1:4" ht="129.6">
      <c r="A23" s="365"/>
      <c r="B23" s="113" t="s">
        <v>1140</v>
      </c>
      <c r="C23" s="112" t="s">
        <v>1330</v>
      </c>
      <c r="D23" s="291" t="s">
        <v>1349</v>
      </c>
    </row>
    <row r="24" spans="1:4" ht="73.2" customHeight="1">
      <c r="A24" s="365"/>
      <c r="B24" s="113" t="s">
        <v>1141</v>
      </c>
      <c r="C24" s="113" t="s">
        <v>1330</v>
      </c>
      <c r="D24" s="111" t="s">
        <v>1350</v>
      </c>
    </row>
    <row r="25" spans="1:4" ht="50.7" customHeight="1">
      <c r="A25" s="365"/>
      <c r="B25" s="113" t="s">
        <v>1142</v>
      </c>
      <c r="C25" s="113" t="s">
        <v>1330</v>
      </c>
      <c r="D25" s="111" t="s">
        <v>1348</v>
      </c>
    </row>
    <row r="26" spans="1:4" ht="55.2" customHeight="1">
      <c r="A26" s="365"/>
      <c r="B26" s="113" t="s">
        <v>1143</v>
      </c>
      <c r="C26" s="113" t="s">
        <v>1330</v>
      </c>
      <c r="D26" s="111" t="s">
        <v>1347</v>
      </c>
    </row>
    <row r="27" spans="1:4" ht="77.7" customHeight="1">
      <c r="A27" s="365"/>
      <c r="B27" s="113" t="s">
        <v>1144</v>
      </c>
      <c r="C27" s="113" t="s">
        <v>1330</v>
      </c>
      <c r="D27" s="111" t="s">
        <v>1346</v>
      </c>
    </row>
    <row r="28" spans="1:4" ht="53.7" customHeight="1">
      <c r="A28" s="365"/>
      <c r="B28" s="113" t="s">
        <v>1145</v>
      </c>
      <c r="C28" s="113" t="s">
        <v>1330</v>
      </c>
      <c r="D28" s="111" t="s">
        <v>1345</v>
      </c>
    </row>
    <row r="29" spans="1:4" ht="57.45" customHeight="1">
      <c r="A29" s="365"/>
      <c r="B29" s="113" t="s">
        <v>1146</v>
      </c>
      <c r="C29" s="113" t="s">
        <v>1330</v>
      </c>
      <c r="D29" s="111" t="s">
        <v>1344</v>
      </c>
    </row>
    <row r="30" spans="1:4" ht="232.95" customHeight="1" thickBot="1">
      <c r="A30" s="372"/>
      <c r="B30" s="117" t="s">
        <v>1147</v>
      </c>
      <c r="C30" s="113" t="s">
        <v>1330</v>
      </c>
      <c r="D30" s="118" t="s">
        <v>1343</v>
      </c>
    </row>
    <row r="31" spans="1:4" ht="14.25" customHeight="1">
      <c r="A31" s="108"/>
      <c r="B31" s="114"/>
      <c r="C31" s="114"/>
      <c r="D31" s="114"/>
    </row>
    <row r="32" spans="1:4" ht="14.25" customHeight="1" thickBot="1"/>
    <row r="33" spans="1:4" ht="15.6">
      <c r="A33" s="370" t="s">
        <v>1148</v>
      </c>
      <c r="B33" s="371"/>
      <c r="C33" s="109" t="s">
        <v>23</v>
      </c>
      <c r="D33" s="115" t="s">
        <v>1118</v>
      </c>
    </row>
    <row r="34" spans="1:4" ht="13.95" customHeight="1">
      <c r="A34" s="365" t="s">
        <v>1149</v>
      </c>
      <c r="B34" s="123" t="s">
        <v>1139</v>
      </c>
      <c r="C34" s="119"/>
      <c r="D34" s="120"/>
    </row>
    <row r="35" spans="1:4" ht="145.5" customHeight="1">
      <c r="A35" s="365"/>
      <c r="B35" s="113" t="s">
        <v>1150</v>
      </c>
      <c r="C35" s="113" t="s">
        <v>1330</v>
      </c>
      <c r="D35" s="292" t="s">
        <v>1357</v>
      </c>
    </row>
    <row r="36" spans="1:4" ht="78.45" customHeight="1">
      <c r="A36" s="365"/>
      <c r="B36" s="113" t="s">
        <v>1151</v>
      </c>
      <c r="C36" s="113" t="s">
        <v>1330</v>
      </c>
      <c r="D36" s="111" t="s">
        <v>1358</v>
      </c>
    </row>
    <row r="37" spans="1:4" ht="76.95" customHeight="1">
      <c r="A37" s="365"/>
      <c r="B37" s="113" t="s">
        <v>1152</v>
      </c>
      <c r="C37" s="113" t="s">
        <v>1330</v>
      </c>
      <c r="D37" s="111" t="s">
        <v>1356</v>
      </c>
    </row>
    <row r="38" spans="1:4" ht="70.2" customHeight="1">
      <c r="A38" s="365"/>
      <c r="B38" s="113" t="s">
        <v>1153</v>
      </c>
      <c r="C38" s="113" t="s">
        <v>1330</v>
      </c>
      <c r="D38" s="111" t="s">
        <v>1355</v>
      </c>
    </row>
    <row r="39" spans="1:4" ht="61.95" customHeight="1">
      <c r="A39" s="365"/>
      <c r="B39" s="113" t="s">
        <v>1154</v>
      </c>
      <c r="C39" s="113" t="s">
        <v>1330</v>
      </c>
      <c r="D39" s="111" t="s">
        <v>1354</v>
      </c>
    </row>
    <row r="40" spans="1:4" ht="85.2" customHeight="1">
      <c r="A40" s="365"/>
      <c r="B40" s="113" t="s">
        <v>1155</v>
      </c>
      <c r="C40" s="113" t="s">
        <v>1330</v>
      </c>
      <c r="D40" s="111" t="s">
        <v>1353</v>
      </c>
    </row>
    <row r="41" spans="1:4" ht="110.7" customHeight="1">
      <c r="A41" s="365"/>
      <c r="B41" s="113" t="s">
        <v>1156</v>
      </c>
      <c r="C41" s="113" t="s">
        <v>1330</v>
      </c>
      <c r="D41" s="111" t="s">
        <v>1352</v>
      </c>
    </row>
    <row r="42" spans="1:4" ht="236.7" customHeight="1" thickBot="1">
      <c r="A42" s="372"/>
      <c r="B42" s="117" t="s">
        <v>1157</v>
      </c>
      <c r="C42" s="113" t="s">
        <v>1330</v>
      </c>
      <c r="D42" s="118" t="s">
        <v>1351</v>
      </c>
    </row>
  </sheetData>
  <mergeCells count="8">
    <mergeCell ref="A33:B33"/>
    <mergeCell ref="A34:A42"/>
    <mergeCell ref="A1:B1"/>
    <mergeCell ref="A21:B21"/>
    <mergeCell ref="A22:A30"/>
    <mergeCell ref="A9:A12"/>
    <mergeCell ref="A13:A18"/>
    <mergeCell ref="A2:A8"/>
  </mergeCells>
  <dataValidations count="1">
    <dataValidation type="list" allowBlank="1" showInputMessage="1" showErrorMessage="1" sqref="C23:C31 C35:C42" xr:uid="{4A3B4705-4700-4049-8029-BA63D8F57EFA}">
      <formula1>"oui,non"</formula1>
    </dataValidation>
  </dataValidations>
  <pageMargins left="0.7" right="0.7" top="0.75" bottom="0.75" header="0.3" footer="0.3"/>
  <customProperties>
    <customPr name="_pios_id" r:id="rId1"/>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04A27BC5-8473-4123-95C3-2D2C54B0DBE7}">
          <x14:formula1>
            <xm:f>LISTES!$A$2:$A$4</xm:f>
          </x14:formula1>
          <xm:sqref>C2 C4:C8 C10:C12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A828E-8106-4924-8BBC-6DD70EC50708}">
  <sheetPr>
    <tabColor theme="9" tint="0.79998168889431442"/>
  </sheetPr>
  <dimension ref="A1:E27"/>
  <sheetViews>
    <sheetView topLeftCell="B12" zoomScaleNormal="100" workbookViewId="0">
      <selection activeCell="E19" sqref="E19"/>
    </sheetView>
  </sheetViews>
  <sheetFormatPr baseColWidth="10" defaultColWidth="10.77734375" defaultRowHeight="14.4"/>
  <cols>
    <col min="1" max="2" width="31.5546875" style="12" customWidth="1"/>
    <col min="3" max="3" width="64.77734375" style="12" customWidth="1"/>
    <col min="4" max="4" width="19.21875" style="12" customWidth="1"/>
    <col min="5" max="5" width="72.21875" style="12" customWidth="1"/>
    <col min="6" max="16384" width="10.77734375" style="12"/>
  </cols>
  <sheetData>
    <row r="1" spans="1:5" s="2" customFormat="1" ht="21.6" thickBot="1">
      <c r="A1" s="376" t="s">
        <v>1158</v>
      </c>
      <c r="B1" s="377"/>
      <c r="C1" s="377"/>
      <c r="D1" s="67" t="s">
        <v>23</v>
      </c>
      <c r="E1" s="68" t="s">
        <v>1118</v>
      </c>
    </row>
    <row r="2" spans="1:5" ht="409.5" customHeight="1">
      <c r="A2" s="378" t="s">
        <v>1159</v>
      </c>
      <c r="B2" s="389" t="s">
        <v>1160</v>
      </c>
      <c r="C2" s="91" t="s">
        <v>1161</v>
      </c>
      <c r="D2" s="71" t="s">
        <v>912</v>
      </c>
      <c r="E2" s="159" t="s">
        <v>1162</v>
      </c>
    </row>
    <row r="3" spans="1:5" ht="355.5" customHeight="1" thickBot="1">
      <c r="A3" s="379"/>
      <c r="B3" s="390"/>
      <c r="C3" s="92" t="s">
        <v>1163</v>
      </c>
      <c r="D3" s="81" t="s">
        <v>973</v>
      </c>
      <c r="E3" s="160" t="s">
        <v>1164</v>
      </c>
    </row>
    <row r="4" spans="1:5" ht="295.5" customHeight="1">
      <c r="A4" s="380" t="s">
        <v>1165</v>
      </c>
      <c r="B4" s="386" t="s">
        <v>1166</v>
      </c>
      <c r="C4" s="82" t="s">
        <v>1167</v>
      </c>
      <c r="D4" s="75" t="s">
        <v>912</v>
      </c>
      <c r="E4" s="161" t="s">
        <v>1168</v>
      </c>
    </row>
    <row r="5" spans="1:5" ht="45" customHeight="1">
      <c r="A5" s="381"/>
      <c r="B5" s="384"/>
      <c r="C5" s="83" t="s">
        <v>1169</v>
      </c>
      <c r="D5" s="78" t="s">
        <v>912</v>
      </c>
      <c r="E5" s="161" t="s">
        <v>1170</v>
      </c>
    </row>
    <row r="6" spans="1:5" ht="316.8">
      <c r="A6" s="381"/>
      <c r="B6" s="385"/>
      <c r="C6" s="84" t="s">
        <v>1171</v>
      </c>
      <c r="D6" s="78" t="s">
        <v>912</v>
      </c>
      <c r="E6" s="162" t="s">
        <v>1172</v>
      </c>
    </row>
    <row r="7" spans="1:5" ht="41.4" customHeight="1">
      <c r="A7" s="381"/>
      <c r="B7" s="391" t="s">
        <v>1173</v>
      </c>
      <c r="C7" s="82" t="s">
        <v>1174</v>
      </c>
      <c r="D7" s="75" t="s">
        <v>912</v>
      </c>
      <c r="E7" s="76"/>
    </row>
    <row r="8" spans="1:5" ht="344.25" customHeight="1">
      <c r="A8" s="381"/>
      <c r="B8" s="392"/>
      <c r="C8" s="93" t="s">
        <v>1175</v>
      </c>
      <c r="D8" s="94" t="s">
        <v>973</v>
      </c>
      <c r="E8" s="163" t="s">
        <v>1176</v>
      </c>
    </row>
    <row r="9" spans="1:5" ht="386.25" customHeight="1">
      <c r="A9" s="381"/>
      <c r="B9" s="383" t="s">
        <v>1177</v>
      </c>
      <c r="C9" s="85" t="s">
        <v>1178</v>
      </c>
      <c r="D9" s="86" t="s">
        <v>912</v>
      </c>
      <c r="E9" s="164" t="s">
        <v>1179</v>
      </c>
    </row>
    <row r="10" spans="1:5" ht="331.2">
      <c r="A10" s="381"/>
      <c r="B10" s="384"/>
      <c r="C10" s="95" t="s">
        <v>1180</v>
      </c>
      <c r="D10" s="78" t="s">
        <v>1181</v>
      </c>
      <c r="E10" s="165" t="s">
        <v>1182</v>
      </c>
    </row>
    <row r="11" spans="1:5" ht="373.5" customHeight="1">
      <c r="A11" s="381"/>
      <c r="B11" s="385"/>
      <c r="C11" s="84" t="s">
        <v>1183</v>
      </c>
      <c r="D11" s="73" t="s">
        <v>973</v>
      </c>
      <c r="E11" s="166" t="s">
        <v>1184</v>
      </c>
    </row>
    <row r="12" spans="1:5" ht="409.5" customHeight="1">
      <c r="A12" s="381"/>
      <c r="B12" s="386" t="s">
        <v>1185</v>
      </c>
      <c r="C12" s="82" t="s">
        <v>1186</v>
      </c>
      <c r="D12" s="75" t="s">
        <v>912</v>
      </c>
      <c r="E12" s="161" t="s">
        <v>1187</v>
      </c>
    </row>
    <row r="13" spans="1:5" ht="409.5" customHeight="1">
      <c r="A13" s="381"/>
      <c r="B13" s="384"/>
      <c r="C13" s="95" t="s">
        <v>1180</v>
      </c>
      <c r="D13" s="78" t="s">
        <v>1181</v>
      </c>
      <c r="E13" s="165" t="s">
        <v>1188</v>
      </c>
    </row>
    <row r="14" spans="1:5" ht="354.75" customHeight="1">
      <c r="A14" s="381"/>
      <c r="B14" s="387"/>
      <c r="C14" s="84" t="s">
        <v>1183</v>
      </c>
      <c r="D14" s="94" t="s">
        <v>973</v>
      </c>
      <c r="E14" s="163" t="s">
        <v>1189</v>
      </c>
    </row>
    <row r="15" spans="1:5" ht="409.6" customHeight="1">
      <c r="A15" s="381"/>
      <c r="B15" s="383" t="s">
        <v>1190</v>
      </c>
      <c r="C15" s="85" t="s">
        <v>1191</v>
      </c>
      <c r="D15" s="86" t="s">
        <v>912</v>
      </c>
      <c r="E15" s="164" t="s">
        <v>1192</v>
      </c>
    </row>
    <row r="16" spans="1:5" ht="17.25" customHeight="1">
      <c r="A16" s="381"/>
      <c r="B16" s="384"/>
      <c r="C16" s="95" t="s">
        <v>1180</v>
      </c>
      <c r="D16" s="78" t="s">
        <v>1181</v>
      </c>
      <c r="E16" s="79"/>
    </row>
    <row r="17" spans="1:5" ht="348" customHeight="1" thickBot="1">
      <c r="A17" s="382"/>
      <c r="B17" s="388"/>
      <c r="C17" s="84" t="s">
        <v>1183</v>
      </c>
      <c r="D17" s="81" t="s">
        <v>973</v>
      </c>
      <c r="E17" s="160" t="s">
        <v>1193</v>
      </c>
    </row>
    <row r="18" spans="1:5" ht="213" customHeight="1" thickBot="1">
      <c r="A18" s="378" t="s">
        <v>1194</v>
      </c>
      <c r="B18" s="389" t="s">
        <v>1195</v>
      </c>
      <c r="C18" s="91" t="s">
        <v>1196</v>
      </c>
      <c r="D18" s="71"/>
      <c r="E18" s="160" t="s">
        <v>1197</v>
      </c>
    </row>
    <row r="19" spans="1:5" ht="269.39999999999998" customHeight="1" thickBot="1">
      <c r="A19" s="379"/>
      <c r="B19" s="390"/>
      <c r="C19" s="92" t="s">
        <v>1198</v>
      </c>
      <c r="D19" s="80"/>
      <c r="E19" s="160" t="s">
        <v>1199</v>
      </c>
    </row>
    <row r="20" spans="1:5" ht="14.25" customHeight="1">
      <c r="E20" t="s">
        <v>1200</v>
      </c>
    </row>
    <row r="21" spans="1:5" ht="14.25" customHeight="1">
      <c r="E21"/>
    </row>
    <row r="22" spans="1:5">
      <c r="E22"/>
    </row>
    <row r="23" spans="1:5">
      <c r="E23" s="157" t="s">
        <v>1201</v>
      </c>
    </row>
    <row r="24" spans="1:5">
      <c r="E24" s="158" t="s">
        <v>1202</v>
      </c>
    </row>
    <row r="25" spans="1:5">
      <c r="E25" s="283" t="s">
        <v>1203</v>
      </c>
    </row>
    <row r="26" spans="1:5">
      <c r="E26" s="283" t="s">
        <v>1204</v>
      </c>
    </row>
    <row r="27" spans="1:5">
      <c r="E27" s="158" t="s">
        <v>1205</v>
      </c>
    </row>
  </sheetData>
  <mergeCells count="11">
    <mergeCell ref="A1:C1"/>
    <mergeCell ref="A2:A3"/>
    <mergeCell ref="A4:A17"/>
    <mergeCell ref="A18:A19"/>
    <mergeCell ref="B9:B11"/>
    <mergeCell ref="B12:B14"/>
    <mergeCell ref="B15:B17"/>
    <mergeCell ref="B4:B6"/>
    <mergeCell ref="B2:B3"/>
    <mergeCell ref="B18:B19"/>
    <mergeCell ref="B7:B8"/>
  </mergeCells>
  <dataValidations count="1">
    <dataValidation type="list" allowBlank="1" showInputMessage="1" showErrorMessage="1" sqref="E1" xr:uid="{1402367C-5605-40A9-B49E-7E0E8D586D6E}"/>
  </dataValidations>
  <pageMargins left="0.7" right="0.7" top="0.75" bottom="0.75" header="0.3" footer="0.3"/>
  <customProperties>
    <customPr name="_pios_i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276D73D9-5655-491F-9F20-3E4AD92B467B}">
          <x14:formula1>
            <xm:f>LISTES!$A$2:$A$4</xm:f>
          </x14:formula1>
          <xm:sqref>D17 D14:D15 D11:D12 D2:D9</xm:sqref>
        </x14:dataValidation>
        <x14:dataValidation type="list" allowBlank="1" showInputMessage="1" showErrorMessage="1" xr:uid="{3BFADA90-0195-47BE-9911-783C4F73C34B}">
          <x14:formula1>
            <xm:f>LISTES!$A$36:$A$38</xm:f>
          </x14:formula1>
          <xm:sqref>D10 D13 D16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E520-869B-46A7-BD54-11B870D98D67}">
  <sheetPr>
    <tabColor theme="9" tint="0.79998168889431442"/>
  </sheetPr>
  <dimension ref="A1:S48"/>
  <sheetViews>
    <sheetView zoomScale="98" zoomScaleNormal="70" workbookViewId="0">
      <pane ySplit="1" topLeftCell="A2" activePane="bottomLeft" state="frozen"/>
      <selection activeCell="C1" sqref="C1"/>
      <selection pane="bottomLeft" activeCell="A3" sqref="A3"/>
    </sheetView>
  </sheetViews>
  <sheetFormatPr baseColWidth="10" defaultColWidth="10.77734375" defaultRowHeight="14.4"/>
  <cols>
    <col min="1" max="1" width="24.44140625" style="13" customWidth="1"/>
    <col min="2" max="2" width="19.77734375" style="13" customWidth="1"/>
    <col min="3" max="13" width="16.21875" style="13" customWidth="1"/>
    <col min="14" max="16" width="25.21875" style="13" customWidth="1"/>
    <col min="17" max="17" width="27.77734375" style="13" customWidth="1"/>
    <col min="18" max="19" width="28.77734375" style="13" customWidth="1"/>
    <col min="20" max="16384" width="10.77734375" style="13"/>
  </cols>
  <sheetData>
    <row r="1" spans="1:19" ht="21">
      <c r="A1" s="394" t="s">
        <v>1206</v>
      </c>
      <c r="B1" s="394" t="s">
        <v>1207</v>
      </c>
      <c r="C1" s="394" t="s">
        <v>1208</v>
      </c>
      <c r="D1" s="394"/>
      <c r="E1" s="394"/>
      <c r="F1" s="394"/>
      <c r="G1" s="394"/>
      <c r="H1" s="394"/>
      <c r="I1" s="394"/>
      <c r="J1" s="394"/>
      <c r="K1" s="394"/>
      <c r="L1" s="394"/>
      <c r="M1" s="149"/>
      <c r="N1" s="394" t="s">
        <v>1209</v>
      </c>
      <c r="O1" s="393" t="s">
        <v>1210</v>
      </c>
      <c r="P1" s="393" t="s">
        <v>1211</v>
      </c>
      <c r="Q1" s="393" t="s">
        <v>1118</v>
      </c>
      <c r="R1" s="393" t="s">
        <v>1212</v>
      </c>
      <c r="S1" s="393" t="s">
        <v>1213</v>
      </c>
    </row>
    <row r="2" spans="1:19" ht="48.75" customHeight="1">
      <c r="A2" s="394"/>
      <c r="B2" s="394"/>
      <c r="C2" s="69" t="s">
        <v>1214</v>
      </c>
      <c r="D2" s="69" t="s">
        <v>1215</v>
      </c>
      <c r="E2" s="69" t="s">
        <v>1216</v>
      </c>
      <c r="F2" s="69" t="s">
        <v>1217</v>
      </c>
      <c r="G2" s="69" t="s">
        <v>1218</v>
      </c>
      <c r="H2" s="69" t="s">
        <v>1219</v>
      </c>
      <c r="I2" s="69" t="s">
        <v>1220</v>
      </c>
      <c r="J2" s="69" t="s">
        <v>694</v>
      </c>
      <c r="K2" s="69" t="s">
        <v>1221</v>
      </c>
      <c r="L2" s="69" t="s">
        <v>1222</v>
      </c>
      <c r="M2" s="69" t="s">
        <v>1223</v>
      </c>
      <c r="N2" s="394"/>
      <c r="O2" s="393"/>
      <c r="P2" s="393"/>
      <c r="Q2" s="393"/>
      <c r="R2" s="393"/>
      <c r="S2" s="393"/>
    </row>
    <row r="3" spans="1:19">
      <c r="A3" s="156" t="s">
        <v>1224</v>
      </c>
      <c r="B3" s="150"/>
      <c r="C3" s="277"/>
      <c r="D3" s="277"/>
      <c r="E3" s="277"/>
      <c r="F3" s="277"/>
      <c r="G3" s="277"/>
      <c r="H3" s="277"/>
      <c r="I3" s="277"/>
      <c r="J3" s="277"/>
      <c r="K3" s="277"/>
      <c r="L3" s="277"/>
      <c r="M3" s="150"/>
      <c r="N3" s="150"/>
      <c r="O3" s="150"/>
      <c r="P3" s="150"/>
      <c r="Q3" s="151"/>
      <c r="R3" s="151"/>
      <c r="S3" s="151"/>
    </row>
    <row r="4" spans="1:19" s="275" customFormat="1" ht="28.8">
      <c r="A4" s="273" t="s">
        <v>1225</v>
      </c>
      <c r="B4" s="280" t="s">
        <v>1226</v>
      </c>
      <c r="C4" s="278" t="s">
        <v>912</v>
      </c>
      <c r="D4" s="278" t="s">
        <v>973</v>
      </c>
      <c r="E4" s="278" t="s">
        <v>973</v>
      </c>
      <c r="F4" s="278" t="s">
        <v>973</v>
      </c>
      <c r="G4" s="278" t="s">
        <v>912</v>
      </c>
      <c r="H4" s="278" t="s">
        <v>912</v>
      </c>
      <c r="I4" s="278" t="s">
        <v>973</v>
      </c>
      <c r="J4" s="278" t="s">
        <v>912</v>
      </c>
      <c r="K4" s="278" t="s">
        <v>912</v>
      </c>
      <c r="L4" s="278" t="s">
        <v>912</v>
      </c>
      <c r="M4" s="276" t="s">
        <v>1227</v>
      </c>
      <c r="N4" s="276"/>
      <c r="O4" s="276"/>
      <c r="P4" s="276"/>
      <c r="Q4" s="274"/>
      <c r="R4" s="274"/>
      <c r="S4" s="274"/>
    </row>
    <row r="5" spans="1:19" ht="28.8">
      <c r="A5" s="156" t="s">
        <v>1228</v>
      </c>
      <c r="B5" s="279" t="s">
        <v>1229</v>
      </c>
      <c r="C5" s="278" t="s">
        <v>912</v>
      </c>
      <c r="D5" s="278" t="s">
        <v>912</v>
      </c>
      <c r="E5" s="278" t="s">
        <v>973</v>
      </c>
      <c r="F5" s="278" t="s">
        <v>973</v>
      </c>
      <c r="G5" s="278" t="s">
        <v>912</v>
      </c>
      <c r="H5" s="278" t="s">
        <v>912</v>
      </c>
      <c r="I5" s="278" t="s">
        <v>973</v>
      </c>
      <c r="J5" s="278" t="s">
        <v>912</v>
      </c>
      <c r="K5" s="278" t="s">
        <v>912</v>
      </c>
      <c r="L5" s="278" t="s">
        <v>912</v>
      </c>
      <c r="M5" s="150" t="s">
        <v>1230</v>
      </c>
      <c r="N5" s="150"/>
      <c r="O5" s="150"/>
      <c r="P5" s="150"/>
      <c r="Q5" s="151"/>
      <c r="R5" s="151"/>
      <c r="S5" s="151"/>
    </row>
    <row r="6" spans="1:19">
      <c r="A6" s="156" t="s">
        <v>1231</v>
      </c>
      <c r="B6" s="151" t="s">
        <v>1232</v>
      </c>
      <c r="C6" s="278" t="s">
        <v>912</v>
      </c>
      <c r="D6" s="278" t="s">
        <v>912</v>
      </c>
      <c r="E6" s="278" t="s">
        <v>912</v>
      </c>
      <c r="F6" s="278" t="s">
        <v>912</v>
      </c>
      <c r="G6" s="278" t="s">
        <v>912</v>
      </c>
      <c r="H6" s="278" t="s">
        <v>912</v>
      </c>
      <c r="I6" s="277" t="s">
        <v>912</v>
      </c>
      <c r="J6" s="278" t="s">
        <v>912</v>
      </c>
      <c r="K6" s="278" t="s">
        <v>912</v>
      </c>
      <c r="L6" s="277" t="s">
        <v>912</v>
      </c>
      <c r="M6" s="150" t="s">
        <v>1233</v>
      </c>
      <c r="N6" s="151"/>
      <c r="O6" s="151"/>
      <c r="P6" s="151"/>
      <c r="Q6" s="151"/>
      <c r="R6" s="151"/>
      <c r="S6" s="151"/>
    </row>
    <row r="7" spans="1:19">
      <c r="A7" s="13" t="s">
        <v>1234</v>
      </c>
      <c r="B7" s="151" t="s">
        <v>1235</v>
      </c>
      <c r="C7" s="278" t="s">
        <v>912</v>
      </c>
      <c r="D7" s="278" t="s">
        <v>912</v>
      </c>
      <c r="E7" s="278" t="s">
        <v>912</v>
      </c>
      <c r="F7" s="278" t="s">
        <v>973</v>
      </c>
      <c r="G7" s="278" t="s">
        <v>912</v>
      </c>
      <c r="H7" s="278" t="s">
        <v>912</v>
      </c>
      <c r="I7" s="278" t="s">
        <v>973</v>
      </c>
      <c r="J7" s="278" t="s">
        <v>912</v>
      </c>
      <c r="K7" s="278" t="s">
        <v>912</v>
      </c>
      <c r="L7" s="278" t="s">
        <v>912</v>
      </c>
      <c r="M7" s="150" t="s">
        <v>1233</v>
      </c>
      <c r="N7" s="151"/>
      <c r="O7" s="151"/>
      <c r="P7" s="151"/>
      <c r="Q7" s="151"/>
      <c r="R7" s="151"/>
      <c r="S7" s="151"/>
    </row>
    <row r="8" spans="1:19" s="275" customFormat="1">
      <c r="A8" s="273" t="s">
        <v>1236</v>
      </c>
      <c r="B8" s="274" t="s">
        <v>1237</v>
      </c>
      <c r="C8" s="278" t="s">
        <v>912</v>
      </c>
      <c r="D8" s="278" t="s">
        <v>912</v>
      </c>
      <c r="E8" s="278" t="s">
        <v>912</v>
      </c>
      <c r="F8" s="278" t="s">
        <v>973</v>
      </c>
      <c r="G8" s="278" t="s">
        <v>912</v>
      </c>
      <c r="H8" s="278" t="s">
        <v>912</v>
      </c>
      <c r="I8" s="278" t="s">
        <v>912</v>
      </c>
      <c r="J8" s="278" t="s">
        <v>912</v>
      </c>
      <c r="K8" s="278" t="s">
        <v>912</v>
      </c>
      <c r="L8" s="278" t="s">
        <v>912</v>
      </c>
      <c r="M8" s="274"/>
      <c r="N8" s="274"/>
      <c r="O8" s="274" t="s">
        <v>1238</v>
      </c>
      <c r="P8" s="274"/>
      <c r="Q8" s="274"/>
      <c r="R8" s="274"/>
      <c r="S8" s="274"/>
    </row>
    <row r="9" spans="1:19">
      <c r="A9" s="156" t="s">
        <v>1239</v>
      </c>
      <c r="B9" s="151" t="s">
        <v>1240</v>
      </c>
      <c r="C9" s="278" t="s">
        <v>912</v>
      </c>
      <c r="D9" s="278" t="s">
        <v>912</v>
      </c>
      <c r="E9" s="278" t="s">
        <v>912</v>
      </c>
      <c r="F9" s="278" t="s">
        <v>973</v>
      </c>
      <c r="G9" s="278" t="s">
        <v>973</v>
      </c>
      <c r="H9" s="278" t="s">
        <v>973</v>
      </c>
      <c r="I9" s="278" t="s">
        <v>973</v>
      </c>
      <c r="J9" s="278" t="s">
        <v>973</v>
      </c>
      <c r="K9" s="278" t="s">
        <v>973</v>
      </c>
      <c r="L9" s="278" t="s">
        <v>973</v>
      </c>
      <c r="M9" s="151"/>
      <c r="N9" s="151"/>
      <c r="O9" s="151"/>
      <c r="P9" s="151"/>
      <c r="Q9" s="151"/>
      <c r="R9" s="151"/>
      <c r="S9" s="151"/>
    </row>
    <row r="10" spans="1:19" s="275" customFormat="1" ht="28.8">
      <c r="A10" s="274" t="s">
        <v>1241</v>
      </c>
      <c r="B10" s="274" t="s">
        <v>1229</v>
      </c>
      <c r="C10" s="278" t="s">
        <v>912</v>
      </c>
      <c r="D10" s="278" t="s">
        <v>912</v>
      </c>
      <c r="E10" s="278" t="s">
        <v>912</v>
      </c>
      <c r="F10" s="278" t="s">
        <v>973</v>
      </c>
      <c r="G10" s="278" t="s">
        <v>912</v>
      </c>
      <c r="H10" s="278" t="s">
        <v>912</v>
      </c>
      <c r="I10" s="278" t="s">
        <v>912</v>
      </c>
      <c r="J10" s="278" t="s">
        <v>912</v>
      </c>
      <c r="K10" s="278" t="s">
        <v>912</v>
      </c>
      <c r="L10" s="278" t="s">
        <v>912</v>
      </c>
      <c r="M10" s="274" t="s">
        <v>1242</v>
      </c>
      <c r="N10" s="274"/>
      <c r="O10" s="274"/>
      <c r="P10" s="274"/>
      <c r="Q10" s="274"/>
      <c r="R10" s="274"/>
      <c r="S10" s="274"/>
    </row>
    <row r="11" spans="1:19" ht="28.8">
      <c r="A11" s="151" t="s">
        <v>1243</v>
      </c>
      <c r="B11" s="151" t="s">
        <v>1244</v>
      </c>
      <c r="C11" s="278" t="s">
        <v>912</v>
      </c>
      <c r="D11" s="278" t="s">
        <v>912</v>
      </c>
      <c r="E11" s="278" t="s">
        <v>973</v>
      </c>
      <c r="F11" s="278" t="s">
        <v>912</v>
      </c>
      <c r="G11" s="278" t="s">
        <v>912</v>
      </c>
      <c r="H11" s="278" t="s">
        <v>912</v>
      </c>
      <c r="I11" s="277" t="s">
        <v>912</v>
      </c>
      <c r="J11" s="278" t="s">
        <v>912</v>
      </c>
      <c r="K11" s="278" t="s">
        <v>912</v>
      </c>
      <c r="L11" s="278" t="s">
        <v>912</v>
      </c>
      <c r="M11" s="151" t="s">
        <v>1245</v>
      </c>
      <c r="N11" s="151"/>
      <c r="O11" s="151"/>
      <c r="P11" s="151"/>
      <c r="Q11" s="151"/>
      <c r="R11" s="151"/>
      <c r="S11" s="151"/>
    </row>
    <row r="12" spans="1:19" ht="28.8">
      <c r="A12" s="151" t="s">
        <v>1246</v>
      </c>
      <c r="B12" s="151" t="s">
        <v>1247</v>
      </c>
      <c r="C12" s="278" t="s">
        <v>912</v>
      </c>
      <c r="D12" s="278" t="s">
        <v>973</v>
      </c>
      <c r="E12" s="278" t="s">
        <v>973</v>
      </c>
      <c r="F12" s="278" t="s">
        <v>912</v>
      </c>
      <c r="G12" s="278" t="s">
        <v>912</v>
      </c>
      <c r="H12" s="278" t="s">
        <v>912</v>
      </c>
      <c r="I12" s="278" t="s">
        <v>973</v>
      </c>
      <c r="J12" s="278" t="s">
        <v>912</v>
      </c>
      <c r="K12" s="278" t="s">
        <v>912</v>
      </c>
      <c r="L12" s="278" t="s">
        <v>912</v>
      </c>
      <c r="M12" s="274" t="s">
        <v>1242</v>
      </c>
      <c r="N12" s="151"/>
      <c r="O12" s="151"/>
      <c r="P12" s="151"/>
      <c r="Q12" s="151"/>
      <c r="R12" s="151"/>
      <c r="S12" s="151"/>
    </row>
    <row r="13" spans="1:19">
      <c r="A13" s="151" t="s">
        <v>1248</v>
      </c>
      <c r="B13" s="151" t="s">
        <v>1249</v>
      </c>
      <c r="C13" s="278" t="s">
        <v>912</v>
      </c>
      <c r="D13" s="278" t="s">
        <v>973</v>
      </c>
      <c r="E13" s="278" t="s">
        <v>973</v>
      </c>
      <c r="F13" s="278" t="s">
        <v>973</v>
      </c>
      <c r="G13" s="278" t="s">
        <v>912</v>
      </c>
      <c r="H13" s="278" t="s">
        <v>912</v>
      </c>
      <c r="I13" s="278" t="s">
        <v>973</v>
      </c>
      <c r="J13" s="278" t="s">
        <v>912</v>
      </c>
      <c r="K13" s="278" t="s">
        <v>912</v>
      </c>
      <c r="L13" s="278" t="s">
        <v>912</v>
      </c>
      <c r="M13" s="151"/>
      <c r="N13" s="151"/>
      <c r="O13" s="151"/>
      <c r="P13" s="151"/>
      <c r="Q13" s="151"/>
      <c r="R13" s="151"/>
      <c r="S13" s="151"/>
    </row>
    <row r="14" spans="1:19">
      <c r="A14" s="151" t="s">
        <v>1250</v>
      </c>
      <c r="B14" s="295" t="s">
        <v>1362</v>
      </c>
      <c r="C14" s="278" t="s">
        <v>912</v>
      </c>
      <c r="D14" s="278" t="s">
        <v>912</v>
      </c>
      <c r="E14" s="278" t="s">
        <v>973</v>
      </c>
      <c r="F14" s="278" t="s">
        <v>973</v>
      </c>
      <c r="G14" s="278" t="s">
        <v>912</v>
      </c>
      <c r="H14" s="278" t="s">
        <v>912</v>
      </c>
      <c r="I14" s="278" t="s">
        <v>973</v>
      </c>
      <c r="J14" s="278" t="s">
        <v>912</v>
      </c>
      <c r="K14" s="278" t="s">
        <v>912</v>
      </c>
      <c r="L14" s="278" t="s">
        <v>912</v>
      </c>
      <c r="M14" s="151"/>
      <c r="N14" s="151"/>
      <c r="O14" s="151"/>
      <c r="P14" s="151"/>
      <c r="Q14" s="151"/>
      <c r="R14" s="151"/>
      <c r="S14" s="151"/>
    </row>
    <row r="15" spans="1:19">
      <c r="A15" s="151" t="s">
        <v>1251</v>
      </c>
      <c r="B15" s="151" t="s">
        <v>1252</v>
      </c>
      <c r="C15" s="278" t="s">
        <v>912</v>
      </c>
      <c r="D15" s="278" t="s">
        <v>912</v>
      </c>
      <c r="E15" s="278" t="s">
        <v>973</v>
      </c>
      <c r="F15" s="278" t="s">
        <v>973</v>
      </c>
      <c r="G15" s="277" t="s">
        <v>912</v>
      </c>
      <c r="H15" s="278" t="s">
        <v>912</v>
      </c>
      <c r="I15" s="278" t="s">
        <v>973</v>
      </c>
      <c r="J15" s="278" t="s">
        <v>912</v>
      </c>
      <c r="K15" s="278" t="s">
        <v>912</v>
      </c>
      <c r="L15" s="278" t="s">
        <v>973</v>
      </c>
      <c r="M15" s="151"/>
      <c r="N15" s="151"/>
      <c r="O15" s="151" t="s">
        <v>1253</v>
      </c>
      <c r="P15" s="151"/>
      <c r="Q15" s="151"/>
      <c r="R15" s="151"/>
      <c r="S15" s="151"/>
    </row>
    <row r="16" spans="1:19">
      <c r="A16" s="151" t="s">
        <v>1254</v>
      </c>
      <c r="B16" s="151" t="s">
        <v>1255</v>
      </c>
      <c r="C16" s="278" t="s">
        <v>912</v>
      </c>
      <c r="D16" s="278" t="s">
        <v>912</v>
      </c>
      <c r="E16" s="278" t="s">
        <v>912</v>
      </c>
      <c r="F16" s="278" t="s">
        <v>973</v>
      </c>
      <c r="G16" s="278" t="s">
        <v>912</v>
      </c>
      <c r="H16" s="278" t="s">
        <v>912</v>
      </c>
      <c r="I16" s="277" t="s">
        <v>912</v>
      </c>
      <c r="J16" s="278" t="s">
        <v>912</v>
      </c>
      <c r="K16" s="278" t="s">
        <v>912</v>
      </c>
      <c r="L16" s="278" t="s">
        <v>912</v>
      </c>
      <c r="M16" s="151"/>
      <c r="N16" s="151"/>
      <c r="O16" s="151"/>
      <c r="P16" s="151"/>
      <c r="Q16" s="151"/>
      <c r="R16" s="151"/>
      <c r="S16" s="151"/>
    </row>
    <row r="17" spans="1:19">
      <c r="A17" s="151"/>
      <c r="B17" s="151"/>
      <c r="C17" s="277"/>
      <c r="D17" s="277"/>
      <c r="E17" s="277"/>
      <c r="F17" s="277"/>
      <c r="G17" s="277"/>
      <c r="H17" s="277"/>
      <c r="I17" s="277"/>
      <c r="J17" s="277"/>
      <c r="K17" s="277"/>
      <c r="L17" s="277"/>
      <c r="M17" s="151"/>
      <c r="N17" s="151"/>
      <c r="O17" s="151"/>
      <c r="P17" s="151"/>
      <c r="Q17" s="151"/>
      <c r="R17" s="151"/>
      <c r="S17" s="151"/>
    </row>
    <row r="18" spans="1:19">
      <c r="A18" s="151"/>
      <c r="B18" s="151"/>
      <c r="C18" s="277"/>
      <c r="D18" s="277"/>
      <c r="E18" s="277"/>
      <c r="F18" s="277"/>
      <c r="G18" s="277"/>
      <c r="H18" s="277"/>
      <c r="I18" s="277"/>
      <c r="J18" s="277"/>
      <c r="K18" s="277"/>
      <c r="L18" s="277"/>
      <c r="M18" s="151"/>
      <c r="N18" s="151"/>
      <c r="O18" s="151"/>
      <c r="P18" s="151"/>
      <c r="Q18" s="151"/>
      <c r="R18" s="151"/>
      <c r="S18" s="151"/>
    </row>
    <row r="19" spans="1:19">
      <c r="A19" s="151"/>
      <c r="B19" s="151"/>
      <c r="C19" s="277"/>
      <c r="D19" s="277"/>
      <c r="E19" s="277"/>
      <c r="F19" s="277"/>
      <c r="G19" s="277"/>
      <c r="H19" s="277"/>
      <c r="I19" s="277"/>
      <c r="J19" s="277"/>
      <c r="K19" s="277"/>
      <c r="L19" s="277"/>
      <c r="M19" s="151"/>
      <c r="N19" s="151"/>
      <c r="O19" s="151"/>
      <c r="P19" s="151"/>
      <c r="Q19" s="151"/>
      <c r="R19" s="151"/>
      <c r="S19" s="151"/>
    </row>
    <row r="20" spans="1:19">
      <c r="A20" s="151"/>
      <c r="B20" s="151"/>
      <c r="C20" s="151"/>
      <c r="D20" s="151"/>
      <c r="E20" s="151"/>
      <c r="F20" s="151"/>
      <c r="G20" s="151"/>
      <c r="H20" s="151"/>
      <c r="I20" s="151"/>
      <c r="J20" s="151"/>
      <c r="K20" s="151"/>
      <c r="L20" s="151"/>
      <c r="M20" s="151"/>
      <c r="N20" s="151"/>
      <c r="O20" s="151"/>
      <c r="P20" s="151"/>
      <c r="Q20" s="151"/>
      <c r="R20" s="151"/>
      <c r="S20" s="151"/>
    </row>
    <row r="21" spans="1:19">
      <c r="A21" s="151"/>
      <c r="B21" s="151"/>
      <c r="C21" s="151"/>
      <c r="D21" s="151"/>
      <c r="E21" s="151"/>
      <c r="F21" s="151"/>
      <c r="G21" s="151"/>
      <c r="H21" s="151"/>
      <c r="I21" s="151"/>
      <c r="J21" s="151"/>
      <c r="K21" s="151"/>
      <c r="L21" s="151"/>
      <c r="M21" s="151"/>
      <c r="N21" s="151"/>
      <c r="O21" s="151"/>
      <c r="P21" s="151"/>
      <c r="Q21" s="151"/>
      <c r="R21" s="151"/>
      <c r="S21" s="151"/>
    </row>
    <row r="22" spans="1:19">
      <c r="A22" s="151"/>
      <c r="B22" s="151"/>
      <c r="C22" s="151"/>
      <c r="D22" s="151"/>
      <c r="E22" s="151"/>
      <c r="F22" s="151"/>
      <c r="G22" s="151"/>
      <c r="H22" s="151"/>
      <c r="I22" s="151"/>
      <c r="J22" s="151"/>
      <c r="K22" s="151"/>
      <c r="L22" s="151"/>
      <c r="M22" s="151"/>
      <c r="N22" s="151"/>
      <c r="O22" s="151"/>
      <c r="P22" s="151"/>
      <c r="Q22" s="151"/>
      <c r="R22" s="151"/>
      <c r="S22" s="151"/>
    </row>
    <row r="23" spans="1:19">
      <c r="A23" s="151"/>
      <c r="B23" s="151"/>
      <c r="C23" s="151"/>
      <c r="D23" s="151"/>
      <c r="E23" s="151"/>
      <c r="F23" s="151"/>
      <c r="G23" s="151"/>
      <c r="H23" s="151"/>
      <c r="I23" s="151"/>
      <c r="J23" s="151"/>
      <c r="K23" s="151"/>
      <c r="L23" s="151"/>
      <c r="M23" s="151"/>
      <c r="N23" s="151"/>
      <c r="O23" s="151"/>
      <c r="P23" s="151"/>
      <c r="Q23" s="151"/>
      <c r="R23" s="151"/>
      <c r="S23" s="151"/>
    </row>
    <row r="24" spans="1:19">
      <c r="A24" s="151"/>
      <c r="B24" s="151"/>
      <c r="C24" s="151"/>
      <c r="D24" s="151"/>
      <c r="E24" s="151"/>
      <c r="F24" s="151"/>
      <c r="G24" s="151"/>
      <c r="H24" s="151"/>
      <c r="I24" s="151"/>
      <c r="J24" s="151"/>
      <c r="K24" s="151"/>
      <c r="L24" s="151"/>
      <c r="M24" s="151"/>
      <c r="N24" s="151"/>
      <c r="O24" s="151"/>
      <c r="P24" s="151"/>
      <c r="Q24" s="151"/>
      <c r="R24" s="151"/>
      <c r="S24" s="151"/>
    </row>
    <row r="25" spans="1:19">
      <c r="A25" s="151"/>
      <c r="B25" s="151"/>
      <c r="C25" s="151"/>
      <c r="D25" s="151"/>
      <c r="E25" s="151"/>
      <c r="F25" s="151"/>
      <c r="G25" s="151"/>
      <c r="H25" s="151"/>
      <c r="I25" s="151"/>
      <c r="J25" s="151"/>
      <c r="K25" s="151"/>
      <c r="L25" s="151"/>
      <c r="M25" s="151"/>
      <c r="N25" s="151"/>
      <c r="O25" s="151"/>
      <c r="P25" s="151"/>
      <c r="Q25" s="151"/>
      <c r="R25" s="151"/>
      <c r="S25" s="151"/>
    </row>
    <row r="26" spans="1:19">
      <c r="A26" s="151"/>
      <c r="B26" s="151"/>
      <c r="C26" s="151"/>
      <c r="D26" s="151"/>
      <c r="E26" s="151"/>
      <c r="F26" s="151"/>
      <c r="G26" s="151"/>
      <c r="H26" s="151"/>
      <c r="I26" s="151"/>
      <c r="J26" s="151"/>
      <c r="K26" s="151"/>
      <c r="L26" s="151"/>
      <c r="M26" s="151"/>
      <c r="N26" s="151"/>
      <c r="O26" s="151"/>
      <c r="P26" s="151"/>
      <c r="Q26" s="151"/>
      <c r="R26" s="151"/>
      <c r="S26" s="151"/>
    </row>
    <row r="27" spans="1:19">
      <c r="A27" s="151"/>
      <c r="B27" s="151"/>
      <c r="C27" s="151"/>
      <c r="D27" s="151"/>
      <c r="E27" s="151"/>
      <c r="F27" s="151"/>
      <c r="G27" s="151"/>
      <c r="H27" s="151"/>
      <c r="I27" s="151"/>
      <c r="J27" s="151"/>
      <c r="K27" s="151"/>
      <c r="L27" s="151"/>
      <c r="M27" s="151"/>
      <c r="N27" s="151"/>
      <c r="O27" s="151"/>
      <c r="P27" s="151"/>
      <c r="Q27" s="151"/>
      <c r="R27" s="151"/>
      <c r="S27" s="151"/>
    </row>
    <row r="28" spans="1:19">
      <c r="A28" s="151"/>
      <c r="B28" s="151"/>
      <c r="C28" s="151"/>
      <c r="D28" s="151"/>
      <c r="E28" s="151"/>
      <c r="F28" s="151"/>
      <c r="G28" s="151"/>
      <c r="H28" s="151"/>
      <c r="I28" s="151"/>
      <c r="J28" s="151"/>
      <c r="K28" s="151"/>
      <c r="L28" s="151"/>
      <c r="M28" s="151"/>
      <c r="N28" s="151"/>
      <c r="O28" s="151"/>
      <c r="P28" s="151"/>
      <c r="Q28" s="151"/>
      <c r="R28" s="151"/>
      <c r="S28" s="151"/>
    </row>
    <row r="29" spans="1:19">
      <c r="A29" s="151"/>
      <c r="B29" s="151"/>
      <c r="C29" s="151"/>
      <c r="D29" s="151"/>
      <c r="E29" s="151"/>
      <c r="F29" s="151"/>
      <c r="G29" s="151"/>
      <c r="H29" s="151"/>
      <c r="I29" s="151"/>
      <c r="J29" s="151"/>
      <c r="K29" s="151"/>
      <c r="L29" s="151"/>
      <c r="M29" s="151"/>
      <c r="N29" s="151"/>
      <c r="O29" s="151"/>
      <c r="P29" s="151"/>
      <c r="Q29" s="151"/>
      <c r="R29" s="151"/>
      <c r="S29" s="151"/>
    </row>
    <row r="30" spans="1:19">
      <c r="A30" s="151"/>
      <c r="B30" s="151"/>
      <c r="C30" s="151"/>
      <c r="D30" s="151"/>
      <c r="E30" s="151"/>
      <c r="F30" s="151"/>
      <c r="G30" s="151"/>
      <c r="H30" s="151"/>
      <c r="I30" s="151"/>
      <c r="J30" s="151"/>
      <c r="K30" s="151"/>
      <c r="L30" s="151"/>
      <c r="M30" s="151"/>
      <c r="N30" s="151"/>
      <c r="O30" s="151"/>
      <c r="P30" s="151"/>
      <c r="Q30" s="151"/>
      <c r="R30" s="151"/>
      <c r="S30" s="151"/>
    </row>
    <row r="31" spans="1:19">
      <c r="A31" s="151"/>
      <c r="B31" s="151"/>
      <c r="C31" s="151"/>
      <c r="D31" s="151"/>
      <c r="E31" s="151"/>
      <c r="F31" s="151"/>
      <c r="G31" s="151"/>
      <c r="H31" s="151"/>
      <c r="I31" s="151"/>
      <c r="J31" s="151"/>
      <c r="K31" s="151"/>
      <c r="L31" s="151"/>
      <c r="M31" s="151"/>
      <c r="N31" s="151"/>
      <c r="O31" s="151"/>
      <c r="P31" s="151"/>
      <c r="Q31" s="151"/>
      <c r="R31" s="151"/>
      <c r="S31" s="151"/>
    </row>
    <row r="32" spans="1:19">
      <c r="A32" s="151"/>
      <c r="B32" s="151"/>
      <c r="C32" s="151"/>
      <c r="D32" s="151"/>
      <c r="E32" s="151"/>
      <c r="F32" s="151"/>
      <c r="G32" s="151"/>
      <c r="H32" s="151"/>
      <c r="I32" s="151"/>
      <c r="J32" s="151"/>
      <c r="K32" s="151"/>
      <c r="L32" s="151"/>
      <c r="M32" s="151"/>
      <c r="N32" s="151"/>
      <c r="O32" s="151"/>
      <c r="P32" s="151"/>
      <c r="Q32" s="151"/>
      <c r="R32" s="151"/>
      <c r="S32" s="151"/>
    </row>
    <row r="33" spans="1:19">
      <c r="A33" s="151"/>
      <c r="B33" s="151"/>
      <c r="C33" s="151"/>
      <c r="D33" s="151"/>
      <c r="E33" s="151"/>
      <c r="F33" s="151"/>
      <c r="G33" s="151"/>
      <c r="H33" s="151"/>
      <c r="I33" s="151"/>
      <c r="J33" s="151"/>
      <c r="K33" s="151"/>
      <c r="L33" s="151"/>
      <c r="M33" s="151"/>
      <c r="N33" s="151"/>
      <c r="O33" s="151"/>
      <c r="P33" s="151"/>
      <c r="Q33" s="151"/>
      <c r="R33" s="151"/>
      <c r="S33" s="151"/>
    </row>
    <row r="34" spans="1:19">
      <c r="A34" s="151"/>
      <c r="B34" s="151"/>
      <c r="C34" s="151"/>
      <c r="D34" s="151"/>
      <c r="E34" s="151"/>
      <c r="F34" s="151"/>
      <c r="G34" s="151"/>
      <c r="H34" s="151"/>
      <c r="I34" s="151"/>
      <c r="J34" s="151"/>
      <c r="K34" s="151"/>
      <c r="L34" s="151"/>
      <c r="M34" s="151"/>
      <c r="N34" s="151"/>
      <c r="O34" s="151"/>
      <c r="P34" s="151"/>
      <c r="Q34" s="151"/>
      <c r="R34" s="151"/>
      <c r="S34" s="151"/>
    </row>
    <row r="35" spans="1:19">
      <c r="A35" s="151"/>
      <c r="B35" s="151"/>
      <c r="C35" s="151"/>
      <c r="D35" s="151"/>
      <c r="E35" s="151"/>
      <c r="F35" s="151"/>
      <c r="G35" s="151"/>
      <c r="H35" s="151"/>
      <c r="I35" s="151"/>
      <c r="J35" s="151"/>
      <c r="K35" s="151"/>
      <c r="L35" s="151"/>
      <c r="M35" s="151"/>
      <c r="N35" s="151"/>
      <c r="O35" s="151"/>
      <c r="P35" s="151"/>
      <c r="Q35" s="151"/>
      <c r="R35" s="151"/>
      <c r="S35" s="151"/>
    </row>
    <row r="36" spans="1:19">
      <c r="A36" s="151"/>
      <c r="B36" s="151"/>
      <c r="C36" s="151"/>
      <c r="D36" s="151"/>
      <c r="E36" s="151"/>
      <c r="F36" s="151"/>
      <c r="G36" s="151"/>
      <c r="H36" s="151"/>
      <c r="I36" s="151"/>
      <c r="J36" s="151"/>
      <c r="K36" s="151"/>
      <c r="L36" s="151"/>
      <c r="M36" s="151"/>
      <c r="N36" s="151"/>
      <c r="O36" s="151"/>
      <c r="P36" s="151"/>
      <c r="Q36" s="151"/>
      <c r="R36" s="151"/>
      <c r="S36" s="151"/>
    </row>
    <row r="37" spans="1:19">
      <c r="A37" s="151"/>
      <c r="B37" s="151"/>
      <c r="C37" s="151"/>
      <c r="D37" s="151"/>
      <c r="E37" s="151"/>
      <c r="F37" s="151"/>
      <c r="G37" s="151"/>
      <c r="H37" s="151"/>
      <c r="I37" s="151"/>
      <c r="J37" s="151"/>
      <c r="K37" s="151"/>
      <c r="L37" s="151"/>
      <c r="M37" s="151"/>
      <c r="N37" s="151"/>
      <c r="O37" s="151"/>
      <c r="P37" s="151"/>
      <c r="Q37" s="151"/>
      <c r="R37" s="151"/>
      <c r="S37" s="151"/>
    </row>
    <row r="38" spans="1:19">
      <c r="A38" s="151"/>
      <c r="B38" s="151"/>
      <c r="C38" s="151"/>
      <c r="D38" s="151"/>
      <c r="E38" s="151"/>
      <c r="F38" s="151"/>
      <c r="G38" s="151"/>
      <c r="H38" s="151"/>
      <c r="I38" s="151"/>
      <c r="J38" s="151"/>
      <c r="K38" s="151"/>
      <c r="L38" s="151"/>
      <c r="M38" s="151"/>
      <c r="N38" s="151"/>
      <c r="O38" s="151"/>
      <c r="P38" s="151"/>
      <c r="Q38" s="151"/>
      <c r="R38" s="151"/>
      <c r="S38" s="151"/>
    </row>
    <row r="39" spans="1:19">
      <c r="A39" s="151"/>
      <c r="B39" s="151"/>
      <c r="C39" s="151"/>
      <c r="D39" s="151"/>
      <c r="E39" s="151"/>
      <c r="F39" s="151"/>
      <c r="G39" s="151"/>
      <c r="H39" s="151"/>
      <c r="I39" s="151"/>
      <c r="J39" s="151"/>
      <c r="K39" s="151"/>
      <c r="L39" s="151"/>
      <c r="M39" s="151"/>
      <c r="N39" s="151"/>
      <c r="O39" s="151"/>
      <c r="P39" s="151"/>
      <c r="Q39" s="151"/>
      <c r="R39" s="151"/>
      <c r="S39" s="151"/>
    </row>
    <row r="40" spans="1:19">
      <c r="A40" s="151"/>
      <c r="B40" s="151"/>
      <c r="C40" s="151"/>
      <c r="D40" s="151"/>
      <c r="E40" s="151"/>
      <c r="F40" s="151"/>
      <c r="G40" s="151"/>
      <c r="H40" s="151"/>
      <c r="I40" s="151"/>
      <c r="J40" s="151"/>
      <c r="K40" s="151"/>
      <c r="L40" s="151"/>
      <c r="M40" s="151"/>
      <c r="N40" s="151"/>
      <c r="O40" s="151"/>
      <c r="P40" s="151"/>
      <c r="Q40" s="151"/>
      <c r="R40" s="151"/>
      <c r="S40" s="151"/>
    </row>
    <row r="41" spans="1:19">
      <c r="A41" s="151"/>
      <c r="B41" s="151"/>
      <c r="C41" s="151"/>
      <c r="D41" s="151"/>
      <c r="E41" s="151"/>
      <c r="F41" s="151"/>
      <c r="G41" s="151"/>
      <c r="H41" s="151"/>
      <c r="I41" s="151"/>
      <c r="J41" s="151"/>
      <c r="K41" s="151"/>
      <c r="L41" s="151"/>
      <c r="M41" s="151"/>
      <c r="N41" s="151"/>
      <c r="O41" s="151"/>
      <c r="P41" s="151"/>
      <c r="Q41" s="151"/>
      <c r="R41" s="151"/>
      <c r="S41" s="151"/>
    </row>
    <row r="42" spans="1:19">
      <c r="A42" s="151"/>
      <c r="B42" s="151"/>
      <c r="C42" s="151"/>
      <c r="D42" s="151"/>
      <c r="E42" s="151"/>
      <c r="F42" s="151"/>
      <c r="G42" s="151"/>
      <c r="H42" s="151"/>
      <c r="I42" s="151"/>
      <c r="J42" s="151"/>
      <c r="K42" s="151"/>
      <c r="L42" s="151"/>
      <c r="M42" s="151"/>
      <c r="N42" s="151"/>
      <c r="O42" s="151"/>
      <c r="P42" s="151"/>
      <c r="Q42" s="151"/>
      <c r="R42" s="151"/>
      <c r="S42" s="151"/>
    </row>
    <row r="43" spans="1:19">
      <c r="A43" s="151"/>
      <c r="B43" s="151"/>
      <c r="C43" s="151"/>
      <c r="D43" s="151"/>
      <c r="E43" s="151"/>
      <c r="F43" s="151"/>
      <c r="G43" s="151"/>
      <c r="H43" s="151"/>
      <c r="I43" s="151"/>
      <c r="J43" s="151"/>
      <c r="K43" s="151"/>
      <c r="L43" s="151"/>
      <c r="M43" s="151"/>
      <c r="N43" s="151"/>
      <c r="O43" s="151"/>
      <c r="P43" s="151"/>
      <c r="Q43" s="151"/>
      <c r="R43" s="151"/>
      <c r="S43" s="151"/>
    </row>
    <row r="44" spans="1:19">
      <c r="A44" s="151"/>
      <c r="B44" s="151"/>
      <c r="C44" s="151"/>
      <c r="D44" s="151"/>
      <c r="E44" s="151"/>
      <c r="F44" s="151"/>
      <c r="G44" s="151"/>
      <c r="H44" s="151"/>
      <c r="I44" s="151"/>
      <c r="J44" s="151"/>
      <c r="K44" s="151"/>
      <c r="L44" s="151"/>
      <c r="M44" s="151"/>
      <c r="N44" s="151"/>
      <c r="O44" s="151"/>
      <c r="P44" s="151"/>
      <c r="Q44" s="151"/>
      <c r="R44" s="151"/>
      <c r="S44" s="151"/>
    </row>
    <row r="45" spans="1:19">
      <c r="A45" s="151"/>
      <c r="B45" s="151"/>
      <c r="C45" s="151"/>
      <c r="D45" s="151"/>
      <c r="E45" s="151"/>
      <c r="F45" s="151"/>
      <c r="G45" s="151"/>
      <c r="H45" s="151"/>
      <c r="I45" s="151"/>
      <c r="J45" s="151"/>
      <c r="K45" s="151"/>
      <c r="L45" s="151"/>
      <c r="M45" s="151"/>
      <c r="N45" s="151"/>
      <c r="O45" s="151"/>
      <c r="P45" s="151"/>
      <c r="Q45" s="151"/>
      <c r="R45" s="151"/>
      <c r="S45" s="151"/>
    </row>
    <row r="46" spans="1:19">
      <c r="A46" s="151"/>
      <c r="B46" s="151"/>
      <c r="C46" s="151"/>
      <c r="D46" s="151"/>
      <c r="E46" s="151"/>
      <c r="F46" s="151"/>
      <c r="G46" s="151"/>
      <c r="H46" s="151"/>
      <c r="I46" s="151"/>
      <c r="J46" s="151"/>
      <c r="K46" s="151"/>
      <c r="L46" s="151"/>
      <c r="M46" s="151"/>
      <c r="N46" s="151"/>
      <c r="O46" s="151"/>
      <c r="P46" s="151"/>
      <c r="Q46" s="151"/>
      <c r="R46" s="151"/>
      <c r="S46" s="151"/>
    </row>
    <row r="47" spans="1:19">
      <c r="A47" s="151"/>
      <c r="B47" s="151"/>
      <c r="C47" s="151"/>
      <c r="D47" s="151"/>
      <c r="E47" s="151"/>
      <c r="F47" s="151"/>
      <c r="G47" s="151"/>
      <c r="H47" s="151"/>
      <c r="I47" s="151"/>
      <c r="J47" s="151"/>
      <c r="K47" s="151"/>
      <c r="L47" s="151"/>
      <c r="M47" s="151"/>
      <c r="N47" s="151"/>
      <c r="O47" s="151"/>
      <c r="P47" s="151"/>
      <c r="Q47" s="151"/>
      <c r="R47" s="151"/>
      <c r="S47" s="151"/>
    </row>
    <row r="48" spans="1:19">
      <c r="A48" s="151"/>
      <c r="B48" s="151"/>
      <c r="C48" s="151"/>
      <c r="D48" s="151"/>
      <c r="E48" s="151"/>
      <c r="F48" s="151"/>
      <c r="G48" s="151"/>
      <c r="H48" s="151"/>
      <c r="I48" s="151"/>
      <c r="J48" s="151"/>
      <c r="K48" s="151"/>
      <c r="L48" s="151"/>
      <c r="M48" s="151"/>
      <c r="N48" s="151"/>
      <c r="O48" s="151"/>
      <c r="P48" s="151"/>
      <c r="Q48" s="151"/>
      <c r="R48" s="151"/>
      <c r="S48" s="151"/>
    </row>
  </sheetData>
  <mergeCells count="9">
    <mergeCell ref="S1:S2"/>
    <mergeCell ref="A1:A2"/>
    <mergeCell ref="C1:L1"/>
    <mergeCell ref="N1:N2"/>
    <mergeCell ref="Q1:Q2"/>
    <mergeCell ref="R1:R2"/>
    <mergeCell ref="O1:O2"/>
    <mergeCell ref="P1:P2"/>
    <mergeCell ref="B1:B2"/>
  </mergeCells>
  <pageMargins left="0.7" right="0.7" top="0.75" bottom="0.75" header="0.3" footer="0.3"/>
  <customProperties>
    <customPr name="_pios_id" r:id="rId1"/>
  </customPropertie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6E63E7E-4C64-46CB-A50B-E1199996DE96}">
          <x14:formula1>
            <xm:f>LISTES!$A$2:$A$4</xm:f>
          </x14:formula1>
          <xm:sqref>R3:R48 C3:L48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CAC5-4629-4A2D-90E2-6E008F7B1AF8}">
  <sheetPr>
    <tabColor theme="9" tint="0.79998168889431442"/>
  </sheetPr>
  <dimension ref="A1:D12"/>
  <sheetViews>
    <sheetView topLeftCell="B1" zoomScaleNormal="70" workbookViewId="0">
      <selection activeCell="C4" sqref="C4"/>
    </sheetView>
  </sheetViews>
  <sheetFormatPr baseColWidth="10" defaultColWidth="10.77734375" defaultRowHeight="14.4"/>
  <cols>
    <col min="1" max="1" width="27.21875" style="12" customWidth="1"/>
    <col min="2" max="2" width="78" style="12" customWidth="1"/>
    <col min="3" max="3" width="114.21875" style="12" customWidth="1"/>
    <col min="4" max="4" width="49.77734375" style="12" customWidth="1"/>
    <col min="5" max="16384" width="10.77734375" style="12"/>
  </cols>
  <sheetData>
    <row r="1" spans="1:4" ht="21">
      <c r="A1" s="395" t="s">
        <v>1256</v>
      </c>
      <c r="B1" s="395"/>
      <c r="C1" s="124" t="s">
        <v>23</v>
      </c>
      <c r="D1" s="125" t="s">
        <v>1118</v>
      </c>
    </row>
    <row r="2" spans="1:4" ht="271.5" customHeight="1">
      <c r="A2" s="398" t="s">
        <v>1257</v>
      </c>
      <c r="B2" s="74" t="s">
        <v>1258</v>
      </c>
      <c r="C2" s="74" t="s">
        <v>1259</v>
      </c>
      <c r="D2" s="76"/>
    </row>
    <row r="3" spans="1:4" ht="280.5" customHeight="1">
      <c r="A3" s="398"/>
      <c r="B3" s="74" t="s">
        <v>1260</v>
      </c>
      <c r="C3" s="74" t="s">
        <v>1261</v>
      </c>
      <c r="D3" s="76"/>
    </row>
    <row r="4" spans="1:4" ht="408.6" customHeight="1">
      <c r="A4" s="398"/>
      <c r="B4" s="78" t="s">
        <v>1262</v>
      </c>
      <c r="C4" s="74" t="s">
        <v>1263</v>
      </c>
      <c r="D4" s="79"/>
    </row>
    <row r="5" spans="1:4" ht="29.25" customHeight="1">
      <c r="A5" s="398"/>
      <c r="B5" s="33" t="s">
        <v>1264</v>
      </c>
      <c r="C5" s="75">
        <v>11</v>
      </c>
      <c r="D5" s="79"/>
    </row>
    <row r="6" spans="1:4" ht="90.75" customHeight="1">
      <c r="A6" s="398"/>
      <c r="B6" s="33" t="s">
        <v>1265</v>
      </c>
      <c r="C6" s="74" t="s">
        <v>1266</v>
      </c>
      <c r="D6" s="79"/>
    </row>
    <row r="7" spans="1:4" ht="320.25" customHeight="1">
      <c r="A7" s="398"/>
      <c r="B7" s="74" t="s">
        <v>1267</v>
      </c>
      <c r="C7" s="74" t="s">
        <v>1268</v>
      </c>
      <c r="D7" s="76"/>
    </row>
    <row r="8" spans="1:4" ht="289.5" customHeight="1">
      <c r="A8" s="398"/>
      <c r="B8" s="74" t="s">
        <v>1269</v>
      </c>
      <c r="C8" s="74" t="s">
        <v>1270</v>
      </c>
      <c r="D8" s="76"/>
    </row>
    <row r="9" spans="1:4" ht="72" customHeight="1" thickBot="1">
      <c r="A9" s="397"/>
      <c r="B9" s="122" t="s">
        <v>1271</v>
      </c>
      <c r="C9" s="75">
        <v>12</v>
      </c>
      <c r="D9" s="90"/>
    </row>
    <row r="10" spans="1:4" ht="409.5" customHeight="1">
      <c r="A10" s="396" t="s">
        <v>1272</v>
      </c>
      <c r="B10" s="96" t="s">
        <v>1273</v>
      </c>
      <c r="C10" s="74" t="s">
        <v>1274</v>
      </c>
      <c r="D10" s="89"/>
    </row>
    <row r="11" spans="1:4" ht="409.5" customHeight="1" thickBot="1">
      <c r="A11" s="397"/>
      <c r="B11" s="122" t="s">
        <v>1275</v>
      </c>
      <c r="C11" s="74" t="s">
        <v>1276</v>
      </c>
      <c r="D11" s="90"/>
    </row>
    <row r="12" spans="1:4" ht="34.5" customHeight="1">
      <c r="B12" s="14"/>
    </row>
  </sheetData>
  <mergeCells count="3">
    <mergeCell ref="A1:B1"/>
    <mergeCell ref="A10:A11"/>
    <mergeCell ref="A2:A9"/>
  </mergeCells>
  <dataValidations count="1">
    <dataValidation type="list" allowBlank="1" showInputMessage="1" showErrorMessage="1" sqref="D1" xr:uid="{E5FE8FE9-7D8D-4A78-BA99-A340ACBD7209}"/>
  </dataValidations>
  <pageMargins left="0.7" right="0.7" top="0.75" bottom="0.75" header="0.3" footer="0.3"/>
  <customProperties>
    <customPr name="_pios_id" r:id="rId1"/>
  </customPropertie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CE1BD-E2F9-4885-BC5E-6820FD77A810}">
  <sheetPr>
    <tabColor theme="9" tint="0.79998168889431442"/>
  </sheetPr>
  <dimension ref="A1:J34"/>
  <sheetViews>
    <sheetView topLeftCell="B8" zoomScale="85" zoomScaleNormal="85" workbookViewId="0">
      <selection activeCell="C13" sqref="C13"/>
    </sheetView>
  </sheetViews>
  <sheetFormatPr baseColWidth="10" defaultColWidth="10.77734375" defaultRowHeight="14.4"/>
  <cols>
    <col min="1" max="1" width="36.21875" style="12" bestFit="1" customWidth="1"/>
    <col min="2" max="2" width="104.77734375" style="12" customWidth="1"/>
    <col min="3" max="3" width="29.21875" style="12" customWidth="1"/>
    <col min="4" max="4" width="58.5546875" style="12" customWidth="1"/>
    <col min="5" max="5" width="31" style="12" bestFit="1" customWidth="1"/>
    <col min="6" max="6" width="15.44140625" style="12" bestFit="1" customWidth="1"/>
    <col min="7" max="16384" width="10.77734375" style="12"/>
  </cols>
  <sheetData>
    <row r="1" spans="1:10" s="139" customFormat="1" ht="15" customHeight="1" thickBot="1">
      <c r="A1" s="401" t="s">
        <v>1277</v>
      </c>
      <c r="B1" s="402"/>
      <c r="C1" s="138" t="s">
        <v>1278</v>
      </c>
      <c r="D1" s="145" t="s">
        <v>59</v>
      </c>
      <c r="I1" s="12"/>
      <c r="J1" s="12"/>
    </row>
    <row r="2" spans="1:10" s="18" customFormat="1" ht="16.2" thickBot="1">
      <c r="A2" s="143" t="s">
        <v>1279</v>
      </c>
      <c r="B2" s="141"/>
      <c r="C2" s="141"/>
      <c r="D2" s="141"/>
      <c r="E2" s="144"/>
      <c r="F2" s="144"/>
      <c r="G2" s="144"/>
      <c r="H2" s="144"/>
      <c r="I2" s="12"/>
      <c r="J2" s="12"/>
    </row>
    <row r="3" spans="1:10">
      <c r="A3" s="406" t="s">
        <v>1280</v>
      </c>
      <c r="B3" s="127" t="s">
        <v>1281</v>
      </c>
      <c r="C3" s="128">
        <f>SUM(C4:C8)</f>
        <v>16100000</v>
      </c>
      <c r="D3" s="129" t="s">
        <v>1282</v>
      </c>
      <c r="E3" s="12" t="s">
        <v>1359</v>
      </c>
    </row>
    <row r="4" spans="1:10" ht="72">
      <c r="A4" s="407"/>
      <c r="B4" s="126" t="s">
        <v>1283</v>
      </c>
      <c r="C4" s="131">
        <v>13000000</v>
      </c>
      <c r="D4" s="60"/>
      <c r="E4" s="294">
        <f>C4/30</f>
        <v>433333.33333333331</v>
      </c>
    </row>
    <row r="5" spans="1:10" ht="28.8">
      <c r="A5" s="407"/>
      <c r="B5" s="126" t="s">
        <v>1284</v>
      </c>
      <c r="C5" s="131">
        <v>950000</v>
      </c>
      <c r="D5" s="60"/>
      <c r="F5" s="294">
        <f>(E4*18)+C5+C6+(E8*18)</f>
        <v>10310000</v>
      </c>
    </row>
    <row r="6" spans="1:10" ht="28.8">
      <c r="A6" s="407"/>
      <c r="B6" s="126" t="s">
        <v>1285</v>
      </c>
      <c r="C6" s="131">
        <v>1050000</v>
      </c>
      <c r="D6" s="60"/>
    </row>
    <row r="7" spans="1:10" ht="28.8">
      <c r="A7" s="407"/>
      <c r="B7" s="97" t="s">
        <v>1286</v>
      </c>
      <c r="C7" s="131">
        <v>250000</v>
      </c>
      <c r="D7" s="284" t="s">
        <v>1318</v>
      </c>
    </row>
    <row r="8" spans="1:10" ht="15" thickBot="1">
      <c r="A8" s="408"/>
      <c r="B8" s="98" t="s">
        <v>1287</v>
      </c>
      <c r="C8" s="137">
        <v>850000</v>
      </c>
      <c r="D8" s="61" t="s">
        <v>1317</v>
      </c>
      <c r="E8" s="294">
        <f>C8/30</f>
        <v>28333.333333333332</v>
      </c>
    </row>
    <row r="9" spans="1:10" ht="15" thickBot="1">
      <c r="A9" s="11"/>
      <c r="B9" s="11"/>
      <c r="C9" s="13"/>
      <c r="D9" s="11"/>
    </row>
    <row r="10" spans="1:10" s="144" customFormat="1" ht="16.2" thickBot="1">
      <c r="A10" s="399" t="s">
        <v>1288</v>
      </c>
      <c r="B10" s="400"/>
      <c r="C10" s="400"/>
      <c r="D10" s="400"/>
      <c r="E10" s="12"/>
      <c r="F10" s="12"/>
      <c r="G10" s="12"/>
      <c r="H10" s="12"/>
    </row>
    <row r="11" spans="1:10">
      <c r="A11" s="406" t="s">
        <v>1289</v>
      </c>
      <c r="B11" s="127" t="s">
        <v>1290</v>
      </c>
      <c r="C11" s="128">
        <f>SUM(C12:C15)</f>
        <v>1477500</v>
      </c>
      <c r="D11" s="129" t="s">
        <v>1282</v>
      </c>
    </row>
    <row r="12" spans="1:10" ht="28.8">
      <c r="A12" s="407"/>
      <c r="B12" s="126" t="s">
        <v>1291</v>
      </c>
      <c r="C12" s="131">
        <f>2.5*30*12*475</f>
        <v>427500</v>
      </c>
      <c r="D12" s="60" t="s">
        <v>1329</v>
      </c>
    </row>
    <row r="13" spans="1:10">
      <c r="A13" s="407"/>
      <c r="B13" s="126" t="s">
        <v>1292</v>
      </c>
      <c r="C13" s="131">
        <v>450000</v>
      </c>
      <c r="D13" s="60" t="s">
        <v>1328</v>
      </c>
    </row>
    <row r="14" spans="1:10">
      <c r="A14" s="407"/>
      <c r="B14" s="126" t="s">
        <v>1293</v>
      </c>
      <c r="C14" s="131">
        <v>250000</v>
      </c>
      <c r="D14" s="60" t="s">
        <v>1319</v>
      </c>
    </row>
    <row r="15" spans="1:10" ht="15" thickBot="1">
      <c r="A15" s="408"/>
      <c r="B15" s="98" t="s">
        <v>1294</v>
      </c>
      <c r="C15" s="137">
        <v>350000</v>
      </c>
      <c r="D15" s="61" t="s">
        <v>1320</v>
      </c>
    </row>
    <row r="16" spans="1:10">
      <c r="A16" s="11"/>
      <c r="B16" s="11"/>
      <c r="C16" s="13"/>
      <c r="D16" s="11"/>
    </row>
    <row r="17" spans="1:10" ht="15" thickBot="1">
      <c r="A17" s="3"/>
      <c r="B17" s="146"/>
      <c r="C17" s="146"/>
      <c r="D17" s="147"/>
    </row>
    <row r="18" spans="1:10" s="139" customFormat="1" ht="15" customHeight="1" thickBot="1">
      <c r="A18" s="401" t="s">
        <v>1295</v>
      </c>
      <c r="B18" s="402"/>
      <c r="C18" s="138" t="s">
        <v>23</v>
      </c>
      <c r="D18" s="145" t="s">
        <v>59</v>
      </c>
      <c r="I18" s="12"/>
      <c r="J18" s="12"/>
    </row>
    <row r="19" spans="1:10" ht="16.2" thickBot="1">
      <c r="A19" s="143" t="s">
        <v>1296</v>
      </c>
      <c r="B19" s="141"/>
      <c r="C19" s="141"/>
      <c r="D19" s="142"/>
    </row>
    <row r="20" spans="1:10">
      <c r="A20" s="406" t="s">
        <v>1297</v>
      </c>
      <c r="B20" s="133" t="s">
        <v>1298</v>
      </c>
      <c r="C20" s="134" t="s">
        <v>1321</v>
      </c>
      <c r="D20" s="409" t="s">
        <v>1323</v>
      </c>
    </row>
    <row r="21" spans="1:10">
      <c r="A21" s="407"/>
      <c r="B21" s="126" t="s">
        <v>1299</v>
      </c>
      <c r="C21" s="135" t="s">
        <v>1322</v>
      </c>
      <c r="D21" s="410"/>
    </row>
    <row r="22" spans="1:10">
      <c r="A22" s="407"/>
      <c r="B22" s="126" t="s">
        <v>1300</v>
      </c>
      <c r="C22" s="135" t="s">
        <v>171</v>
      </c>
      <c r="D22" s="60"/>
    </row>
    <row r="23" spans="1:10" ht="29.4" thickBot="1">
      <c r="A23" s="408"/>
      <c r="B23" s="132" t="s">
        <v>1301</v>
      </c>
      <c r="C23" s="136" t="s">
        <v>171</v>
      </c>
      <c r="D23" s="61"/>
    </row>
    <row r="24" spans="1:10" ht="15" thickBot="1">
      <c r="A24" s="11"/>
      <c r="B24" s="11"/>
      <c r="C24" s="13"/>
      <c r="D24" s="11"/>
    </row>
    <row r="25" spans="1:10" ht="16.2" thickBot="1">
      <c r="A25" s="143" t="s">
        <v>1302</v>
      </c>
      <c r="B25" s="141"/>
      <c r="C25" s="141"/>
      <c r="D25" s="142"/>
    </row>
    <row r="26" spans="1:10">
      <c r="A26" s="403" t="s">
        <v>1303</v>
      </c>
      <c r="B26" s="133" t="s">
        <v>1304</v>
      </c>
      <c r="C26" s="134" t="s">
        <v>1324</v>
      </c>
      <c r="D26" s="130" t="s">
        <v>1325</v>
      </c>
    </row>
    <row r="27" spans="1:10">
      <c r="A27" s="404"/>
      <c r="B27" s="126" t="s">
        <v>1305</v>
      </c>
      <c r="C27" s="135" t="s">
        <v>1324</v>
      </c>
      <c r="D27" s="60"/>
    </row>
    <row r="28" spans="1:10" ht="72.599999999999994" thickBot="1">
      <c r="A28" s="405"/>
      <c r="B28" s="132" t="s">
        <v>1306</v>
      </c>
      <c r="C28" s="136" t="s">
        <v>1326</v>
      </c>
      <c r="D28" s="285" t="s">
        <v>1327</v>
      </c>
    </row>
    <row r="29" spans="1:10">
      <c r="A29" s="11"/>
      <c r="B29" s="11"/>
      <c r="C29" s="13"/>
      <c r="D29" s="11"/>
    </row>
    <row r="30" spans="1:10">
      <c r="A30" s="11"/>
      <c r="B30" s="11"/>
      <c r="C30" s="13"/>
      <c r="D30" s="11"/>
    </row>
    <row r="31" spans="1:10">
      <c r="A31" s="11"/>
      <c r="B31" s="13"/>
      <c r="C31" s="13"/>
      <c r="D31" s="13"/>
    </row>
    <row r="32" spans="1:10">
      <c r="A32" s="13"/>
      <c r="B32" s="13"/>
      <c r="C32" s="13"/>
      <c r="D32" s="13"/>
    </row>
    <row r="33" spans="1:4">
      <c r="A33" s="13"/>
      <c r="B33" s="13"/>
      <c r="C33" s="13"/>
      <c r="D33" s="13"/>
    </row>
    <row r="34" spans="1:4">
      <c r="A34" s="13"/>
      <c r="B34" s="13"/>
      <c r="C34" s="13"/>
      <c r="D34" s="13"/>
    </row>
  </sheetData>
  <mergeCells count="8">
    <mergeCell ref="A10:D10"/>
    <mergeCell ref="A18:B18"/>
    <mergeCell ref="A26:A28"/>
    <mergeCell ref="A20:A23"/>
    <mergeCell ref="A1:B1"/>
    <mergeCell ref="A3:A8"/>
    <mergeCell ref="A11:A15"/>
    <mergeCell ref="D20:D21"/>
  </mergeCells>
  <pageMargins left="0.7" right="0.7" top="0.75" bottom="0.75" header="0.3" footer="0.3"/>
  <customProperties>
    <customPr name="_pios_id" r:id="rId1"/>
  </customPropertie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D993-CABD-4CA0-829F-917CB8EB4686}">
  <dimension ref="A1:A37"/>
  <sheetViews>
    <sheetView workbookViewId="0">
      <selection activeCell="A33" sqref="A33:XFD33"/>
    </sheetView>
  </sheetViews>
  <sheetFormatPr baseColWidth="10" defaultColWidth="11.5546875" defaultRowHeight="14.4"/>
  <cols>
    <col min="1" max="1" width="57.21875" bestFit="1" customWidth="1"/>
  </cols>
  <sheetData>
    <row r="1" spans="1:1">
      <c r="A1" s="44" t="s">
        <v>1307</v>
      </c>
    </row>
    <row r="2" spans="1:1">
      <c r="A2" s="10" t="s">
        <v>912</v>
      </c>
    </row>
    <row r="3" spans="1:1">
      <c r="A3" s="10" t="s">
        <v>973</v>
      </c>
    </row>
    <row r="6" spans="1:1">
      <c r="A6" s="44" t="s">
        <v>1308</v>
      </c>
    </row>
    <row r="7" spans="1:1">
      <c r="A7" s="10" t="s">
        <v>1309</v>
      </c>
    </row>
    <row r="8" spans="1:1">
      <c r="A8" s="10" t="s">
        <v>1310</v>
      </c>
    </row>
    <row r="9" spans="1:1">
      <c r="A9" s="10" t="s">
        <v>1311</v>
      </c>
    </row>
    <row r="10" spans="1:1">
      <c r="A10" s="10" t="s">
        <v>51</v>
      </c>
    </row>
    <row r="13" spans="1:1">
      <c r="A13" s="44" t="s">
        <v>5</v>
      </c>
    </row>
    <row r="14" spans="1:1">
      <c r="A14" s="45" t="s">
        <v>64</v>
      </c>
    </row>
    <row r="15" spans="1:1">
      <c r="A15" s="45" t="s">
        <v>78</v>
      </c>
    </row>
    <row r="16" spans="1:1">
      <c r="A16" s="45" t="s">
        <v>440</v>
      </c>
    </row>
    <row r="17" spans="1:1">
      <c r="A17" s="45" t="s">
        <v>194</v>
      </c>
    </row>
    <row r="18" spans="1:1">
      <c r="A18" s="45" t="s">
        <v>1312</v>
      </c>
    </row>
    <row r="19" spans="1:1">
      <c r="A19" s="45" t="s">
        <v>189</v>
      </c>
    </row>
    <row r="20" spans="1:1">
      <c r="A20" s="6"/>
    </row>
    <row r="22" spans="1:1">
      <c r="A22" s="44" t="s">
        <v>7</v>
      </c>
    </row>
    <row r="23" spans="1:1">
      <c r="A23" s="45" t="s">
        <v>1020</v>
      </c>
    </row>
    <row r="24" spans="1:1">
      <c r="A24" s="45" t="s">
        <v>979</v>
      </c>
    </row>
    <row r="25" spans="1:1">
      <c r="A25" s="45" t="s">
        <v>971</v>
      </c>
    </row>
    <row r="26" spans="1:1">
      <c r="A26" s="45" t="s">
        <v>189</v>
      </c>
    </row>
    <row r="29" spans="1:1">
      <c r="A29" s="44" t="s">
        <v>1313</v>
      </c>
    </row>
    <row r="30" spans="1:1">
      <c r="A30" s="45" t="s">
        <v>1051</v>
      </c>
    </row>
    <row r="31" spans="1:1">
      <c r="A31" s="45" t="s">
        <v>1056</v>
      </c>
    </row>
    <row r="32" spans="1:1">
      <c r="A32" s="45" t="s">
        <v>1314</v>
      </c>
    </row>
    <row r="35" spans="1:1">
      <c r="A35" s="44" t="s">
        <v>1315</v>
      </c>
    </row>
    <row r="36" spans="1:1">
      <c r="A36" s="45" t="s">
        <v>1181</v>
      </c>
    </row>
    <row r="37" spans="1:1">
      <c r="A37" s="45" t="s">
        <v>1316</v>
      </c>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717DD25454FB4695523AD6FA678BBB" ma:contentTypeVersion="3" ma:contentTypeDescription="Crée un document." ma:contentTypeScope="" ma:versionID="5bcb89fef6812fe6719aed61a50240c2">
  <xsd:schema xmlns:xsd="http://www.w3.org/2001/XMLSchema" xmlns:xs="http://www.w3.org/2001/XMLSchema" xmlns:p="http://schemas.microsoft.com/office/2006/metadata/properties" xmlns:ns2="b152b8e2-9a73-4d1a-bc18-96b00c72b20e" targetNamespace="http://schemas.microsoft.com/office/2006/metadata/properties" ma:root="true" ma:fieldsID="4eba6ec78bc86a3a6262e0cef8282375" ns2:_="">
    <xsd:import namespace="b152b8e2-9a73-4d1a-bc18-96b00c72b20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2b8e2-9a73-4d1a-bc18-96b00c72b2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364C8E-D4ED-4624-8B1F-2F04F523047F}">
  <ds:schemaRefs>
    <ds:schemaRef ds:uri="http://schemas.microsoft.com/sharepoint/v3/contenttype/forms"/>
  </ds:schemaRefs>
</ds:datastoreItem>
</file>

<file path=customXml/itemProps2.xml><?xml version="1.0" encoding="utf-8"?>
<ds:datastoreItem xmlns:ds="http://schemas.openxmlformats.org/officeDocument/2006/customXml" ds:itemID="{EEDCEB9A-1262-40B3-A458-577708CFC72B}"/>
</file>

<file path=customXml/itemProps3.xml><?xml version="1.0" encoding="utf-8"?>
<ds:datastoreItem xmlns:ds="http://schemas.openxmlformats.org/officeDocument/2006/customXml" ds:itemID="{57AAEE41-EF1E-4D2C-9967-8867B7C4CD31}">
  <ds:schemaRefs>
    <ds:schemaRef ds:uri="89c9682d-fc72-460c-b0ba-78ee79b29d11"/>
    <ds:schemaRef ds:uri="http://purl.org/dc/dcmitype/"/>
    <ds:schemaRef ds:uri="http://purl.org/dc/elements/1.1/"/>
    <ds:schemaRef ds:uri="3cf54c54-8aee-4b44-9296-39f8cc6c57f8"/>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term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Introduction et instructions</vt:lpstr>
      <vt:lpstr>0. Informations générales</vt:lpstr>
      <vt:lpstr>1. Besoins fonctionnels </vt:lpstr>
      <vt:lpstr>Abaques besoins fonctionnels</vt:lpstr>
      <vt:lpstr>2. Interfaces </vt:lpstr>
      <vt:lpstr>3. Architecture et sécurité</vt:lpstr>
      <vt:lpstr>4. Volumétrie</vt:lpstr>
      <vt:lpstr>5. Support et disponibilité</vt:lpstr>
      <vt:lpstr>6. Références clients</vt:lpstr>
      <vt:lpstr>7. Partenaires et écosystème</vt:lpstr>
      <vt:lpstr>8. Estimations budgétaires</vt:lpstr>
      <vt:lpstr>LISTES</vt:lpstr>
    </vt:vector>
  </TitlesOfParts>
  <Manager/>
  <Company>VISEO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Arthur Lambert</dc:creator>
  <cp:keywords/>
  <dc:description/>
  <cp:lastModifiedBy>Frederic Bochereau 1796</cp:lastModifiedBy>
  <cp:revision/>
  <dcterms:created xsi:type="dcterms:W3CDTF">2025-04-29T07:36:35Z</dcterms:created>
  <dcterms:modified xsi:type="dcterms:W3CDTF">2025-09-12T15:26:07Z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0x01010036717DD25454FB4695523AD6FA678BBB</vt:lpwstr>
  </property>
  <property fmtid="{D5CDD505-2E9C-101B-9397-08002B2CF9AE}" pid="3" name="MediaServiceImageTags">
    <vt:lpwstr/>
  </property>
  <property fmtid="{D5CDD505-2E9C-101B-9397-08002B2CF9AE}" pid="4" name="Order">
    <vt:r8>33600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