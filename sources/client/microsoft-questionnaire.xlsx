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beaumanoir.sharepoint.com/sites/Synvance-EtudeERP/Documents partages/Synvance - Etude ERP/2-Etude/1. Benchmark ERP/2. Réponses RFI/MICROSOFT/"/>
    </mc:Choice>
  </mc:AlternateContent>
  <xr:revisionPtr revIDLastSave="10" documentId="8_{1FFAD827-BB38-487F-8A7D-15052F2D1BB6}" xr6:coauthVersionLast="47" xr6:coauthVersionMax="47" xr10:uidLastSave="{A5FC45F5-E6D1-4F75-8E23-D55FF8A7DBA9}"/>
  <bookViews>
    <workbookView xWindow="-108" yWindow="-108" windowWidth="23256" windowHeight="12456" tabRatio="810" firstSheet="9" activeTab="9" xr2:uid="{34DB849C-6053-4B80-9809-3FC60A1BB98D}"/>
  </bookViews>
  <sheets>
    <sheet name="Introduction et instructions" sheetId="12" r:id="rId1"/>
    <sheet name="0. Informations générales" sheetId="14" r:id="rId2"/>
    <sheet name="1. Besoins fonctionnels " sheetId="11" r:id="rId3"/>
    <sheet name="2. Interfaces " sheetId="19" r:id="rId4"/>
    <sheet name="3. Architecture et sécurité" sheetId="15" r:id="rId5"/>
    <sheet name="4. Volumétrie" sheetId="17" r:id="rId6"/>
    <sheet name="5. Support et disponibilité" sheetId="16" r:id="rId7"/>
    <sheet name="6. Références clients" sheetId="18" r:id="rId8"/>
    <sheet name="7. Partenaires et écosystème" sheetId="20" r:id="rId9"/>
    <sheet name="8. Estimations budgétaires" sheetId="21" r:id="rId10"/>
    <sheet name="LISTES" sheetId="13"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1" l="1"/>
  <c r="E11" i="21"/>
  <c r="C3" i="21"/>
  <c r="C1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tc={D99C9F8F-6660-40CC-9DB6-1ABE0ABE2F7C}</author>
    <author>tc={7FCCBA33-362D-4ECB-83AF-EC8101C6E4A2}</author>
    <author>tc={FE2C6539-DBC3-47FA-9904-D433504DF6CF}</author>
  </authors>
  <commentList>
    <comment ref="B123" authorId="0" shapeId="0" xr:uid="{D99C9F8F-6660-40CC-9DB6-1ABE0ABE2F7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
      </text>
    </comment>
    <comment ref="B125" authorId="1" shapeId="0" xr:uid="{7FCCBA33-362D-4ECB-83AF-EC8101C6E4A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
      </text>
    </comment>
    <comment ref="B170" authorId="2" shapeId="0" xr:uid="{FE2C6539-DBC3-47FA-9904-D433504DF6C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 sur le pilotage hebdomadaire des capacités fournisseurs :
Il s’agit d’un besoin transverse de pilotage exploitant les données et plannings des commandes de ventes et d’achats, les capacités fournisseurs (théoriques, avec possibilité d’ajustement) et lead times, et les éléments de planification amont. 
Ce besoin hors scope relève plutôt d’une approche Planning et S&amp;OP 
Vous êtes toutefois invité à faire part de vos solutions éventuelles.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G1" authorId="0" shapeId="0" xr:uid="{7CEE1D9A-56A4-41C5-9A94-CC452F935FF9}">
      <text>
        <r>
          <rPr>
            <b/>
            <sz val="11"/>
            <color indexed="81"/>
            <rFont val="Tahoma"/>
            <family val="2"/>
          </rPr>
          <t>James Dowse:</t>
        </r>
        <r>
          <rPr>
            <sz val="11"/>
            <color indexed="81"/>
            <rFont val="Tahoma"/>
            <family val="2"/>
          </rPr>
          <t xml:space="preserve">
Il peut s'agit de coûts d'adaptation (PAR - connecteur spécifique à adapter) comme de coûts de développement complémentaires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B4" authorId="0" shapeId="0" xr:uid="{4069C130-E0F8-4C2F-9C82-5BFE4E614729}">
      <text>
        <r>
          <rPr>
            <b/>
            <sz val="9"/>
            <color indexed="81"/>
            <rFont val="Tahoma"/>
            <family val="2"/>
          </rPr>
          <t>James Dowse:</t>
        </r>
        <r>
          <rPr>
            <sz val="9"/>
            <color indexed="81"/>
            <rFont val="Tahoma"/>
            <family val="2"/>
          </rPr>
          <t xml:space="preserve">
Estimation </t>
        </r>
      </text>
    </comment>
    <comment ref="B5" authorId="0" shapeId="0" xr:uid="{7393A2B9-B77E-4C46-AEAD-236B08006C8A}">
      <text>
        <r>
          <rPr>
            <b/>
            <sz val="9"/>
            <color indexed="81"/>
            <rFont val="Tahoma"/>
            <family val="2"/>
          </rPr>
          <t>James Dowse:</t>
        </r>
        <r>
          <rPr>
            <sz val="9"/>
            <color indexed="81"/>
            <rFont val="Tahoma"/>
            <family val="2"/>
          </rPr>
          <t xml:space="preserve">
Estimation</t>
        </r>
      </text>
    </comment>
    <comment ref="B6" authorId="0" shapeId="0" xr:uid="{52974A92-B3FC-4897-87C6-DB9BD4F1FC5F}">
      <text>
        <r>
          <rPr>
            <b/>
            <sz val="9"/>
            <color indexed="81"/>
            <rFont val="Tahoma"/>
            <family val="2"/>
          </rPr>
          <t>James Dowse:</t>
        </r>
        <r>
          <rPr>
            <sz val="9"/>
            <color indexed="81"/>
            <rFont val="Tahoma"/>
            <family val="2"/>
          </rPr>
          <t xml:space="preserve">
Estimation</t>
        </r>
      </text>
    </comment>
    <comment ref="B7" authorId="0" shapeId="0" xr:uid="{6B10D923-D34C-42B4-BBC7-71CE9C57FB3A}">
      <text>
        <r>
          <rPr>
            <b/>
            <sz val="9"/>
            <color indexed="81"/>
            <rFont val="Tahoma"/>
            <family val="2"/>
          </rPr>
          <t>James Dowse:</t>
        </r>
        <r>
          <rPr>
            <sz val="9"/>
            <color indexed="81"/>
            <rFont val="Tahoma"/>
            <family val="2"/>
          </rPr>
          <t xml:space="preserve">
Estimation</t>
        </r>
      </text>
    </comment>
    <comment ref="B8" authorId="0" shapeId="0" xr:uid="{F3B3E498-C516-4AFC-B4ED-FD55F7A3D840}">
      <text>
        <r>
          <rPr>
            <b/>
            <sz val="9"/>
            <color indexed="81"/>
            <rFont val="Tahoma"/>
            <family val="2"/>
          </rPr>
          <t>James Dowse:</t>
        </r>
        <r>
          <rPr>
            <sz val="9"/>
            <color indexed="81"/>
            <rFont val="Tahoma"/>
            <family val="2"/>
          </rPr>
          <t xml:space="preserve">
Estimation</t>
        </r>
      </text>
    </comment>
    <comment ref="B9" authorId="0" shapeId="0" xr:uid="{C76B4A19-A3B7-418E-934E-C74F20519FD0}">
      <text>
        <r>
          <rPr>
            <b/>
            <sz val="9"/>
            <color indexed="81"/>
            <rFont val="Tahoma"/>
            <family val="2"/>
          </rPr>
          <t>James Dowse:</t>
        </r>
        <r>
          <rPr>
            <sz val="9"/>
            <color indexed="81"/>
            <rFont val="Tahoma"/>
            <family val="2"/>
          </rPr>
          <t xml:space="preserve">
Estimation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James Dowse</author>
  </authors>
  <commentList>
    <comment ref="B3" authorId="0" shapeId="0" xr:uid="{6A713EFB-0F21-4A5B-B542-5671694C8135}">
      <text>
        <r>
          <rPr>
            <b/>
            <sz val="9"/>
            <color indexed="81"/>
            <rFont val="Tahoma"/>
            <family val="2"/>
          </rPr>
          <t>James Dowse:</t>
        </r>
        <r>
          <rPr>
            <sz val="9"/>
            <color indexed="81"/>
            <rFont val="Tahoma"/>
            <family val="2"/>
          </rPr>
          <t xml:space="preserve">
Abaques à constuire sur la base d'un projet comparable : multi-sociétés, multi-entités, multi-marques, multi-canal, volumétrie de données importante
8 instances Storeland à migrer
1 instance SAP à migrer</t>
        </r>
      </text>
    </comment>
    <comment ref="C3" authorId="0" shapeId="0" xr:uid="{F1729165-8B6A-41D4-B085-721998F57AB8}">
      <text>
        <r>
          <rPr>
            <b/>
            <sz val="9"/>
            <color indexed="81"/>
            <rFont val="Tahoma"/>
            <family val="2"/>
          </rPr>
          <t>James Dowse:</t>
        </r>
        <r>
          <rPr>
            <sz val="9"/>
            <color indexed="81"/>
            <rFont val="Tahoma"/>
            <family val="2"/>
          </rPr>
          <t xml:space="preserve">
Ne pas saisir (calculé à partir des lignes suivantes)</t>
        </r>
      </text>
    </comment>
    <comment ref="B11" authorId="0" shapeId="0" xr:uid="{D5A81186-3EE2-4199-92A3-20A32AEDA49F}">
      <text>
        <r>
          <rPr>
            <b/>
            <sz val="9"/>
            <color indexed="81"/>
            <rFont val="Tahoma"/>
            <family val="2"/>
          </rPr>
          <t>James Dowse:</t>
        </r>
        <r>
          <rPr>
            <sz val="9"/>
            <color indexed="81"/>
            <rFont val="Tahoma"/>
            <family val="2"/>
          </rPr>
          <t xml:space="preserve">
Abaques à constuire sur la base d'un projet comparable : multi-sociétés, multi-entités, multi-marques, multi-canal, volumétrie de données importante
8 instances Storeland à migrer
1 instance SAP à migrer</t>
        </r>
      </text>
    </comment>
    <comment ref="C11" authorId="0" shapeId="0" xr:uid="{5CF3A791-D957-4630-A9B6-0B3312037DB8}">
      <text>
        <r>
          <rPr>
            <b/>
            <sz val="9"/>
            <color indexed="81"/>
            <rFont val="Tahoma"/>
            <family val="2"/>
          </rPr>
          <t>James Dowse:</t>
        </r>
        <r>
          <rPr>
            <sz val="9"/>
            <color indexed="81"/>
            <rFont val="Tahoma"/>
            <family val="2"/>
          </rPr>
          <t xml:space="preserve">
Ne pas saisir (calculé à partir des lignes suivantes)</t>
        </r>
      </text>
    </comment>
  </commentList>
</comments>
</file>

<file path=xl/sharedStrings.xml><?xml version="1.0" encoding="utf-8"?>
<sst xmlns="http://schemas.openxmlformats.org/spreadsheetml/2006/main" count="2213" uniqueCount="1331">
  <si>
    <t>Introduction et présentation du deck</t>
  </si>
  <si>
    <t>INTRODUCTION AU DOCUMENT</t>
  </si>
  <si>
    <r>
      <t xml:space="preserve">Suite au rachat de Boardriders, le groupe Beaumanoir a mandaté une étude pour le choix d'un nouvel ERP "opérations achat et vente" commun à l’ensemble des entités du Groupe. 
La présente consultation est lancée auprès d'éditeurs pré-sélectionnés, afin de collecter et comparer les informations sur leurs solutions. 
</t>
    </r>
    <r>
      <rPr>
        <b/>
        <sz val="11"/>
        <color theme="1"/>
        <rFont val="Aptos Narrow"/>
        <family val="2"/>
        <scheme val="minor"/>
      </rPr>
      <t>Ce questionnaire a pour but de collecter et évaluer ces données sur une base unifiée, construite à partir des attentes et besoins du Groupe Beaumanoir.
Nous vous demandons, par conséquent, de reporter vos réponses directement dans les onglets de ce document.</t>
    </r>
  </si>
  <si>
    <t>0. PRESENTATION DE LA SOLUTION</t>
  </si>
  <si>
    <t>Cet onglet vise à recueillir les informations générales sur votre entreprise et sur l’ERP que vous proposez.
Une zone de commentaire libre est  prévue à la fin de l’onglet pour vous permettre de nous transmettre toute information complémentaire que vous jugerez pertinente : éléments différenciateurs, contexte d’évolution de votre solution, précisions techniques, etc.</t>
  </si>
  <si>
    <t>1. BESOINS FONCTIONNELS</t>
  </si>
  <si>
    <r>
      <t xml:space="preserve">Cet onglet présente les besoins fonctionnels exprimés par les référents métiers du groupe Beaumanoir.
Le questionnaire qui s'y trouve doit permettre de confirmer la capacité de la solution à répondre à chacun des besoins, unitairement. 
</t>
    </r>
    <r>
      <rPr>
        <b/>
        <u/>
        <sz val="11"/>
        <color theme="1"/>
        <rFont val="Aptos Narrow"/>
        <family val="2"/>
        <scheme val="minor"/>
      </rPr>
      <t>Instructions :</t>
    </r>
    <r>
      <rPr>
        <b/>
        <sz val="11"/>
        <color theme="1"/>
        <rFont val="Aptos Narrow"/>
        <family val="2"/>
        <scheme val="minor"/>
      </rPr>
      <t xml:space="preserve">
</t>
    </r>
    <r>
      <rPr>
        <sz val="11"/>
        <color theme="1"/>
        <rFont val="Aptos Narrow"/>
        <family val="2"/>
        <scheme val="minor"/>
      </rPr>
      <t xml:space="preserve">Chaque ligne correspond à l'un des besoins exprimés par les métiers, qu'il s'agisse d'une fonctionnalité, de critères et d'attributs de gestion ou de paramétrage, ou d'une règle de gestion particulière.
Les besoins considérés très standards (ex : création d'un nouvel article, saisie d'une commande de vente) ont été ignorés. Ils sont réputés couverts par tous les ERP de la place. 
Merci de saisir votre réponse dans les deux champs prévus à cet effet.
- </t>
    </r>
    <r>
      <rPr>
        <b/>
        <sz val="11"/>
        <color theme="1"/>
        <rFont val="Aptos Narrow"/>
        <family val="2"/>
        <scheme val="minor"/>
      </rPr>
      <t>Réponse (colonne E) :</t>
    </r>
    <r>
      <rPr>
        <sz val="11"/>
        <color theme="1"/>
        <rFont val="Aptos Narrow"/>
        <family val="2"/>
        <scheme val="minor"/>
      </rPr>
      <t xml:space="preserve"> sélectionner la valeur adéquate parmi les options proposées
YES. Couvert en standard (100%)
CUS. Couvert avec customization
DEV. Développement spécifiques requis
TPS. Couvert par application tierce (au catalogue éditeur)
FUT. En développement pour release / version ultérieure
NON. Non couvert
- </t>
    </r>
    <r>
      <rPr>
        <b/>
        <sz val="11"/>
        <color theme="1"/>
        <rFont val="Aptos Narrow"/>
        <family val="2"/>
        <scheme val="minor"/>
      </rPr>
      <t>Estimation coûts supp. (colonne F) :</t>
    </r>
    <r>
      <rPr>
        <sz val="11"/>
        <color theme="1"/>
        <rFont val="Aptos Narrow"/>
        <family val="2"/>
        <scheme val="minor"/>
      </rPr>
      <t xml:space="preserve"> dans le cas où le besoin serait couvert par des développements spécifiques ou de la customization, estimer si possible le coût complémentaire (qui sera ajouté aux estimations budgétaies).
- </t>
    </r>
    <r>
      <rPr>
        <b/>
        <sz val="11"/>
        <color theme="1"/>
        <rFont val="Aptos Narrow"/>
        <family val="2"/>
        <scheme val="minor"/>
      </rPr>
      <t>Réponse - compléments (colonne G</t>
    </r>
    <r>
      <rPr>
        <sz val="11"/>
        <color theme="1"/>
        <rFont val="Aptos Narrow"/>
        <family val="2"/>
        <scheme val="minor"/>
      </rPr>
      <t>).
          - Justifier, si nécessaire / pertinent, votre répons codifiée
          - Quelques précisions utiles sur les compléments de réponse.
                    - Tout complément d'information est appréciable pour évaluer la qualité de la couverture.
                    - Nous avons  ajouté une mention "merci de détailler votre réponse" en face des critères pour lesquels des précisions sont vivement souhaitées.
                   - En cas de réponse partielle au besoin - avec customization, ou développement - merci d'indiquer les limites rencontrées en standard par la solution, et le périmètre des travaux d'adaptation.
Nota : nous avons choisi de ne pas donner de référence particulière à chaque ligne (1., 1.1, 1.1.1, etc.) afin de limiter la complexité de lecture. Vous pourrez faire directement référence au numéro de ligne dans nos échanges éventuels.
N’hésitez pas à nous contacter pour toute question complémentaire ou besoin de clarification.</t>
    </r>
  </si>
  <si>
    <t>2. INTERFACES</t>
  </si>
  <si>
    <r>
      <t xml:space="preserve">Cet onglet présente les opportunités d'interfaçage entre l'ERP à choisir et les principales applications de l'écosystème du groupe (marques historiques et Boardriders).
Le questionnaire doit permettre de recenser les éventuels connecteurs et interfaces pré-développés / pré-paramétrés existants, susceptibles de simplifier la connexion entre systèmes.
</t>
    </r>
    <r>
      <rPr>
        <u/>
        <sz val="11"/>
        <color theme="1"/>
        <rFont val="Aptos Narrow"/>
        <family val="2"/>
        <scheme val="minor"/>
      </rPr>
      <t>A noter :</t>
    </r>
    <r>
      <rPr>
        <sz val="11"/>
        <color theme="1"/>
        <rFont val="Aptos Narrow"/>
        <family val="2"/>
        <scheme val="minor"/>
      </rPr>
      <t xml:space="preserve"> certaines applications apparaissent en doublon car elles remplissent les mêmes usages (ex : deux CRM). Ceci est du au fait que les systèmes historiques du groupe et ceux de Boardriders sont aujourd'hui distincts. Le choix des applications conservées sur chacun des domaines n'est pas arrêté et pourrait être influencé par la facilité d'interfaçage. 
</t>
    </r>
    <r>
      <rPr>
        <b/>
        <u/>
        <sz val="11"/>
        <color theme="1"/>
        <rFont val="Aptos Narrow"/>
        <family val="2"/>
        <scheme val="minor"/>
      </rPr>
      <t>Instructions :</t>
    </r>
    <r>
      <rPr>
        <sz val="11"/>
        <color theme="1"/>
        <rFont val="Aptos Narrow"/>
        <family val="2"/>
        <scheme val="minor"/>
      </rPr>
      <t xml:space="preserve">
Chaque ligne correspond à l'une des applications de l'écosystème actuel du Groupe Beaumanoir. 
</t>
    </r>
    <r>
      <rPr>
        <b/>
        <sz val="11"/>
        <color theme="1"/>
        <rFont val="Aptos Narrow"/>
        <family val="2"/>
        <scheme val="minor"/>
      </rPr>
      <t>- Réponse (colonne G) :</t>
    </r>
    <r>
      <rPr>
        <sz val="11"/>
        <color theme="1"/>
        <rFont val="Aptos Narrow"/>
        <family val="2"/>
        <scheme val="minor"/>
      </rPr>
      <t xml:space="preserve"> sélectionner la valeur adéquate parmi les options proposées
STD. Connecteur standard existant =&gt; pas de développement, paramétrage minimal
CUS. Connecteur spécifique existant =&gt; connecteur spécifique réalisé dans le cadre d'un précédent déploiement, réutilisable moyennant des adaptations / customisation
DEV. Interface spécifique à développer =&gt; interface à créer en totalité
NON. Non couvert =&gt; pas d'interfaçage possible
</t>
    </r>
    <r>
      <rPr>
        <b/>
        <sz val="11"/>
        <color theme="1"/>
        <rFont val="Aptos Narrow"/>
        <family val="2"/>
        <scheme val="minor"/>
      </rPr>
      <t>- Estimation coûts supp. (colonne H) :</t>
    </r>
    <r>
      <rPr>
        <sz val="11"/>
        <color theme="1"/>
        <rFont val="Aptos Narrow"/>
        <family val="2"/>
        <scheme val="minor"/>
      </rPr>
      <t xml:space="preserve"> estimer la charge de paramétrage / adaptation, ou de développement, pour chaque interface.
</t>
    </r>
    <r>
      <rPr>
        <b/>
        <sz val="11"/>
        <color theme="1"/>
        <rFont val="Aptos Narrow"/>
        <family val="2"/>
        <scheme val="minor"/>
      </rPr>
      <t>- Limites de transfert (colonne I)</t>
    </r>
    <r>
      <rPr>
        <sz val="11"/>
        <color theme="1"/>
        <rFont val="Aptos Narrow"/>
        <family val="2"/>
        <scheme val="minor"/>
      </rPr>
      <t xml:space="preserve">
Indiquer, pour chaque interface, si des limites en matière de volumétrie sont à prévoir. Ces limites peuvent être intrinsèques à l'ERP (nombre de lignes limité en entrée), liés à l'interface (technologie utilisée pour interfacer cet outil) ou aux performances (pas de limite de volume, mais temps de traitement trop important pour un batch), par exemple.
</t>
    </r>
    <r>
      <rPr>
        <b/>
        <sz val="11"/>
        <color theme="1"/>
        <rFont val="Aptos Narrow"/>
        <family val="2"/>
        <scheme val="minor"/>
      </rPr>
      <t xml:space="preserve">- Détail des limites de transfert (colonne J).
</t>
    </r>
    <r>
      <rPr>
        <sz val="11"/>
        <color theme="1"/>
        <rFont val="Aptos Narrow"/>
        <family val="2"/>
        <scheme val="minor"/>
      </rPr>
      <t>Détailler les limites de transfert : cause, volume maximum.</t>
    </r>
  </si>
  <si>
    <t>3. ARCHITECTURE ET SECURITE</t>
  </si>
  <si>
    <r>
      <t xml:space="preserve">Cet onglet reprend les principaux besoins non fonctionnels que doit couvrir l'ERP. Le questionnaire permet de mieux comprendre les aspects techniques de votre solution (modalité, sécurité, conformité, propriété des données).
</t>
    </r>
    <r>
      <rPr>
        <b/>
        <u/>
        <sz val="11"/>
        <color theme="1"/>
        <rFont val="Aptos Narrow"/>
        <family val="2"/>
        <scheme val="minor"/>
      </rPr>
      <t>Instructions :</t>
    </r>
    <r>
      <rPr>
        <sz val="11"/>
        <color theme="1"/>
        <rFont val="Aptos Narrow"/>
        <family val="2"/>
        <scheme val="minor"/>
      </rPr>
      <t xml:space="preserve">
Chaque ligne correspond à une question ou un critère.
Saisissez ou sélectionnez la valeur adéquate dans le champ</t>
    </r>
    <r>
      <rPr>
        <b/>
        <sz val="11"/>
        <color theme="1"/>
        <rFont val="Aptos Narrow"/>
        <family val="2"/>
        <scheme val="minor"/>
      </rPr>
      <t xml:space="preserve"> "réponse" (colonne D).</t>
    </r>
  </si>
  <si>
    <t>4. VOLUMETRIE</t>
  </si>
  <si>
    <r>
      <rPr>
        <b/>
        <u/>
        <sz val="11"/>
        <color rgb="FFC00000"/>
        <rFont val="Aptos Narrow"/>
        <family val="2"/>
        <scheme val="minor"/>
      </rPr>
      <t>Important :</t>
    </r>
    <r>
      <rPr>
        <b/>
        <sz val="11"/>
        <color theme="1"/>
        <rFont val="Aptos Narrow"/>
        <family val="2"/>
        <scheme val="minor"/>
      </rPr>
      <t xml:space="preserve"> cet onglet est à traiter de paire avec le document "ANNEXE 1 - VOLUMETRIE GBM" , qui détaille les volumes de données et les contraintes de charge que l'ERP doit être capable de gérer. </t>
    </r>
    <r>
      <rPr>
        <sz val="11"/>
        <color theme="1"/>
        <rFont val="Aptos Narrow"/>
        <family val="2"/>
        <scheme val="minor"/>
      </rPr>
      <t xml:space="preserve">
</t>
    </r>
    <r>
      <rPr>
        <b/>
        <u/>
        <sz val="11"/>
        <color theme="1"/>
        <rFont val="Aptos Narrow"/>
        <family val="2"/>
        <scheme val="minor"/>
      </rPr>
      <t xml:space="preserve">Instructions :
</t>
    </r>
    <r>
      <rPr>
        <b/>
        <sz val="11"/>
        <color theme="1"/>
        <rFont val="Aptos Narrow"/>
        <family val="2"/>
        <scheme val="minor"/>
      </rPr>
      <t>Bloc "volumes d'activité"</t>
    </r>
    <r>
      <rPr>
        <sz val="11"/>
        <color theme="1"/>
        <rFont val="Aptos Narrow"/>
        <family val="2"/>
        <scheme val="minor"/>
      </rPr>
      <t xml:space="preserve">
Chaque ligne de ce bloc correspond à un volume de données que la solution doit pouvoir prendre en charge, puisqu'elle correspond aux volumes actuels du Groupe. 
Indiquez dans le champ </t>
    </r>
    <r>
      <rPr>
        <b/>
        <sz val="11"/>
        <color theme="1"/>
        <rFont val="Aptos Narrow"/>
        <family val="2"/>
        <scheme val="minor"/>
      </rPr>
      <t>"réponse" (colonne C)</t>
    </r>
    <r>
      <rPr>
        <sz val="11"/>
        <color theme="1"/>
        <rFont val="Aptos Narrow"/>
        <family val="2"/>
        <scheme val="minor"/>
      </rPr>
      <t xml:space="preserve"> si la solution peut prendre en charge ces contraintes, sans déterioration des performances. 
</t>
    </r>
    <r>
      <rPr>
        <b/>
        <u/>
        <sz val="11"/>
        <color theme="1"/>
        <rFont val="Aptos Narrow"/>
        <family val="2"/>
        <scheme val="minor"/>
      </rPr>
      <t>A noter :</t>
    </r>
    <r>
      <rPr>
        <sz val="11"/>
        <color theme="1"/>
        <rFont val="Aptos Narrow"/>
        <family val="2"/>
        <scheme val="minor"/>
      </rPr>
      <t xml:space="preserve"> la ligne 2 contient une question générale portant sur l'ensemble des volumes exprimés dans le document ANNEXE 1 - Volumétrie GBM. </t>
    </r>
    <r>
      <rPr>
        <b/>
        <sz val="11"/>
        <color theme="1"/>
        <rFont val="Aptos Narrow"/>
        <family val="2"/>
        <scheme val="minor"/>
      </rPr>
      <t>Veuillez ne répondre par l'affirmative que si la solution peut gérer TOUTES les contraintes exprimées.</t>
    </r>
    <r>
      <rPr>
        <sz val="11"/>
        <color theme="1"/>
        <rFont val="Aptos Narrow"/>
        <family val="2"/>
        <scheme val="minor"/>
      </rPr>
      <t xml:space="preserve">
</t>
    </r>
    <r>
      <rPr>
        <b/>
        <sz val="11"/>
        <color theme="1"/>
        <rFont val="Aptos Narrow"/>
        <family val="2"/>
        <scheme val="minor"/>
      </rPr>
      <t xml:space="preserve">Blocs "scénarios de montée en charge"
</t>
    </r>
    <r>
      <rPr>
        <sz val="11"/>
        <color theme="1"/>
        <rFont val="Aptos Narrow"/>
        <family val="2"/>
        <scheme val="minor"/>
      </rPr>
      <t xml:space="preserve">Ces blocs présentent des hypothèses (fictives) de montée en charge, afin d'extrapoler la scalabilité et les limites éventuelles de la solution.
Indiquez dans le champ </t>
    </r>
    <r>
      <rPr>
        <b/>
        <sz val="11"/>
        <color theme="1"/>
        <rFont val="Aptos Narrow"/>
        <family val="2"/>
        <scheme val="minor"/>
      </rPr>
      <t>"réponse" (colonne C)</t>
    </r>
    <r>
      <rPr>
        <sz val="11"/>
        <color theme="1"/>
        <rFont val="Aptos Narrow"/>
        <family val="2"/>
        <scheme val="minor"/>
      </rPr>
      <t xml:space="preserve"> si la solution peut prendre en charge ces contraintes, sans déterioration des performances. </t>
    </r>
  </si>
  <si>
    <t>5. SUPPORT ET DISPONIBILITE</t>
  </si>
  <si>
    <r>
      <t xml:space="preserve">Cet onglet vise à collecter des renseignements sur les modalités d'accès au support et les principaux métriques de "haute disponibilité" de la solution.
</t>
    </r>
    <r>
      <rPr>
        <b/>
        <u/>
        <sz val="11"/>
        <color theme="1"/>
        <rFont val="Aptos Narrow"/>
        <family val="2"/>
        <scheme val="minor"/>
      </rPr>
      <t xml:space="preserve">Instructions : </t>
    </r>
    <r>
      <rPr>
        <sz val="11"/>
        <color theme="1"/>
        <rFont val="Aptos Narrow"/>
        <family val="2"/>
        <scheme val="minor"/>
      </rPr>
      <t xml:space="preserve">
Chaque ligne correspond à un question sur les services poposés et / ou leurs modalités principaleq.
Sélectionnez la valeur adéquate dans le champ </t>
    </r>
    <r>
      <rPr>
        <b/>
        <sz val="11"/>
        <color theme="1"/>
        <rFont val="Aptos Narrow"/>
        <family val="2"/>
        <scheme val="minor"/>
      </rPr>
      <t>"réponse" (colonne C)</t>
    </r>
    <r>
      <rPr>
        <sz val="11"/>
        <color theme="1"/>
        <rFont val="Aptos Narrow"/>
        <family val="2"/>
        <scheme val="minor"/>
      </rPr>
      <t>.</t>
    </r>
  </si>
  <si>
    <t>6. REFERENCES CLIENTS</t>
  </si>
  <si>
    <r>
      <t xml:space="preserve">L’onglet "Références" est destiné à recueillir quelques références pertinentes de clients actifs sur la solution, comparables aux Groupe Beaumanoir en termes de taille et secteur (idéalement), périmètre, contexte et complexité. 
</t>
    </r>
    <r>
      <rPr>
        <b/>
        <u/>
        <sz val="11"/>
        <color theme="1"/>
        <rFont val="Aptos Narrow"/>
        <family val="2"/>
        <scheme val="minor"/>
      </rPr>
      <t xml:space="preserve">Instructions : </t>
    </r>
    <r>
      <rPr>
        <sz val="11"/>
        <color theme="1"/>
        <rFont val="Aptos Narrow"/>
        <family val="2"/>
        <scheme val="minor"/>
      </rPr>
      <t xml:space="preserve">
Veuillez saisir  directement les informations relatives au compte client / projet dans les différents champs, si pertinent et / ou possible (du fait des questions de confidentialité).
</t>
    </r>
    <r>
      <rPr>
        <u/>
        <sz val="11"/>
        <color theme="1"/>
        <rFont val="Aptos Narrow"/>
        <family val="2"/>
        <scheme val="minor"/>
      </rPr>
      <t>Périmètre fonctionnel :</t>
    </r>
    <r>
      <rPr>
        <sz val="11"/>
        <color theme="1"/>
        <rFont val="Aptos Narrow"/>
        <family val="2"/>
        <scheme val="minor"/>
      </rPr>
      <t xml:space="preserve"> les domaines reflète les différents macro-besoins et macro-processus, et non un découpage modulaire. N'hésitez pas à nuancer / détailler votre réponse.</t>
    </r>
  </si>
  <si>
    <t>7. PARTENAIRES ET ECOSYSTEME</t>
  </si>
  <si>
    <r>
      <t xml:space="preserve">Cet onglet permet de collecter des métriques sur la disponibilité de votre solution auprès de partenaires intégrateurs en France, en Europe et dans le Monde. 
</t>
    </r>
    <r>
      <rPr>
        <b/>
        <u/>
        <sz val="11"/>
        <color theme="1"/>
        <rFont val="Aptos Narrow"/>
        <family val="2"/>
        <scheme val="minor"/>
      </rPr>
      <t>Instructions :</t>
    </r>
    <r>
      <rPr>
        <sz val="11"/>
        <color theme="1"/>
        <rFont val="Aptos Narrow"/>
        <family val="2"/>
        <scheme val="minor"/>
      </rPr>
      <t xml:space="preserve">
Veuillez saisir les réponses adéquates dans le champ </t>
    </r>
    <r>
      <rPr>
        <b/>
        <sz val="11"/>
        <color theme="1"/>
        <rFont val="Aptos Narrow"/>
        <family val="2"/>
        <scheme val="minor"/>
      </rPr>
      <t>"réponse" (colonne C)</t>
    </r>
  </si>
  <si>
    <t xml:space="preserve">8. ESTIMATIONS BUDGETAIRES </t>
  </si>
  <si>
    <r>
      <t xml:space="preserve">Cet onglet doit permettre de collecter de premières estimations macroscopiques, à partir d'abaques et de quelques données relatives au contexte du Groupe Beaumanoir, pour positionner la solution dans une fourchette de prix (dans l'absolu, et par rapport aux autres candidats).
</t>
    </r>
    <r>
      <rPr>
        <b/>
        <sz val="11"/>
        <color theme="1"/>
        <rFont val="Aptos Narrow"/>
        <family val="2"/>
        <scheme val="minor"/>
      </rPr>
      <t xml:space="preserve">il ne s'agit pas d'une propositon commerciale, et les estimations faites ici n'ont pas vocation à se substituer à une propositon en bonne et due forme.
</t>
    </r>
    <r>
      <rPr>
        <b/>
        <u/>
        <sz val="11"/>
        <color theme="1"/>
        <rFont val="Aptos Narrow"/>
        <family val="2"/>
        <scheme val="minor"/>
      </rPr>
      <t xml:space="preserve">
Rappel des éléments de contexte du Groupe Beaumanoir susceptibles d'impacter les coûts de déploiement et récurrents.</t>
    </r>
    <r>
      <rPr>
        <u/>
        <sz val="11"/>
        <color theme="1"/>
        <rFont val="Aptos Narrow"/>
        <family val="2"/>
        <scheme val="minor"/>
      </rPr>
      <t xml:space="preserve">
</t>
    </r>
    <r>
      <rPr>
        <sz val="11"/>
        <color theme="1"/>
        <rFont val="Aptos Narrow"/>
        <family val="2"/>
        <scheme val="minor"/>
      </rPr>
      <t xml:space="preserve">- 15 marques.
- Multi-sociétés, multi-canaux, multi-devises, clients français et internationaux.
- Volumes important de données référentielles et de transactions (voir ANNEXE 1 - Volumétrie GBM).
- 8 instances de STORELAND et 1 instance SAP (globale Boardriders) dont les données sont à reprendre et migrer.
- Une dizaine d'interfaces avec les applications existantes du Groupe (ce chiffre sera affiné ultérieurement).
- Un fort niveau de customization / personnalisation des règles de gestion attendu, notamment sur :
     - la gestion des stocks,
     - la gestion des règles de réassort (déclenchement, calcul du cloisage / des optimums logistiques (colis / bag VS picking)),
     - la gestion des allocations, et notamment les critères de calcul des priorités et de blocage.
- Un fort niveau d'automatisation / simplification dans le traitement en masse de certaines données (recherche et gestion de commandes d'achat).
- Le paramétrage / la customization de cockpits et d'outils d'aide au pilotage et à la décision (permettant des simulations et comparaison de scénarios).
</t>
    </r>
    <r>
      <rPr>
        <b/>
        <u/>
        <sz val="11"/>
        <color theme="1"/>
        <rFont val="Aptos Narrow"/>
        <family val="2"/>
        <scheme val="minor"/>
      </rPr>
      <t>Instructions :</t>
    </r>
    <r>
      <rPr>
        <sz val="11"/>
        <color theme="1"/>
        <rFont val="Aptos Narrow"/>
        <family val="2"/>
        <scheme val="minor"/>
      </rPr>
      <t xml:space="preserve">
Veuillez saisir les réponses adéquates dans le champ </t>
    </r>
    <r>
      <rPr>
        <b/>
        <sz val="11"/>
        <color theme="1"/>
        <rFont val="Aptos Narrow"/>
        <family val="2"/>
        <scheme val="minor"/>
      </rPr>
      <t>"estimations en K€" (colonne C)</t>
    </r>
    <r>
      <rPr>
        <sz val="11"/>
        <color theme="1"/>
        <rFont val="Aptos Narrow"/>
        <family val="2"/>
        <scheme val="minor"/>
      </rPr>
      <t xml:space="preserve"> et </t>
    </r>
    <r>
      <rPr>
        <b/>
        <sz val="11"/>
        <color theme="1"/>
        <rFont val="Aptos Narrow"/>
        <family val="2"/>
        <scheme val="minor"/>
      </rPr>
      <t>"réponse" (colonne C).</t>
    </r>
    <r>
      <rPr>
        <sz val="11"/>
        <color theme="1"/>
        <rFont val="Aptos Narrow"/>
        <family val="2"/>
        <scheme val="minor"/>
      </rPr>
      <t xml:space="preserve">
Les cases en bleu ciel sont des cellules de calcul dans lesquelles nous vous demandons de ne rien saisir.
</t>
    </r>
    <r>
      <rPr>
        <b/>
        <u/>
        <sz val="11"/>
        <color theme="1"/>
        <rFont val="Aptos Narrow"/>
        <family val="2"/>
        <scheme val="minor"/>
      </rPr>
      <t>A noter :</t>
    </r>
    <r>
      <rPr>
        <sz val="11"/>
        <color theme="1"/>
        <rFont val="Aptos Narrow"/>
        <family val="2"/>
        <scheme val="minor"/>
      </rPr>
      <t xml:space="preserve"> nous ne reprenons pas automatiquement les estimations de coûts complémentaires renseignées dans les onglets 1. Besoins fonctionnels (colonne F) et 2. Interfaces (colonne G), pour vous permettre de réaliser les optimisations adéquates.
Les estimations en ligne 5 (customization et développements spécifiques) et 6 (connecteurs et interfaces) doivent tout de même être considérées dans le calcul, puisque parties intégrantes de la couverture du besoin.</t>
    </r>
  </si>
  <si>
    <t>DOMAINE</t>
  </si>
  <si>
    <t>QUESTION</t>
  </si>
  <si>
    <t>REPONSE</t>
  </si>
  <si>
    <t>COMMENTAIRE (facultatif)</t>
  </si>
  <si>
    <t>Informations générales sur la société éditrice</t>
  </si>
  <si>
    <t>Nom de l’entreprise éditrice</t>
  </si>
  <si>
    <t>Chiffre d’affaires annuel total</t>
  </si>
  <si>
    <t>Chiffre d’affaires annuel en France</t>
  </si>
  <si>
    <t xml:space="preserve">Effectif total	</t>
  </si>
  <si>
    <t>Effectif en France</t>
  </si>
  <si>
    <t>Nombre de clients actifs dans le monde</t>
  </si>
  <si>
    <t>Nombre de clients actifs en France</t>
  </si>
  <si>
    <t>Principaux secteurs d'activité</t>
  </si>
  <si>
    <t>Informations générales sur la solution</t>
  </si>
  <si>
    <t>Nom de la solution ERP</t>
  </si>
  <si>
    <t>Version actuelle</t>
  </si>
  <si>
    <t>Date de sortie de la version actuelle</t>
  </si>
  <si>
    <t>Hébergement et mise à jour</t>
  </si>
  <si>
    <t>Type d'hébergement</t>
  </si>
  <si>
    <t>Fréquence moyenne de mise à jour majeure</t>
  </si>
  <si>
    <t>Fréquence moyenne de mise à jour mineure</t>
  </si>
  <si>
    <t>LISTE DES BESOINS FONCTIONNELS</t>
  </si>
  <si>
    <t>ESTIMATION COUTS SUPP.</t>
  </si>
  <si>
    <t>COMPLEMENTS (conseillés)</t>
  </si>
  <si>
    <t>I. Données référentielles</t>
  </si>
  <si>
    <t>Habiltations</t>
  </si>
  <si>
    <t>Gestion multi-sociétés, multi-entités</t>
  </si>
  <si>
    <t>Mutualisation contrôlée des accès et données : « mono- tenant »​</t>
  </si>
  <si>
    <t>YES. Couvert en standard (100%)</t>
  </si>
  <si>
    <t xml:space="preserve">L'accès aux données est contrôlé par la sécurité des rôles (niveau table, champ, entité légale), mais aussi potentiellement sur des critères liés à la data elle même (par exemple ne pouvoir consulter les données de ma catégorie de produit ou bien de mon centre de profit. Mais ces contrôles nécessitent une customisation avec le XDS - Framework data Security). A ce stade nous considérons que les rôles sans XDS suffisent. </t>
  </si>
  <si>
    <t>Modèle d’habilitations hiérarchisé : par rôle, société, entité juridique, marque, etc.​</t>
  </si>
  <si>
    <t>voir ci-dessus</t>
  </si>
  <si>
    <t>Pilotage centralisé des rôles et autorisations : interface d’administration unique, reporting  ​</t>
  </si>
  <si>
    <t>Réseaux et clients​</t>
  </si>
  <si>
    <t>Gestion des réseaux de vente​</t>
  </si>
  <si>
    <t>Prise en charge d’une arborescence réseau de vente (magasins, clients internes) multi- niveaux et multi- vues, en lien avec les systèmes POS</t>
  </si>
  <si>
    <t xml:space="preserve">La centralisation des informations clients est standard. Tous les types de clients sont stockés au même endroit, avec des spécifications de regroupement hiérarchique. Des hiérarchies organisationnelles (sans limite) peuvent être configurées selon les besoins, pour le regroupement de magasins, par exemple. </t>
  </si>
  <si>
    <t>Gestion d’une organisation FDV (interne / externe, transverse / exclusive ), dont territoires commerciaux</t>
  </si>
  <si>
    <t>D365 offre plusieurs options de groupement de clients, avec possibilité de les utiliser dans des reports.</t>
  </si>
  <si>
    <t>Hiérarchie comptes clients et données essentielles</t>
  </si>
  <si>
    <t>Prise en charge d’une hiérarchie de comptes clients multi- niveaux et multi- vues, en lien avec la CRM</t>
  </si>
  <si>
    <t xml:space="preserve">Il existe différentes options de configuration des hiérarchies des clients notamment en fonction de leur lien avec les conditions commerciales. Les intégrations avec des CRM externes et des  logiciels de visualisation de données (par exemple PowerBI) sont des customisations qui seront gérées à la création du client. Si les hiérarchies sont stables, alors il n'est pas toujours nécessaire de les interfacer (maintenance en parallèle dans les 2 systèmes. A voir en analyse). 
A ce stade nous prenons l'hypothèse que le standard conviendra. </t>
  </si>
  <si>
    <t>Gestion des données essentielles aux transactions et allocations​</t>
  </si>
  <si>
    <t>De nombreux détails spécifiques aux transactions peuvent être définis pour les clients. La définition pour l'allocation est couverte par K3.</t>
  </si>
  <si>
    <t>Contrôle de complétion et reporting sur fiches clients non conformes</t>
  </si>
  <si>
    <t>CUS. Couvert avec customization</t>
  </si>
  <si>
    <t>Small</t>
  </si>
  <si>
    <t>Le reporting est une customisation. A gérer optionnellement avec Copilot / Agentic AI  ou PowerBi en fonction des règles spécifiques.</t>
  </si>
  <si>
    <t>Articles</t>
  </si>
  <si>
    <t>Types d’articles et assortiments​</t>
  </si>
  <si>
    <t>Prise en charge de types d’articles multiples (prototypes, samples / CoVoy, etc.) et de paramètres spécifiques​</t>
  </si>
  <si>
    <t>Standard avec K3: gestion d'échantillon et PDM. Paramétrage standard fashion étendue.</t>
  </si>
  <si>
    <t>Gestion d’assortiments et critères multiples d’affectation aux magasins / à la hiérarchie magasins (en lien avec PLM et PIM + CRM)​</t>
  </si>
  <si>
    <t>Standard avec K3: gestion planification des gammes et allocation.</t>
  </si>
  <si>
    <t>Gestion de catalogues et critères multiples d’affectation aux comptes clients ​</t>
  </si>
  <si>
    <t>Standard avec K3: gestion d'allocation avec critères aux différents niveaux</t>
  </si>
  <si>
    <t>Variantes articles​</t>
  </si>
  <si>
    <t>Prise en charge de variantes articles permettant d’affecter différentes valeurs d’attributs à une même référence (ex : même article tshirt en coton, valeur d’attribut « composition » différente)​</t>
  </si>
  <si>
    <t>Dans K3: les détails des produits, tels que la composition, la saison, etc. sont au niveau de la référence/couleur. Ce sont des attributs standards au niveau de la référence produit.</t>
  </si>
  <si>
    <t>Prise en charge de variantes multiples d’un même article pour une même saison​</t>
  </si>
  <si>
    <t>Dans K3: les détails des produits, tels que la saison sont au niveau de la référence/couleur.</t>
  </si>
  <si>
    <t>Gestion des niveaux « variante » (détaillé) et « référence » (« agrégé ») sur l’ensemble des flux, traitements et données (historiques, commandes et transactions, stocks…) et possibilité de définir le niveau optimum de traitement / gestion, selon les cas​</t>
  </si>
  <si>
    <t>Standard avec K3: agrégation des transactions.</t>
  </si>
  <si>
    <t>Traçabilité des matières​</t>
  </si>
  <si>
    <t>En lien avec la gestion des variantes articles et les nomenclatures (cf achats et réservations matières) :​
-  Conserver dans les attributs, de chaque variante utilisée, les informations relatives à la matière : composition, origine, fournisseur, pays, etc.​
-  Maintenir la traçabilité sur l’ensemble des flux, traitements et données (historiques, commandes et transactions, stocks…) et possibilité de définir le niveau optimum de traitement / gestion, selon les cas.</t>
  </si>
  <si>
    <t>Dans K3 les informations telles que la composition, l'origine, les détails de traçabilité avec certification matière, le fournisseur, l'article... se trouvent aussi dans la nomenclature du produit.</t>
  </si>
  <si>
    <t>Hiérarchie articles et gestion MCT​</t>
  </si>
  <si>
    <t>Prise en charge native d’une hiérarchie articles adaptée au secteur : catégories, familles, groupes…</t>
  </si>
  <si>
    <t>La configuration des hiérarchies est sans limite, avec autant de niveaux que souhaité. Hiérarchie avec de nombreux détails pour paramétrer des valeurs par default.</t>
  </si>
  <si>
    <t>Prise en charge native d’articles Modèle- Coloris- Taille et des règles de gestion associées (dont références articles / SKU)</t>
  </si>
  <si>
    <t>Hiérarchie avec de nombreux détails pour paramétrer des valeurs par default., et aussi pour M/C/T avec K3.</t>
  </si>
  <si>
    <t>Possibilité de gérer plusieurs hiérarchies Produit​</t>
  </si>
  <si>
    <t xml:space="preserve">La configuration des hiérarchies est sans limite, avec autant de niveaux que souhaité. </t>
  </si>
  <si>
    <t>Poid des articles</t>
  </si>
  <si>
    <t>Prise en charge des poids des articles, dans leurs différentes variantes.​</t>
  </si>
  <si>
    <t>Le poids au niveau article est standard, néanmoins au niveau variantes, c'est une extension.</t>
  </si>
  <si>
    <t>Articles de regroupements</t>
  </si>
  <si>
    <t>Prise en charge de types d’articles de regroupement (packs et assimilés, ex : X- t- shirts), à la vente et / ou en gestion sur les différentes étapes du flux​</t>
  </si>
  <si>
    <t>K3 offre la gestion des 'prepacks', avec un flux standard vers les boutique.</t>
  </si>
  <si>
    <t>Gestion de SKU / références spécifiques à ces articles de regroupement (ex : pack de X t- shirts)​</t>
  </si>
  <si>
    <t>La fonctionnalité prepack K3 est basée sur la logique des références spécifique par prepack, différent que les références dans les prepack.</t>
  </si>
  <si>
    <t>Conservation des SKU / références unitaires pour les articles regroupés (ex : chaque référence t- shirt entrant dans le pack)​</t>
  </si>
  <si>
    <t>Fonctionnalité prepack K3 basée sur la logique des références spécifique par prepack, différent que les références dans les prepack.</t>
  </si>
  <si>
    <t>Prise en charge d’attributs et de valeurs spécifiques aux articles de regroupement, dont spécifique (et règle de répartition du prix « packagé » sur les articles unitaires)​</t>
  </si>
  <si>
    <t>La fonctionnalité prepack K3 est basée sur la logique des valeurs spécifiques et la spécification des valeurs automatique avec la possibilité de changements manuels. La logique aussi contient de la fonctionnalité pour des différences des valeurs, ce que peut arriver. Identification du stock aux niveau d'article unité et prepack inclus, et l'intégration avec la service standard 'inventory visibilité'.</t>
  </si>
  <si>
    <t>Autres articles et prestations (upcharges)​</t>
  </si>
  <si>
    <t>Prise en charge de prestations de service additionnelles et des différents modes de tarification / facturation associés​</t>
  </si>
  <si>
    <t>Il y a la possibilité de configurer des charges automatiques, ou bien d'utiliser des charges manuelles avec configuration d'inclusion pour la facturation.</t>
  </si>
  <si>
    <t>Gestion de règles d’ajout manuel et automatique de prestations complémentaires, sous conditions / paramètres gérés dans l’ERP</t>
  </si>
  <si>
    <t>Il y a la possibilité de configurer des charges automatiques, ou bien d'utiliser des charges manuelles avec configuration d'inclusion pour la facturation.  Avec K3,  il existe des règles de configuartion par catégorie des ventes possible.</t>
  </si>
  <si>
    <t>Définition des prestations / coûts considérés comme « entrée » ou « sortie » (coefficients de calcul du prix de revient).​</t>
  </si>
  <si>
    <t>Eléments des couts et calcul du prix de revient et des autres prix configurables. Avec K3, plus de facteurs possibles et des calculs plus complexes.</t>
  </si>
  <si>
    <t>Déclenchement automatique des évènements de facturation associés</t>
  </si>
  <si>
    <t>Déclenchement automatique des évènements de facturation associés.</t>
  </si>
  <si>
    <t>VAS (Value Added Services)​</t>
  </si>
  <si>
    <t>Prise en charge de Services à Valeur Ajoutée​</t>
  </si>
  <si>
    <t>Les Services à Valeur Ajoutée​ peuvent être connectée à des articles, afin de les associer automatiquement. Mais une spécification manuelle par vente est également possible.</t>
  </si>
  <si>
    <t>Gestion de règles d’ajout manuel et automatique de VAS, sous conditions / paramètres gérés dans l’ERP​</t>
  </si>
  <si>
    <t>Les Services à Valeur Ajoutée​ peuvent être connectés et configurables comme charge, avec des règles configurables.</t>
  </si>
  <si>
    <t>Grilles de tailles​</t>
  </si>
  <si>
    <t>Prise en charge de multiples types, dimensions et unités de taille, adaptées au secteur textile (bonnet, longueur de jambe, demi- pointure, etc).</t>
  </si>
  <si>
    <t>Avec K3 la taille peut être associée au vendeur / client. Par ailleurs, les tailles peuvent être regroupées par type.</t>
  </si>
  <si>
    <t>Gestion d’une taille principale (ex : taille 40) et de dimensions associées (ex : tour de taille, jambe, cheville, etc.) ​</t>
  </si>
  <si>
    <t>Standard avec K3 gestion des mesures.</t>
  </si>
  <si>
    <t>Gestion d’index et de valeurs de tailles (ex : 1=XXS, 2=XS, 3=S…) associés aux différentes typologies articles​</t>
  </si>
  <si>
    <t>Dans K3 il y a une fonctionnalité de traduction des tailles / couleurs et valeur externe des tailles / couleurs.</t>
  </si>
  <si>
    <t>Possibilité de modifier les grilles de tailles, y compris l’ajout ou la suppression de tailles (sans création d’un nouvel article / SKU).​</t>
  </si>
  <si>
    <t>Les grilles de tailles K3, couvrent toutes les tailles dans le groupe, avec la flexibilité d'ajouter ou supprimer des tailles, tant qu'il n'y a pas des transactions avec la dite taille.</t>
  </si>
  <si>
    <t>Gestion d’un ordre d’apparition des tailles dans une grille, indépendante de l’index (ex : si XXL = indice 2 = ordre d’apparition 6)​</t>
  </si>
  <si>
    <t>Inclus dans K3 Fashion.</t>
  </si>
  <si>
    <t>Prise en charge de tables et règles de correspondance de tailles entre les différentes normes marchés / pays.​</t>
  </si>
  <si>
    <t xml:space="preserve">Gestion des données d’étiquetage </t>
  </si>
  <si>
    <t>Gestion des données d’étiquetage handtags : template / ID document, valeurs (prix, devises, tailles) et index.​</t>
  </si>
  <si>
    <t>La création d'étiquettes par template est possible avec le standard. Normalement des extensions sont nécessaires pour les variantes des étiquettes et la communication avec le matériel pour imprimer.</t>
  </si>
  <si>
    <t>Règles multicritères (canal, client, commande, etc.) de sélection des tailles à afficher sur les étiquettes, parmi les tailles disponibles.​</t>
  </si>
  <si>
    <t>Ce type des règles multicritères sont une extension.</t>
  </si>
  <si>
    <t xml:space="preserve"> Prix et promotions</t>
  </si>
  <si>
    <t>Gestion des prix et conditions​</t>
  </si>
  <si>
    <t>Prise en charge d’une gestion des prix multicritère​</t>
  </si>
  <si>
    <t>Beaucoup de critères et combinaisons des critères sont possibles.</t>
  </si>
  <si>
    <t>Gestion verticale et horizontale sur les canaux, hiérarchies clients et réseaux de vente​</t>
  </si>
  <si>
    <t>Avec des groupes des prix, et des spécifications de prix avec des attributs (unifié price management), options presque sans limite.</t>
  </si>
  <si>
    <t>Gestion verticale, avec application en masse (nœud parent &gt; enfants) et exceptions (ex : si condition active au nœud enfant, elle remplace le nœud parent).​</t>
  </si>
  <si>
    <t>En Standard, le niveau plus précis s'applique.</t>
  </si>
  <si>
    <t>Gestion horizontale/ transverse, via des règles de segmentation.​</t>
  </si>
  <si>
    <t>Avec des groupes de prix, et des spécifications des prix avec des attributs (unifié price management), options presque sans limite.</t>
  </si>
  <si>
    <t>Gestion à la saison et sur une période donnée (date limite).​</t>
  </si>
  <si>
    <t>Prix spécifié par saison avec K3.</t>
  </si>
  <si>
    <t xml:space="preserve">Prise en charge d’un PVI (Prix de Vente initial) applicable sur tout ou partie des canaux et défini comme prix de référence pour l’article. </t>
  </si>
  <si>
    <t>En standard, le niveau plus précis s'applique. Le prix sur l'article sans spécification, c'est le PVI.</t>
  </si>
  <si>
    <t>Possibilité d’appliquer des prix différents / spécifiques à certains nœuds (magasin, client, canal…) sans modification du prix de vente initial.​</t>
  </si>
  <si>
    <t>En standard, le niveau le plus précis s'applique. Le prrix général n'interfère pas avec des prix plus spécifiques.</t>
  </si>
  <si>
    <t>Gestion de la devise de commande: Prise en charge d’index de référence (mise à jour automatique).​</t>
  </si>
  <si>
    <t>Standard, avec la possibilité d'intégrer avec des services gratuits.</t>
  </si>
  <si>
    <t>Gestion de la devise de commande: Possibilité de gestion / saisie manuelle de taux.​</t>
  </si>
  <si>
    <t>Standard. La saisie manuelle est possible.</t>
  </si>
  <si>
    <t>Gestion de la devise de commande: Possibilité d’ajouter un markup sur les taux appliqués (depuis un index ou un taux saisi manuellement), sur différents niveaux de la hiérarchie produit.​</t>
  </si>
  <si>
    <t xml:space="preserve">Les Markup automatique sur les taux est une extension. Mais il serait possible de générer des liste de prix pasr client / poduit dans la devise adhoc et appliquer le markup. 
Nous prenons l'hypothèse que cette solution de contournement conviendra. Cette solution a l'avantage de pouvoir appliquer des règles d'arrondis par seuil si besoin. </t>
  </si>
  <si>
    <t>Possibilité de saisir des prix fixes en devise (indépendamment des taux).​</t>
  </si>
  <si>
    <t>Prix spécifié en devise possible.</t>
  </si>
  <si>
    <t>Gestion des arrondis psychologiques, sur la base de règles de gestion paramétrables.​
- Ajustement automatique / propositions d’ajustement par le système.​
- Règles d’application / de conversion en devises et sur les marchés internationaux.</t>
  </si>
  <si>
    <t>Règles d'arrondi disponibles en standard. Avec K3 intégrée avec des prix de promotions.</t>
  </si>
  <si>
    <t>Possibilité d’ajouter un markup sur les taux appliqués (depuis un index ou un taux saisi manuellement), sur différents niveaux de la hiérarchie produit.​</t>
  </si>
  <si>
    <t>Calcul des prix avec markup avec K3, en utilisant une hiérarchie.</t>
  </si>
  <si>
    <t>Gestion de coefficients prix d’entrée et de sortie (coefficient simulant les surcoûts à appliquer sur prix d’achat, avant l’arrivée en entrepôt (surcoûts logistiques, etc.) et en sortie d’entrepôt (suite opérations et traitements sur plateformes)).</t>
  </si>
  <si>
    <t>Disponible avec K3</t>
  </si>
  <si>
    <t>Historisation et traçabilité des prix de vente par modèle- coloris et par devise, aux différents niveaux et nœuds.​</t>
  </si>
  <si>
    <t xml:space="preserve">L'historisation des prix est toujours disponible, aux niveaux spécifiés. </t>
  </si>
  <si>
    <t>Gestion promotionnelle​</t>
  </si>
  <si>
    <t>Gestion centralisée et multicritère des opérations promotionnelles (prix, quantités, gratuité, etc.)​</t>
  </si>
  <si>
    <t>Plusieurs outils disponibles. Gestion des prix unifiées très étendue.</t>
  </si>
  <si>
    <t>Gestion verticale et horizontale des conditions sur les canaux, hiérarchies clients et réseaux de vente​</t>
  </si>
  <si>
    <t>Hiérarchies des articles / clients / canaux peuvent être utilisée pour des promotions. Gestion des prix unifiées avec possibilités presque sans limite.</t>
  </si>
  <si>
    <t>Gestion à la saison et/ou dates de validité définies, et sur les différentes dimensions (organisation, canal, client, article…)​</t>
  </si>
  <si>
    <t>Prix par saison avec K3. La date de validité des prix  jusqu'au niveau des heures est possible.</t>
  </si>
  <si>
    <t>Gestion de paliers / niveaux de remises, application en cascade, prix barrés, articles offerts sous conditions…</t>
  </si>
  <si>
    <t>Possibilité d’appliquer des conditions promotionnelles / de remise sur les prix de référence et / ou sur un prix remisé / promotionnel (conditions en cascade).​</t>
  </si>
  <si>
    <t>Remises et conditions contractuelles​</t>
  </si>
  <si>
    <t>Prise en charge de conditions contractuelles et de conditions de remises (sur devis / commande, sur facture ou pied de facture, immédiates ou différées (progression CA, RFA) =&gt; automatique, ou simplifiée via des rapports)</t>
  </si>
  <si>
    <t>Avec contrat de vente, gestion des rabais.</t>
  </si>
  <si>
    <t>Avec regroupement des clients.</t>
  </si>
  <si>
    <t>En Standard le niveau le plus précis s'applique.</t>
  </si>
  <si>
    <t>Gestion Horizontale/ transverse, via des règles de segmentation.​</t>
  </si>
  <si>
    <t>Segmentation des clients possible.</t>
  </si>
  <si>
    <t>Gestion à la saison et sur une période donnée (date limite)​</t>
  </si>
  <si>
    <t>Contrat de vente et gestion des rabais au niveau de la saison est une extension.</t>
  </si>
  <si>
    <t>Conditions logistiques</t>
  </si>
  <si>
    <t>Conditions d’approvisionnement​</t>
  </si>
  <si>
    <t>Prise en charge de conditions d’approvisionnement multiples (Fournisseurs, Articles, Route logistique​, Entrepôt et plateforme d’arrivée​ ,Modes de transport​, Conditions de colisage​)</t>
  </si>
  <si>
    <t>Prise en charge de jalons multiples : remise transitaire, remise transporteur, arrivée quai, arrivée entrepôt…</t>
  </si>
  <si>
    <t>Le module Landed cost de D365 FO permet de modéliser et suivre tous les jalons logistiques d’un approvisionnement international ou complexe.
Il permet notamment de :
Créer des voyages liés aux commandes d’achat.
Définir des jalons (ex. remise transitaire, départ port, arrivée quai…).
Suivre l’avancement réel par jalon.
Répartir automatiquement les coûts logistiques (fret, douane, assurance…) dans le coût de revient des articles.
C’est la solution standard recommandée pour gérer des approvisionnements multi-étapes avec visibilité, traçabilité et précision des coûts.</t>
  </si>
  <si>
    <t>Calcul automatique des lead times associés (Possibilité de définir / ajouter des buffers et marges d’erreur sur les lead times calculés.)</t>
  </si>
  <si>
    <t>Landed Cost</t>
  </si>
  <si>
    <t>Conditions de livraison</t>
  </si>
  <si>
    <t>Prise en charge de conditions de livraison multiples (Clients,Entrepôt et plateforme de départ​,Articles,Route logistique​,Modes de transport​,Conditions de colisage​)</t>
  </si>
  <si>
    <t>Avec les instructions d'articles sur K3.</t>
  </si>
  <si>
    <t>Prise en charge de jalons multiples : préparation, mise en expédition, remise transporteur, remise au client estimée…​</t>
  </si>
  <si>
    <t>Le module TMS de D365 FO permet de gérer les différentes étapes logistiques d’une expédition client grâce à :
La gestion des charges (Loads) et expéditions (Shipments) pour suivre la préparation et la mise en expédition.
L’affectation automatique d’un transporteur et d’un mode de transport.
La définition d’étapes logistiques (itinerary stops) incluant :
Remise au transporteur,
Livraison client estimée (ETA).
Le suivi du statut des expéditions via des événements (tracking status).
L’intégration possible avec des transporteurs pour suivi temps réel et preuve de livraison (POD).
TMS permet ainsi un suivi structuré et standardisé de chaque jalon, depuis la préparation jusqu’à la livraison finale, avec estimation des dates et optimisation des coûts de transport.</t>
  </si>
  <si>
    <t>Calcul automatique des lead times associés​ ( Possibilité de définir / ajouter des buffers et marges d’erreur sur les lead times calculés.)</t>
  </si>
  <si>
    <t>Le module TMS de D365 FO permet de définir des règles de calcul de lead time par mode de livraison, toutefois l'ajout de buffer nécessiterait une Customisation</t>
  </si>
  <si>
    <t>Unités logistiques et colisage​</t>
  </si>
  <si>
    <t>Prise en charge de différents modes de colisage et des calculs / règles permettant de les déterminer​</t>
  </si>
  <si>
    <t>Le WMS standard de F&amp;O permettra de définir les règles de colisages qui seront transmises au WMS externe.</t>
  </si>
  <si>
    <t>Prise en charge de références / d’objets spécifiques permettant d’identifier les articles et quantités en colis (non disponibles en vrac)​</t>
  </si>
  <si>
    <t xml:space="preserve">Il est possible voir le stock d'un sku et vrac et aussi déjà conditionné en colis assorti. </t>
  </si>
  <si>
    <t>Prise en charge des articles de regroupement et de leurs spécificités dans le calcul des colisages (référence spécifique, non- séparable, etc.)</t>
  </si>
  <si>
    <t>Il existe une article associé à chaque type de colis assorti, et donc tout le paramétrage d'un article en vue de coliser les colis assortis
Il est possible de défaire un colis assorti et remettre les unités en stock "vrac"</t>
  </si>
  <si>
    <t>Possibilité de définir des modes de colisage réservés aux packs, au vrac, hybrides, etc.​</t>
  </si>
  <si>
    <t xml:space="preserve">Le mode de colisage peut être défini pour les produits (le colis assorti est un produit). Ces données sont utilisés par le WMS de D365, mais pourront être transférées au WMS externe par interfaces. </t>
  </si>
  <si>
    <t>Calcul des poids des articles colisés, à partir des poids des articles unitaires et d’un poids d’emballage.​</t>
  </si>
  <si>
    <t xml:space="preserve">Les colis assortis sont "techniquement" créés comme des nomenclature. Ils héritent donc des fonctionnalités classique des nomenclatures, dont le calcul du poids. </t>
  </si>
  <si>
    <t>Mode de conditionnement​</t>
  </si>
  <si>
    <t>Prise en charge de différents modes de conditionnement (à plat, suspendu, sans emballage, etc.). ==&gt; Lors des différentes étapes : transport, entrepôt, magasin…​</t>
  </si>
  <si>
    <t xml:space="preserve">Une customisation est à prévoir pour renseigner les conditionnements potentiellement différentes étapes. Nous comprenons que les processus associés à ces conditionnements seront gérés dans le WMS externe et non dans l'ERP, cela simplifie donc la customisation. </t>
  </si>
  <si>
    <t>Prise en charge de notions de « standard » et « hors standard » pour chacun des modes de conditionnement.​</t>
  </si>
  <si>
    <t>Sera couvert dans le point de customisation au dessus. Ligne 80</t>
  </si>
  <si>
    <t>Gestion des paramètres et attributs associés, permettant les calculs et traitements logistiques associés (modes de transport, prix, lead time, etc.).​</t>
  </si>
  <si>
    <t>Le calcul devra être fait dans le WMS. A défaut il conviendra d'envoyer à D365 les éléments afin de calculer ces élements en utilisant les fonctionnalités du WMS / TMS intégrés. Cette approche ne nous semble pas être "best practice"</t>
  </si>
  <si>
    <t>Calcul des poids ajustés par type de conditionnement.​</t>
  </si>
  <si>
    <t xml:space="preserve">Le calcul du poids effectif devra être fait dans le WMS. A défaut il conviendra d'envoyer à D365 le conditionnement effectif afin de calculer ces élements en utilisant les fonctionnlaités du WMS intégré. </t>
  </si>
  <si>
    <t>ADV et facturation</t>
  </si>
  <si>
    <t>Données de facturation client​</t>
  </si>
  <si>
    <t>Prise en charge d’un champ dédié à l’acceptation des CGV (en lien avec la CRM) =&gt; si non géré à chaque commande.​</t>
  </si>
  <si>
    <t xml:space="preserve">Une solution de contournement sera proposée en utilisant par exemple attache les CGV au compte compte client ou autre.  </t>
  </si>
  <si>
    <t>Gestion des templates de factures par client / typologie de client : ID template, champs standards et spécifiques.​</t>
  </si>
  <si>
    <t xml:space="preserve">Un modèle peut être attaché à un client, éventuellement modifié pour une commande. Chaque modèle est généralement une variante d'un master. </t>
  </si>
  <si>
    <t>Gestion de la devise de commande et de facturation (cf gestion des prix dans cette section et « ADV, finance et comptabilité).​</t>
  </si>
  <si>
    <t>La gestion des devises par client avec calcul automatique et facturation, c'est du standard. La Gestion multidevises, pour finance et comptabilité c'est également dustandard.</t>
  </si>
  <si>
    <t>Mode d’envoi de la facture au client (direct, coffre- fort électronique, via CRM / portail client).​</t>
  </si>
  <si>
    <t>La spécification du mode de communication, c'est du standard avec e-mail. La communication viale portail client et système CRM, est une extension.</t>
  </si>
  <si>
    <t>Général</t>
  </si>
  <si>
    <t>Workflow de mise à jour des données​</t>
  </si>
  <si>
    <t>Prise en charge de workflows de mise à jour des données, selon le niveau de sensibilité​ (En lien avec la gestion des habilitations​)</t>
  </si>
  <si>
    <t>Différents types de workflows sont disponibles dans le standard, nous prenons l'hypothèse que les workflows standards couvriront les besoins. Au besoin , il est possible d'en créer de nouveaux, soit dans la solution (Dev), soit en utilisant la powerplatform (Cus)</t>
  </si>
  <si>
    <t>Contrôle de cohérence des données ERP-autres sources​</t>
  </si>
  <si>
    <t>Prise en charge d’un contrôle de cohérence entre les données présentes dans l’ERP et les données arrivant (par chargement ou interfaces) d’autres sources (données institutionnelles / invariables / sensibles).​</t>
  </si>
  <si>
    <t>DEV. Développement spécifiques requis</t>
  </si>
  <si>
    <t>Medium</t>
  </si>
  <si>
    <t xml:space="preserve">Ce type de contrôle est normalement fait dans l'intergiciel, c'est de la customisation.  Le contrôle des imports/exports de D365 est fait avec la gestion des données DMF du standard, avec des Dashboard et des infos des enregistrements des erreurs. </t>
  </si>
  <si>
    <t>Etat de reporting / cockpit de revue des anomalies et écarts.​</t>
  </si>
  <si>
    <t>Possibilité de déclencher ou bloquer des traitements (ex : commande) en cas d’écart sur certaines données.​</t>
  </si>
  <si>
    <t>II. Saisons, Permanents et carry-overs</t>
  </si>
  <si>
    <t>Articles saisonniers​</t>
  </si>
  <si>
    <t>Dimensions Saison​</t>
  </si>
  <si>
    <t>Possibilité de créer des Saisons de gestion indépendantes​</t>
  </si>
  <si>
    <t>Avec K3 gestion des saisons étendue.</t>
  </si>
  <si>
    <t>Dates de validité par Saison, avec possibilité de chevauchement​ ( Point d’attention : prévoir, pour un même produit, des saisons différentes de commande, vente, achat, catalogue…)</t>
  </si>
  <si>
    <t>Gestion de la saisonnalité dans K3 avec une fenêtre de disponibilité selon des dates spécifiques dans la saison. Le statut du produit spécifique les différents étapes du cycle de vie des produits, ce que spécifique les période d'achat, achat d'échantillon, etc.</t>
  </si>
  <si>
    <t>Possibilité de rattachement multi- saisons (actives en même temps)​</t>
  </si>
  <si>
    <t>La saisonnalité dans K3 offre la possibilité de spécifier la saison au niveau article / couleur. Il n'y a pas de limite sur la quantité de saisons aux deux niveaux.</t>
  </si>
  <si>
    <t>Prise en charge de saisons croisées (ex : SS Europe vs AW Océanie)​</t>
  </si>
  <si>
    <t>Il est possible de spécifier la saison par pays, avec des dates différentes. Le statut du produit peut aussi être spécifier par pays, parce que la saisonnalité variée d'un pays à l'autre..</t>
  </si>
  <si>
    <t>Données référentielles à la saison​</t>
  </si>
  <si>
    <t>Articles et attributs (Point d’attention : plusieurs variantes / valeurs d’attributs possibles au sein d’une même saison​)</t>
  </si>
  <si>
    <t>La valeur des attributs peuvent être spécifiés au niveau de la couleur, change le valeur sur tous les variantes. C'est possible changer des valeurs des attributs. Avoir des valeurs différents au même temps, applicables au saison spécifié, c'est une extension du standard.</t>
  </si>
  <si>
    <t>Fournisseurs</t>
  </si>
  <si>
    <t>La spécification des fournisseurs et d'usine, est combiné avec une période de validité.</t>
  </si>
  <si>
    <t>Clients</t>
  </si>
  <si>
    <t>La spécification des clients, est combiné avec une période de validité, ainsi que les conditions des ventes, la mise en attentes des clients, etc.</t>
  </si>
  <si>
    <t>Prix de vente / conditions de vente, dont remises​</t>
  </si>
  <si>
    <t>La spécification des conditions des prix des ventes et remises,est combiné avec une période de validité.</t>
  </si>
  <si>
    <t>Prix d’achat / conditions d’achat, dont remises​</t>
  </si>
  <si>
    <t>La spécification des conditions des prix d'achet et remises, est combiné avec une période de validité.</t>
  </si>
  <si>
    <t>Paramètres de gestion à la saison​</t>
  </si>
  <si>
    <t>Conditions et paramètres logistiques​</t>
  </si>
  <si>
    <t>La spécification de la gestion logistique avec des différences par saison, est une extension.</t>
  </si>
  <si>
    <t>Règles de gestion des stocks​</t>
  </si>
  <si>
    <t>La spécification de la gestion des stock avec des différences par saison, c'est une extension.</t>
  </si>
  <si>
    <t>Règles d’allocation​</t>
  </si>
  <si>
    <t>La gestion d'allocation avec la planification des gammes peut être définie au niveau de saison.</t>
  </si>
  <si>
    <t>Transactions à la saison ​</t>
  </si>
  <si>
    <t>Commandes de vente​</t>
  </si>
  <si>
    <t>Saisonnalité au niveau des commandes avec K3.</t>
  </si>
  <si>
    <t>Commandes d’achat​</t>
  </si>
  <si>
    <t>Autres transactions associées (livraisons, retours, etc)​</t>
  </si>
  <si>
    <t>Stocks saisonniers​</t>
  </si>
  <si>
    <t>Affectation des stocks à une saison donnée.​
-  En lien avec la gestion des commandes (ex : achat et constitution d’un stock AH25 en cours de saison (calendaire) SS25).​</t>
  </si>
  <si>
    <t>Saisonnalité K3 inclus dans la planification et exécution des transactions. L'affectation peut être sélectionnée sur des transactions spécifiées avec la saison.</t>
  </si>
  <si>
    <t>Possibilité de bascule en masse (manuelle ou automatique) des stocks d’une saison à l’autre.​</t>
  </si>
  <si>
    <t xml:space="preserve">La notion de stockage au niveau des saisons, est peut-être une extension si la notion (standard) de batch n'est finalement pas applicable. On peut vérifier si l'extension est nécessaire ou si nous pouvons couvrir votre besoin avec le standard. Des journaux de stock pourront permettre de basculer les quantité stock 
La bascule </t>
  </si>
  <si>
    <t>Définition de règles permettant (ou non) l’utilisation transverse / trans- saisonnière des stocks.​</t>
  </si>
  <si>
    <t xml:space="preserve">La notion de stockage au niveau des saisons, est une extension. On peut vérifier si l'extension est nécessaire ou si nous pouvons couvrir votre besoin avec le standard. Le standard offre la notion de 'Ringfencing' (séparation virtuelle), pour réserver du stock pour certain(e)s saisons / canaux.
A ce stade nous prenons l'hypothèse que le Ringfencing permettra de couvrir le besoin métier, mais d'une autre façon. </t>
  </si>
  <si>
    <t>Etat de stock​</t>
  </si>
  <si>
    <t>Etat détaillé des stocks à la date définie, transverse​</t>
  </si>
  <si>
    <t>Les vues standard existent dans D365 ou bien exportable ou bien dans des dashboard PowerBi. 
Ces dernières vues peuvent être modifées avec PowerBi, pour avoir une solution flexible et facile de réaliser.</t>
  </si>
  <si>
    <t>Agrégé ou détaillé sur les différents niveaux de la hiérarchie produit et de l’organisation​</t>
  </si>
  <si>
    <t>La notion de stockage au niveau des saisons, est une extension. On peut vérifier si l'extension est nécessaire ou si nous pouvons couvrir votre besoin avec le standard. Le standard offre la possibilité de filtrer les articles par saison et voir les détails de stock nécessaires.</t>
  </si>
  <si>
    <t>Agrégé ou détaillé sur les saisons d’allocations (voir synthèse des besoins « allocations ») = « stock à la saison »​</t>
  </si>
  <si>
    <t>Reporting saisonnier intégré​</t>
  </si>
  <si>
    <t>Tableaux de bord et indicateurs de performance (ventes, couverture, taux d’écoulement) filtrables par saison​</t>
  </si>
  <si>
    <t>Plusieurs Dashboard disponibles avec K3. Saisonnalité inclus.</t>
  </si>
  <si>
    <t>Carry-over</t>
  </si>
  <si>
    <r>
      <t xml:space="preserve">Carry-over –  articles multi-saisons​
</t>
    </r>
    <r>
      <rPr>
        <sz val="10"/>
        <rFont val="Aptos Display"/>
        <family val="2"/>
        <scheme val="major"/>
      </rPr>
      <t>(en lien avec la gestion des variantes)</t>
    </r>
  </si>
  <si>
    <t>Reprise d’articles d’une saison sur une autre, contiguë ou non (SS =&gt; SS N+1) en conservant l’historique, les caractéristiques- clés et la traçabilité = rattachement multi- saisons​</t>
  </si>
  <si>
    <t xml:space="preserve">La logique standard de K3 permet d'ajouter plusieurs saisons au même article / à la même couleur. S'il n'y a qu'une seule saison c'est la saison par default. Cela permet d'avoir des carry-overs avec un seul article. </t>
  </si>
  <si>
    <t>Gestion d’un critère « carry- over » permettant d’identifier et gérer ces articles, avec règle de reconduction​</t>
  </si>
  <si>
    <t>Carry-over –  paramètres de gestion spécifiques​</t>
  </si>
  <si>
    <t>Possibilité de définir des paramètres de gestion spécifiques aux articles « carry- over » (attribut / typologie spécifique ?) au sein d’une saison = critère d’application / de gestion​</t>
  </si>
  <si>
    <t>Combiner la saison avec le statut du produit.</t>
  </si>
  <si>
    <t>Etat de stock sur produits non reconduits​</t>
  </si>
  <si>
    <t>Etat détaillé des stocks résiduels sur les articles rattachés aux saisons précédentes, mais pas à la dernière ouverte =&gt; identifier carry- over potentiels​</t>
  </si>
  <si>
    <t>Filtrer les articles par saison c'est du standard</t>
  </si>
  <si>
    <t>Bascule des stocks de produits non reconduits​</t>
  </si>
  <si>
    <t>Identification des stocks de produits non reconduits (via l’état de stock ci- dessus)​</t>
  </si>
  <si>
    <t>La notion de stockage au niveau de la saison est une extension. On peut vérifier si l'extension est nécessaire ou si nous pouvons couvrir votre besoin avec le standard.</t>
  </si>
  <si>
    <t>Possibilité de gérer facilement une bascule totale ou partielle de ces stocks vers la saison suivante ==&gt; Sélection et traitement en masse (pas de transaction unitaire, référence par référence​), Saisie des quantités à basculer​</t>
  </si>
  <si>
    <t>La notion de stockage a niveau de saison, c'est une extension. On peut vérifier si l'extension c'est nécessaire où nous pouvons couvrir votre besoins avec le standard.</t>
  </si>
  <si>
    <t>Attribution automatique d’un champ Carry-over​</t>
  </si>
  <si>
    <t>Permettre d’affecter automatiquement à la saison en cours / une saison ultérieure les articles rattachés aux saisons précédentes et disposant encore de quantités en stock + activation d’un champ carry- over (incompatible avec Permanent)
     -  prévoir les cas de C- O « S+1 » (saison suivante) et « N+1 » (même saison, N+1).</t>
  </si>
  <si>
    <t>Processus semi-automatique: sélection manuelle des articles, et assignation des saisons automatique.</t>
  </si>
  <si>
    <t>Permanents</t>
  </si>
  <si>
    <r>
      <t xml:space="preserve">Permanents –  articles multi-saisons (ou « hors saison »)​
</t>
    </r>
    <r>
      <rPr>
        <sz val="10"/>
        <rFont val="Aptos Display"/>
        <family val="2"/>
        <scheme val="major"/>
      </rPr>
      <t>(en lien avec la gestion des variantes)</t>
    </r>
  </si>
  <si>
    <t>Reprise automatique d’articles d’une saison à l'autre en conservant l’historique, les caractéristiques- clés et la traçabilité = rattachement multi- saisons​</t>
  </si>
  <si>
    <t>Dans la spécification des saisons, on peut indiquer 'NOOS' (=saison permanente=hors saison).</t>
  </si>
  <si>
    <t>Gestion d’un critère « permanent » permettant d’identifier et gérer ces articles, avec règle de reconduction​</t>
  </si>
  <si>
    <t>Dans la spécification des saisons, on peut indiquer 'NOOS' (=saison permanente=hors saison). L'indication NOOS permet de gérer les articles librement avec les articles saisonnières.</t>
  </si>
  <si>
    <t>Saison « permanente »</t>
  </si>
  <si>
    <t>Prise en charge d’une saison « permanente », transverse, reprenant le fonctionnement des saisons temporaires et compatible avec celle- ci dans son fonctionnement et ses paramètres de gestion​</t>
  </si>
  <si>
    <t>Prise en charge, pour un même produit, des saisons différentes par canal de vente (permanent en Retail, saisonnier en Wholesale)</t>
  </si>
  <si>
    <t>Manuellement, il est possible de spécifier les saisons au  niveau du canal. Automatiquement, on peut indiquer une saison comme saison par default, pour tous les transactions.
A ce stade de notre compréhension du besoin, nous pensons que cette solution conviendrait</t>
  </si>
  <si>
    <t>Permanents –  paramètres de gestion spécifiques​</t>
  </si>
  <si>
    <t>Possibilité de définir des paramètres de gestion spécifiques aux articles « permanents » (attribut / typologie spécifique ?) au sein d’une saison = critère d’application / de gestion​</t>
  </si>
  <si>
    <t>Prise en charge de la saisonnalité dans la gestion de ces paramètres spécifiques, avec la possibilité de définir des règles / valeurs différentes d’une saison à l’autre.​</t>
  </si>
  <si>
    <t>Le standard K3 offre des règles spécifiques. Les règles spécifiques de votre entreprise serait une extension.</t>
  </si>
  <si>
    <t>Permanents – règles de réassort spécifiques​</t>
  </si>
  <si>
    <t>Prise en charge d’un module de calcul de réassort spécifique aux produits permanents et applicable par canal / type de client / autre​</t>
  </si>
  <si>
    <t>Planification des gammes et réassort: K3 permet de créer la base  pour le réassort automatique.</t>
  </si>
  <si>
    <t>Gestion des stocks basée sur règles (seuils optimum, mini / maxi) =&gt; si possible, calculer une couverture dans l’ERP ?​</t>
  </si>
  <si>
    <t>Le master planning fait le calcul de réassort automatique. Le min/max peuvent être vérifiés et modifiés avec le standard, basée sur des transactions réelles.</t>
  </si>
  <si>
    <t>Commande de réassort calculée et déclenchée sur stock et optimum logistique (bags / autre colis ou vrac)​</t>
  </si>
  <si>
    <t>Les ventes en unités et réassort en bag, prepack, etc. ceci est une extension</t>
  </si>
  <si>
    <t>Déclenchement multi- facteurs du réassort​</t>
  </si>
  <si>
    <t>Réassort standard a niveau de variante.</t>
  </si>
  <si>
    <t>Déclenchement multi- facteurs des optimums logistiques​</t>
  </si>
  <si>
    <t>Optimum logistique c'est une extension.</t>
  </si>
  <si>
    <t>Permanents – règles de stocks et réappro spécifiques​</t>
  </si>
  <si>
    <t>Prise en charge de règles de gestion des stocks spécifique aux produits permanents​</t>
  </si>
  <si>
    <t>Avec la gestion des saisons et statut de produit.</t>
  </si>
  <si>
    <t>Calcul de besoins de réapprovisionnement (automatiques ou sur validation) basés sur règles de stocks et paramètres d’achat​</t>
  </si>
  <si>
    <t>Transverse</t>
  </si>
  <si>
    <t>Gestion transverse des stocks​</t>
  </si>
  <si>
    <t>Vue des quantités globales en stock, toutes saisons​ (En lien avec la gestion des variantes​)</t>
  </si>
  <si>
    <t>Des rapports standard disponibles, aussi dans le PowerBi intégré dans D365.</t>
  </si>
  <si>
    <t>Application de règles de gestion des stocks sur la totalité des quantités disponibles​ (En lien avec la gestion des variantes​)</t>
  </si>
  <si>
    <t>Règles de gestion des stocks disponible dans la gestion Ringfencing et Planification des gammes.</t>
  </si>
  <si>
    <t>Allocation du stock à une saison donnée​ (gestion « hybride » des stocks)</t>
  </si>
  <si>
    <t>Possibilité de « dé- saisonnaliser » le stock : stock utilisable pour commandes sur saison en cours, passée, future (sous réserve de validité de la saison)</t>
  </si>
  <si>
    <t>Règles de gestion des transaction au niveau des catégorie des ventes, combinée avec la gestion des saisons et gestion d'allocation.</t>
  </si>
  <si>
    <t>Possible d’allouer toute ou partie du stock à une saison : non utilisable pour commandées passées sur d’autres saisons​</t>
  </si>
  <si>
    <t>Possible avec la gestion 'Ringfencing': séparation virtuelle du stock.</t>
  </si>
  <si>
    <t>III. Planning capacité et matières​</t>
  </si>
  <si>
    <t>Achat et réservation de matières</t>
  </si>
  <si>
    <t>Nomenclatures et emplois​</t>
  </si>
  <si>
    <t>Prise en charge de nomenclatures articles (en lien avec le PLM) contenant l’emploi matière théorique (m² linéaires nécessaires à la production d’un article)​</t>
  </si>
  <si>
    <t>Nomenclature et modèles de nomenclature inclus dans le standard K3. L'intégration du PLM externe est une extension.</t>
  </si>
  <si>
    <t>Calcul des quantités de matières​</t>
  </si>
  <si>
    <t>Calcul automatique des quantités prévisionnelles théoriques de matière nécessaires à la production des articles achetés​  : à partir de l’emploi (nomenclatures) et des demandes et commandes d’achats​</t>
  </si>
  <si>
    <t>Avec une nomenclature spécifiée dans l'article, le master planning fait le calcul automatique des besoins des matières premières pour la production.</t>
  </si>
  <si>
    <t>Calcul automatique des quantités prévisionnelles « ajustées » de matière nécessaire à la production des articles achetés : à partir des rapports de coupe, intégrés périodiquement (données reçues du fournisseur)</t>
  </si>
  <si>
    <t>On effectue des commandes de production, pour représenter ce niveau des détails. L'information des fournisseurs fait l'actualisation des commandes de production. Les données des fournisseurs sont récupérées par import avec le standard DMF.</t>
  </si>
  <si>
    <t>Propositions d’ajustement automatique des emplois (via un report / tableau de bord) en cas d’écart entre l’emploi matière théorique (porté par les nomenclatures) et le réel (déduit des rapports de coupe) =&gt; si l’écart atteint une valeur prédéfinie, paramétrable dans le système​</t>
  </si>
  <si>
    <t>Actualisation des valeurs théoriques des matières premières dans les nomenclatures par import des entités avec le standard DMF de D365.</t>
  </si>
  <si>
    <r>
      <t xml:space="preserve">Commandes d’achats de matières​
</t>
    </r>
    <r>
      <rPr>
        <sz val="10"/>
        <rFont val="Aptos Display"/>
        <family val="2"/>
        <scheme val="major"/>
      </rPr>
      <t>(+allocation / lien avec commande de produits finis)​</t>
    </r>
  </si>
  <si>
    <t>Prise en charge de typologies de commandes d’achats spécifiques aux « matières premières / consommables / intrants » :
- distinctes des commandes d’achats de produits finis (et facilement identifiables),
- utilisant des règles et données spécifiques, dont paramètres d’approvisionnement / lead times entre les différents points (fournisseur, lieu de production, lieu de stockage…),
- pouvant être liées aux commandes de produits finis selon un système comparable aux allocations (créant une dépendance entre les plannings et les quantités des commande liées).
          - Une commande d’achat « intrant » est associée à une ou plusieurs commandes d’achats de produits finis.
          - Les quantités d’intrants sont ainsi « allouées » aux quantités de produits finis.</t>
  </si>
  <si>
    <t xml:space="preserve">Les matières premières spécifiques comme achat et sous-traitance avec le standard. Le master planning fait le calcul automatique des besoins. </t>
  </si>
  <si>
    <t>Contrats / commandes ouvertes d’achats de matières​</t>
  </si>
  <si>
    <t>Prise en charge de commandes ouvertes de type « contrat », permettant : 
- d’engager un achat global (et ainsi réserver les matières et intrants), avec une quantité totale définie (calculée par l’ERP sur la base des besoins)
- de « défalquer » de cette commande ouverte des commandes unitaires, cadencées selon les achats de produits finis (dans la limite de la quantité totale de la commande ouverte)</t>
  </si>
  <si>
    <t>Contrats de ventes disponible en standard, avec la possibilité de créer de vrais ventes liées aux contrats, en enregistrant la consommation du contrat.</t>
  </si>
  <si>
    <t>Gestion des stocks achetés et allocations​</t>
  </si>
  <si>
    <t>Prise en charge de stocks logiques pour les matières achetées (permettant de gérer les lieux de stockage et affectations diverses…)​</t>
  </si>
  <si>
    <t>Les stocks logiques peuvent être définis et ajustés sur les articles matières premières, comme dans les produits finis.</t>
  </si>
  <si>
    <t>Suivi opérationnel des stocks : entrées, sorties, encours, engagés / alloués, résiduel sur la base des commandes d’achats (matières et PF), quantités en production et en transit, rapports de coupe…​</t>
  </si>
  <si>
    <t>Les rapport des coupe doivent être importées avec le standard DMF, parce que les données viennent des systèmes extérieurs de D365. Entrées, sorties, encours, engagés / alloués, résiduel sur la base des commandes d’achats possible avec le standard.</t>
  </si>
  <si>
    <t>Prise en charge de liens / affectations des commandes de produits finis aux quantités en stock, dans un système comparable aux allocations​</t>
  </si>
  <si>
    <t>Les détails de stock montrent les affectations (réservations) des ventes. Les rapports standard K3 montrent les détails de stock (par saison), avec les détails des achats, ventes, production, prévisions.</t>
  </si>
  <si>
    <r>
      <t xml:space="preserve">Commandes de réservation de matières​
</t>
    </r>
    <r>
      <rPr>
        <sz val="10"/>
        <rFont val="Aptos Display"/>
        <family val="2"/>
        <scheme val="major"/>
      </rPr>
      <t>(+ allocation / lien avec commande de produits finis)</t>
    </r>
  </si>
  <si>
    <t>Possibilité de gérer les réservations de matières (sans achats ferme, facture ou transaction financière) via des commandes, transactions ou modalités adaptées dans l’ERP (stock déporté, quota, commande non facturable…)​  - distinctes des commandes d’achats « fermes » de matières (et des commandes de produits finis) ​
- utilisant des règles et données spécifiques (dont paramètres d’approvisionnement)​
- pouvant être liées aux commandes de produits finis selon un système comparable aux allocations​</t>
  </si>
  <si>
    <t>Nous comprenons que cette question concerne la relation avec les façonniers / sous-traitant avec fourniture de la matière. 
Il est possible de gérer différents types de sous-traitance de production, avec ou sans fourniture de la matière au sous-traitant, en livraison directe ou non. 
Ces processus sont généralement gérés en lien avec le MRP en vu d'assurer le lien et la couverture des commandes de ventes et/ou stock. 
Il est possible de connaitre l'origine du besoin de chaque commande d'appro en utilisant le MRP (ou CBN Calcul de besoin net)</t>
  </si>
  <si>
    <t>Prise en charge d’une logique de « contrat / commande ouverte » :​
- réserver une quantité globale (calculée par l’ERP sur la base des besoins),​
- « défalquer » de ce quota des sorties unitaires, cadencées selon les achats de produits finis (dans la limite de la quantité totale réservée).​</t>
  </si>
  <si>
    <t>Les contrats d'achat couvrent ces besoins.</t>
  </si>
  <si>
    <t>Prise en charge de lead times et conditions logistiques, comme pour une commande d’achat (a minima entre le fournisseur et le lieu de stockage et / ou le lieu de production)​</t>
  </si>
  <si>
    <t>Gestion des « stocks » de matières réservées​</t>
  </si>
  <si>
    <t>Prise en charge d’un « stock » virtuel (ou autre transaction / fonctionnalité adaptée) permettant le suivi des quantités réservées auprès d’un fournisseur​</t>
  </si>
  <si>
    <t>La gestion d'inventaire géré par le fournisseur se trouve dans le standard.</t>
  </si>
  <si>
    <t>Suivi des quantités (initiales, consommées, encours, résiduelles) sur la base des commandes d’achats, encours (production, transit), rapports de coupe…​</t>
  </si>
  <si>
    <t>La gestion d'inventaire géré par le fournisseur se trouve dans le standard. Rapports de coupe avec un import manuel.</t>
  </si>
  <si>
    <t>Lead times spécifiques</t>
  </si>
  <si>
    <t>Gestion de lead times spécifiques aux commandes et transactions relatives aux matières / consommables / intrants​</t>
  </si>
  <si>
    <t>Lead time au niveau article / article et fournisseur possible.</t>
  </si>
  <si>
    <t>Gestion de différents lead times /  combinaisons de conditions logistiques (fournisseur, matière, site de fabrication, marque, catégorie produit, modèle…)​</t>
  </si>
  <si>
    <t>Lead time au niveau article / article et fournisseur possible. Les autres niveau sont des extensions.</t>
  </si>
  <si>
    <t>Cockpit de suivi des matières et alertes​</t>
  </si>
  <si>
    <t>Cockpit de suivi des consommations, en cours et disponibles pour les allocations (réservations) et stocks (achats) de matières</t>
  </si>
  <si>
    <t>Des filtres et des espaces de travail peuvent être configurées pour donner ce niveau de détails.</t>
  </si>
  <si>
    <t>Alertes « de stocks / seuils » =&gt; niveau mini / maxi, couverture…​</t>
  </si>
  <si>
    <t>Alertes et filtres peuvent être configurés. Des résultats spécifiques filtrés peuvent être configurés dans les espaces de travail, c'est la recommandation.</t>
  </si>
  <si>
    <t>Calcul rétroplanning des approvisionnements matières​</t>
  </si>
  <si>
    <t>Détermination des jalons de commandes de matières, dont date de mise à disposition (ex- works) par le fournisseur, à partir :​ 
-  des jalons de la commande d’achats de produits finis​
-  des conditions d’appro et paramètres logistiques (dont lead times) définis pour les matières​</t>
  </si>
  <si>
    <t>Le master planning prend en compte tous les données liées aux produits finis.</t>
  </si>
  <si>
    <t>Suivi transverse des quantités de matières​</t>
  </si>
  <si>
    <t>Gestion transverse des quantités, commandes, stocks et allocations de matières​</t>
  </si>
  <si>
    <t>Des formulaires standard et des rapports standards K3 offrent ces infos.</t>
  </si>
  <si>
    <t>Réservation de capacités</t>
  </si>
  <si>
    <t>Paramètre de capacité fournisseur​</t>
  </si>
  <si>
    <t>Prise en charge de conditions et paramètres de production, dont la capacité fournisseur​</t>
  </si>
  <si>
    <t>K3 offre cette fonctionnalité.</t>
  </si>
  <si>
    <t>Possibilité de gérer cette capacité à différents niveaux : au global fournisseur, pour un site de production, sur la hiérarchie produit (dont Modèle)…​</t>
  </si>
  <si>
    <t>Gestion de capacité de fournisseur K3.</t>
  </si>
  <si>
    <t>Extraction simplifiée, et exploitable, de ces données de capacité​</t>
  </si>
  <si>
    <t>Extraction avec Excel intégré possible.</t>
  </si>
  <si>
    <t>Calcul de capacité fournisseur à réserver​</t>
  </si>
  <si>
    <t>Calcul automatique des capacités à réserver auprès des fournisseurs sur la base des commandes d’achats de produits finis​
- Agrégation des quantités achetées et à produire.
- Comparaison / adéquation avec les capacités du fournisseur et / ou des seuils prédéfinis (ex : possibilité de réserver jusqu’à X% de la capacité totale).
- Allocation / répartition de la capacité à réserver selon des règles / paramètres prédéfinis (ex : répartition au poids de chaque marque).</t>
  </si>
  <si>
    <t>Partiellement couvert par standard. Extension nécessaire.</t>
  </si>
  <si>
    <t>Réservation de capacité fournisseur​</t>
  </si>
  <si>
    <t>Possibilité de gérer les réservations de capacités (sans achats ferme, facture ou transaction financière) via des commandes, transactions ou modalités adaptées dans l’ERP</t>
  </si>
  <si>
    <t>Gestion de capacité de fournisseur dans K3.</t>
  </si>
  <si>
    <t>Prise en charge de règles de répartition de la capacité réservée, comparable aux règles d’allocations​</t>
  </si>
  <si>
    <t>Les règles de répartition sont une extension.</t>
  </si>
  <si>
    <t>Suivi des capacités réservées et allocations​</t>
  </si>
  <si>
    <t>Possibilité de piloter la capacité fournisseur : capacité totale du fournisseur, capacité réservée (via « commandes » / transactions de réservation), disponible, engagée (via les commandes de produits finis)​, suivi / pilotage des capacités allouées / réparties</t>
  </si>
  <si>
    <t>Calcul d’adéquation entre la capacité fournisseur réservée et le plan de charge (quantité totale de produits finis commandés), alertes en cas d’écart / capacité insuffisante​</t>
  </si>
  <si>
    <t>Suggestion: utiliser avec un rapport PowerBi.</t>
  </si>
  <si>
    <r>
      <t xml:space="preserve">Pilotage hebdomadaire des capacités  ​
</t>
    </r>
    <r>
      <rPr>
        <sz val="10"/>
        <rFont val="Aptos Display"/>
        <family val="2"/>
        <scheme val="major"/>
      </rPr>
      <t>[Hors périmètre ERP, à étudier de façon opportuniste]​</t>
    </r>
  </si>
  <si>
    <t>Prise en charge d’un « Plan Industriel et Commercial » et contrôle d’adéquation avec les capacités réservées auprès des fournisseurs​
- Suivi de la capacité fournisseur à la semaine.
- Calcul d’un rétroplanning de commande d’achat intégrant la phase de production, dont calcul des semaines de fabrication (quantité / capacité).
- Contrôle d’adéquation entre le planning de commandes d’achats (et de production) consolidés, et les capacités fournisseurs.
- Recommandations d’ajustement, basées sur le calendrier de commande global.</t>
  </si>
  <si>
    <t>Suggestion: Utiliser avec un rapport PowerBi. Partiellement couvert avec la Planification d'entreprise / gestion de capacite fournisseur.</t>
  </si>
  <si>
    <t>IV. Gestion des commandes d'achats</t>
  </si>
  <si>
    <t>Gestion des commandes d'achat</t>
  </si>
  <si>
    <t>Création des demandes d'achats et commandes d’achats en masse​</t>
  </si>
  <si>
    <t>Création de demandes d’achats en masse par chargement ou interface</t>
  </si>
  <si>
    <t>Avec les imports par entité et DMF.</t>
  </si>
  <si>
    <t>Création de demandes d’achats en masse en création directe dans l’ERP : saisie des paramètres de la commande et du nombre de commandes identiques à créer​</t>
  </si>
  <si>
    <t>La Copie de commandes est possible avec le standard.  La Multiples copies est une extension.</t>
  </si>
  <si>
    <t>Gestion et modification des commandes d’achats en masse​</t>
  </si>
  <si>
    <t>Possibilité de rechercher, sélectionner et gérer des commandes d’achats en masse.​</t>
  </si>
  <si>
    <t>Gestion des modifications de commandes dans K3.</t>
  </si>
  <si>
    <t>Possibilité de modifier en masse des commandes d’achats, en appliquant les changements effectués sur l’ensemble des commandes sélectionnées.​</t>
  </si>
  <si>
    <t>Prestations complémentaires​</t>
  </si>
  <si>
    <t>Possibilité d’ajouter manuellement ou automatiquement (sous conditions) des articles (biens et / ou prestations) et upcharges aux commandes.​</t>
  </si>
  <si>
    <t>L'addition des charges additionnels possible avec la gestion des modification des commandes. Rajouter des articles est une extension.</t>
  </si>
  <si>
    <t>Affectation manuelle ou automatique de ces upcharges et compléments en « entrée » ou « sortie » (pour comparaison avec les prix de revient prévisionnells, calculés sur la base des coefficients d’entrée et sortie).​</t>
  </si>
  <si>
    <t>Partiellement couvert. Extension du standard nécessaire.</t>
  </si>
  <si>
    <t>Conditions d’achat​</t>
  </si>
  <si>
    <t>Prise en charge de conditions d’achat et d’approvisionnement multiples​ :
- conditions et contraintes de commandes (dont maximum, minimum, optimum),
- conditions de prix et de remise (sur quantité commandée notamment),
- conditions d’approvisionnement (notamment lead times) : selon fournisseur, hiérarchie article (jusqu’au modèle), destination, moyen de transport, type de groupage…</t>
  </si>
  <si>
    <t>Conditions de colisage​</t>
  </si>
  <si>
    <t>Prise en charge de conditions, options et contraintes de colisage (dont paramètres de constitution des différents types de colis)​</t>
  </si>
  <si>
    <t>la notion de colis assortis est supportée pour les achats et les quantité d'achat permettent d'influencer les conditions financieres et de délai.</t>
  </si>
  <si>
    <t>Calcul automatique des impacts sur le prix et les conditions d’appro (dont lead times)​</t>
  </si>
  <si>
    <t>Calcul automatique d’un optimum et recommandation (selon impact du colisage sur prix et conditions d’appro)​</t>
  </si>
  <si>
    <t xml:space="preserve">Le MRP sait utiliser les accords commerciaux et faire une proposition de commande. D'autres modes de propositions d'achat existe. 
Selon le context et les contraintes qui doivent effectivement être prises en compte, il est possible que des customisations soient finalement nécessaire. Une expression détaillée des besoin est particulièrement nécessaire ici. </t>
  </si>
  <si>
    <t>Prise en charge de différents modes de conditionnement (à plat, suspendu, sans emballage, etc.), standard et hors standard, avec paramètres spécifiques. ​</t>
  </si>
  <si>
    <t>Calcul automatique des impacts du mode de conditionnement sur les prix et conditions d’achat et de transport.​</t>
  </si>
  <si>
    <t>Calcul du planning de commande d’achat​</t>
  </si>
  <si>
    <t>Calcul automatique d’un rétroplanning de commande d’achat (tous jalons) calculé automatiquement à partir des conditions logistiques / d’appro (dont les différents lead times) et :​ - d’une date de livraison souhaitée (rétro planification)​
- d’une date de fin de production / mise à disposition de la commande par le fournisseur (planification depuis date ex- factory)​
- d’une date de début de traitement de la commande =&gt; si capacité de l’ERP à calculer le temps de production (quantité / capacité)</t>
  </si>
  <si>
    <t>Master planning</t>
  </si>
  <si>
    <t>Possibilité d’exécuter le calcul en simulation, avant validation.​
Possibilité d’appliquer ou non certains paramètres et jalons / étapes, notamment :​
- les réservations de matières,​
- les stocks de matières,​
- les stocks de produits finis.​</t>
  </si>
  <si>
    <t>Le calcul en simulation est une extension.</t>
  </si>
  <si>
    <t>Dates de livraison client et magasin / MEP​</t>
  </si>
  <si>
    <t>Prise en charge de dates de livraison au client final, calculées à partir :​
-  du planning de la commande d’achat,​
-  de conditions de livraison couvrant les segments de distribution / transport aval : entre entrepôts / plateformes, entre entrepôt et client final,​
-  de lead times aval : client, magasin, gérés individuellement ou par regroupement.​</t>
  </si>
  <si>
    <t>Des différentes possibilités de configuration de calcul de dates de livraison au client final.</t>
  </si>
  <si>
    <t>Prise en charge d’une date de MEP / implantation magasin intégrant les lead times de distribution amont et aval, et un temps de préparation en magasin.​</t>
  </si>
  <si>
    <t>Partiellement couvert par le standard. Extension nécessaire.</t>
  </si>
  <si>
    <t>Portail fournisseur et workflow intégré​
(ou connexion à un portail existant)</t>
  </si>
  <si>
    <t xml:space="preserve">Prise en charge d’un portail fournisseur intégré à l'ERP </t>
  </si>
  <si>
    <t>La Collaboration fournisseur fait partie du standard D365.</t>
  </si>
  <si>
    <t>Workflow de traitement des commandes partagé avec le fournisseur, via le portail : envoi des demandes d’achat et planning de commande, validation / rejet / modification par le fournisseur, mise à jour avancement et statut, (re)calcul des jalons, pilotage des intervenants (étiquetage, transitaire), etc.</t>
  </si>
  <si>
    <t>Collaboration fournisseur Avec la partie PLM K3, pour la communication de planification des commandes.</t>
  </si>
  <si>
    <t>Allocations de commandes d’achats / quantités achetées à des canaux de vente</t>
  </si>
  <si>
    <t>Prise en charge d’une allocation des commandes d’achats à des canaux
-  commandes complètes,
-  répartition des quantités pour une commande donnée.</t>
  </si>
  <si>
    <t>Planification des gammes.</t>
  </si>
  <si>
    <t>Définition de règles automatiques d’allocation par canal (compatibles avec les allocations de vente / en prémisses de celles- ci)​</t>
  </si>
  <si>
    <t>Commandes SMU​
(crossdock, dropship, eCommerce)</t>
  </si>
  <si>
    <t>Prise en charge de commandes SMU spécifiques :
- paramètres de réception spécifiques : réception en entrepôt, préparation automatique, mise en expédition…,
- pas de rupture de flux à la réception, intégrité de la commande de vente et de la commande d’achat conservées.</t>
  </si>
  <si>
    <t>Commandes SMU possible avec une combinaison des instructions de produit, contrats d'achat, statut d'inventaire. L'Intégration estune extension. Le processus d'exécution sans rupture fait partie du standard.</t>
  </si>
  <si>
    <t>Création automatique d’une commande d’achat SMU à réception de la commande de vente idoine, avec « éclatement » de la commande d’achat 
- création automatique d’une commande d’achat spécifique (avec les quantités vendues),
- mise à jour des quantités de la commande d’achat initiale =&gt; « défalquée » des quantités de la commandes d’achat SMU nouvellement créée.</t>
  </si>
  <si>
    <t>L'éclatement standard est manuel.</t>
  </si>
  <si>
    <t>Commandes pour tiers (TPO)​</t>
  </si>
  <si>
    <t>Gestion de commandes pour tiers (Third Party Orders), non facturables et non réceptionnables.​</t>
  </si>
  <si>
    <t>L'intégration estune extension. Le processus d'exécution fait partie du standard.</t>
  </si>
  <si>
    <t>Cockpit de gestion des commandes d’achat​</t>
  </si>
  <si>
    <t>Cockpit de gestion des commandes d’achats :​
- statut des commandes.​
- suivi de planning : dates contractuelles initiales, dates reportées, dates réelles (+ écarts) pour les différents jalons.​
- simulation de changements de planning et calcul des impacts.​
- Si commande d’achat liée à une commande de vente, visualisation des impacts sur les jalons de la commande de vente​</t>
  </si>
  <si>
    <t>Identification et mise en avant des écarts et incohérences entre les commandes d’achats et les commandes de ventes liées (écarts planning)​</t>
  </si>
  <si>
    <t>Des rapports standard  sont disponibles.</t>
  </si>
  <si>
    <t>Prise en charge d’alertes paramétrables​</t>
  </si>
  <si>
    <t>Configuration standard.</t>
  </si>
  <si>
    <r>
      <t xml:space="preserve">Tracking / suivi de l’avancement​ 
</t>
    </r>
    <r>
      <rPr>
        <sz val="10"/>
        <color theme="1"/>
        <rFont val="Aptos Display"/>
        <family val="2"/>
        <scheme val="major"/>
      </rPr>
      <t>(en lien avec le portail fournisseur et les workflows intégrés)​</t>
    </r>
  </si>
  <si>
    <t>Mise à jour des statuts et jalons de commande au fil de l’avancement​</t>
  </si>
  <si>
    <t>Standard.</t>
  </si>
  <si>
    <t>Prise en charge de données de tracking des commandes en transit, si fournies / permises par le transitaire​ (statut des commandes​, suivi de planning : initial, mises à jour, retard / écart​, simulation de changements de planning et calcul des impacts​)</t>
  </si>
  <si>
    <t>Partiellement couvert par le standard. Extension nécessaire, a minima pour l'integration</t>
  </si>
  <si>
    <t>V. Gestions des commandes de vente</t>
  </si>
  <si>
    <t>Gestion des commandes de vente</t>
  </si>
  <si>
    <t>Création des commandes de vente en masse​</t>
  </si>
  <si>
    <t>Création de demandes de ventes en masse par chargement ou interface</t>
  </si>
  <si>
    <t>Import avec des entités DMF standard.</t>
  </si>
  <si>
    <t>Création de demandes de ventes en masse en création directe dans l’ERP : saisie des paramètres de la commande et du nombre de commandes identiques à créer​</t>
  </si>
  <si>
    <t>La Copie des commandes manuellement est standard. Automatiser ce processus est une extension.</t>
  </si>
  <si>
    <t>Gestion / modification des commandes de vente​</t>
  </si>
  <si>
    <t>Prise en charge d’un workflow de modification des commandes de vente​ (Sans impact sur l’allocation ​)</t>
  </si>
  <si>
    <t>Gestion de changements des commandes dans K3. Changements de prix (avec surcharges), actualisation des prix, annulations, remplacements, actualisation de date de livraison possible.</t>
  </si>
  <si>
    <t>Possibilité de rechercher, sélectionner et gérer des commandes de vente en masse (Dont modification en masse de commandes de vente, permettant d’appliquer les changements effectués sur l’ensemble des commandes.​)</t>
  </si>
  <si>
    <t>Gestion / modification des commandes de vente​ en masse</t>
  </si>
  <si>
    <t>Possibilité de rechercher, sélectionner et gérer des commandes de vente en masse.​</t>
  </si>
  <si>
    <t>Possibilité de modifier en masse des commandes de vente, en appliquant les changements effectués sur l’ensemble des commandes sélectionnées.​</t>
  </si>
  <si>
    <t>Prestations complémentaires</t>
  </si>
  <si>
    <t>Possibilité d’ajouter manuellement ou automatiquement (sous conditions) des articles (biens et / ou prestations) et upcharges aux commandes, facturables au client ou non.​</t>
  </si>
  <si>
    <t xml:space="preserve">Ajouter des articles dans plusieurs commandes, est une extension.
Mais nous prenons l'hypothèse à ce stade que l'ajout par comande conviendra. </t>
  </si>
  <si>
    <t>Clients et commandes de vente B2C​</t>
  </si>
  <si>
    <t>Solution simple de gestion des clients / comptes de commande + info de livraison unitaires pour les B2C / eCommerce (client générique ou autre modèle)​</t>
  </si>
  <si>
    <t>Les onnées des clients est centralisées avec D365 et utilisées dans tous les canaux.</t>
  </si>
  <si>
    <t>Enregistrement des commandes B2C / eCommerce au détail dans l’ERP, avec tous les détails de la transaction et de la commande​</t>
  </si>
  <si>
    <t>Gestion multicanaux standard avec D365.</t>
  </si>
  <si>
    <t>Précommandes, contrats, commandes ouvertes​</t>
  </si>
  <si>
    <t>Possibilité de gérer des pré- commandes / contrats / autres types de commandes ouvertes, assortis de paramètres et conditions spécifiques​</t>
  </si>
  <si>
    <t>Contrats d'achat standard.</t>
  </si>
  <si>
    <t>Création de commandes fermes à partir de la pré- commande ou du contrat, dans la limite des quantités disponibles (et selon les paramètres de la pré- commande)​</t>
  </si>
  <si>
    <t>Possibilité de régulariser automatiquement les quantités résiduelles en facturation, pour les différents types de commandes ouvertes​</t>
  </si>
  <si>
    <t>Régulariser automatiquement est une extension, manuellement est standard. 
Il est aussi possible de mettre à jour les lignes de contrats de vente dans Excel. Cette approche pourrait être une solution de contournement acceptable, mais nous gardons la customisation par précaution malgré tout</t>
  </si>
  <si>
    <t>Blocage de commandes / de client​</t>
  </si>
  <si>
    <t>Prise en charge de règles de blocage des commandes clients, multicritère (client, marque, pays, période, etc.) et basées notamment sur le scoring client (global) ou des critères spécifiques (credit check, solvabilité). ​
- Dont blocage total (commandes en cours et futures) ou partiel / unitaire. 
- A déclenchement automatique ou sur recommandations (visibles dans un état dédié)</t>
  </si>
  <si>
    <t>Gestion Ringfencing K3.</t>
  </si>
  <si>
    <t>Date de livraison souhaitée par le client – prise de commande ​</t>
  </si>
  <si>
    <t>Calcul (ou définition / saisie) d’un délai / d’une date minimum de livraison client lors de la prise de commande initiale (avant application des allocations).​</t>
  </si>
  <si>
    <t>Avec la fonctionnalité K3 d'allocation physique et planifiée.</t>
  </si>
  <si>
    <t>Enregistrement de la date de livraison demandée / souhaitée par le client (wholesale)​</t>
  </si>
  <si>
    <t>Standard D365.</t>
  </si>
  <si>
    <t>Enregistrement de la date de mise en place / 1e livraison souhaitée (magasin)​</t>
  </si>
  <si>
    <t>Calcul standard D365.</t>
  </si>
  <si>
    <t>Calcul du planning de commande de vente – post-allocation ​</t>
  </si>
  <si>
    <t>Calcul automatique d’un rétroplanning de commande (tous jalons) et d’une date de livraison estimée​, à partir : 
- des jalons de la commande d’achat à laquelle la commande de vente est allouée,
- des conditions de livraison client ou magasin (dont les différents lead times).</t>
  </si>
  <si>
    <t xml:space="preserve">Extension du standard nécessaire pour l'automatisation. Mais les fenêtres de pré-commandes permettront de cadencer les prises de commande des whoesalers par exemple. </t>
  </si>
  <si>
    <t>Calcul du planning de commande de vente – réassort ​</t>
  </si>
  <si>
    <t>Calcul automatique d’un planning et d’une date de livraison estimée à partir des quantités disponibles (en stock, en transit) et des conditions de livraison client ou magasin (dont les différents lead times).​</t>
  </si>
  <si>
    <t>Master Planning standard</t>
  </si>
  <si>
    <t>Commandes de vente – cockpit de pilotage et suivi​</t>
  </si>
  <si>
    <t>Cockpit de commande client avec dates estimées de livraison, calculées selon la disponibilité des produits (achats en cours, à venir, stocks)​.
- Dont cadencement, si livraisons et dates multiples​</t>
  </si>
  <si>
    <t>Partiellement disponible dans le standard. Extension avec reporting PowerBi suggéré.</t>
  </si>
  <si>
    <t>Alertes en cas de modification d’une commande client, dont changement de dates​</t>
  </si>
  <si>
    <t>Alertes standard configurables. Vue filtrée dans les espaces de travail suggéré.</t>
  </si>
  <si>
    <t>Visualisation des écarts entre jalons initiaux / théoriques et réels, et entre les dates de livraison estimées et les dates demandées par le client​</t>
  </si>
  <si>
    <t>Formulaire des lignes ouvertes des commandes de vente, avec des détails des dates.</t>
  </si>
  <si>
    <t>Actualisation automatique en fonction des jalons fournisseurs et tracking transport​</t>
  </si>
  <si>
    <t>L'actualisation automatique des commandes de ventes, basée sur la date de livraison de la commande fournisseur est une extension. Processus de changement en masse manuelle standard.</t>
  </si>
  <si>
    <t>Colisage – optimums logistiques​</t>
  </si>
  <si>
    <t>Prise en charge d’options et conditions de colisage : mono produit, mono taille, multi taille.​</t>
  </si>
  <si>
    <t>Gestion des prepacks K3.</t>
  </si>
  <si>
    <t>Calcul automatique d’un optimum logistique basé sur les modes de colisage prédéfinis et les quantités commandées, et recommandations / utilisation privilégiée de colis à préparer ou disponibles en stock (selon impact du colisage sur prix et conditions de transport, et / ou les règles de stock)​</t>
  </si>
  <si>
    <t xml:space="preserve">a priori ces contraintes sont prise en compte indirectement lors de la définition des colis assortis. Ce serait donc standard. 
Si le besoin est plutôt d'optimiser la capacité de transport (exemple : rédiore le foisonnement, prendre en compte des contraintes de livraison comme des sas ...) alors nous avons l'habitide de travailler avec une solution externe ou un add-on D365 lorsqu'on utilise le WMS de D365.  </t>
  </si>
  <si>
    <t>Prise en charge de règles multicritères, dont type de commande (client wholesale, MEP magasin, réassort…), 
- type article,
- type de colis,
- % du colis (bag) atteint par la commande (ex : si commande &gt; X% d’un colis, expédier colis VS vrac).</t>
  </si>
  <si>
    <t xml:space="preserve">Il existe des règles pour décider de décoliser des colis assortis par exemple. Nous prenons l'hypothèse que ces règles couvriront le besoin à ce stade. </t>
  </si>
  <si>
    <t>Possibilité de gérer ces règles et définir les seuils de déclenchement au niveau Article (aux différents niveaux de la hiérarchie Articles).​</t>
  </si>
  <si>
    <t>voir ci dessus</t>
  </si>
  <si>
    <r>
      <t xml:space="preserve">Réassort Magasins – Calcul des commandes sur base stock idéal
</t>
    </r>
    <r>
      <rPr>
        <sz val="10"/>
        <rFont val="Aptos Display"/>
        <family val="2"/>
        <scheme val="major"/>
      </rPr>
      <t>(calculé par SCOR-TEX)</t>
    </r>
    <r>
      <rPr>
        <b/>
        <sz val="10"/>
        <rFont val="Aptos Display"/>
        <family val="2"/>
        <scheme val="major"/>
      </rPr>
      <t xml:space="preserve"> </t>
    </r>
  </si>
  <si>
    <t>Possibilité de modifier les paramètres standards de déclenchement des commandes de réassort magasin :
- Ajout de paramètres complémentaires issus de l’ensemble des données principales : saison, hiérarchie magasin, hiérarchie articles, entrepôt, données de stocks, seuils et niveaux de stocks, optimums logistiques, etc.
- Paramétrage / construction libre de nouveaux arbres / nouvelles cascades de conditions.
- Possibilité d’ajouter des règles particulières par le biais de développements spécifiques simples.
- Sans altération / remise en question du moteur standard de calcul.</t>
  </si>
  <si>
    <t>Partialement disponible dans la gestion des gammes standard. Extension nécessaire.</t>
  </si>
  <si>
    <t>Réassort – paramétrage libre des règles de déclenchement et des optimums logistiques</t>
  </si>
  <si>
    <t>Possibilité de modifier les paramètres standards de déclenchement des commandes de réassort magasin :
- Ajout de paramètres complémentaires issus de l’ensemble des données principales : saison, hiérarchie magasin, hiérarchie articles, entrepôt, données de stocks, seuils et niveaux de stocks, optimums logistiques, etc.
- Paramétrage / construction libre de nouveaux arbres / nouvelles cascades de conditions.</t>
  </si>
  <si>
    <t>Partialement disponible dans la gestion des gammes et gestion de réassort standard. Extension nécessaire.</t>
  </si>
  <si>
    <t>Possibilité d’ajouter des règles particulières par le biais de développements spécifiques simples.
- Sans altération / remise en question du moteur standard de calcul.</t>
  </si>
  <si>
    <t>Extension du standard.</t>
  </si>
  <si>
    <t>Simulation de picking et optimum logistique​</t>
  </si>
  <si>
    <t>Possibilité de simuler / demander un picking ciblé (références et quantités) : le système applique alors les règles de calcul de l’optimum et renvoie les résultats du picking : bags / colis, vrac, quantités « optimisées »​</t>
  </si>
  <si>
    <t xml:space="preserve">Il est possible de définir des "stratégies" d'allocation qui permettront d'optimiser la logistique. Mais il n'existe pas d'optimisation logistique en tant que telle, car la logistique intervient après l'allocation et la reservation effective des stocks. 
Nous prenons l'hypothès ici que cette approche conviendra. </t>
  </si>
  <si>
    <t>Intégration des ventes de clients (externes) pour analyse</t>
  </si>
  <si>
    <t>Possibilité d’intégrer les données de ventes de clients externes pour :​
-  Analyser les performances et établir des prévisions / potentiels​
-  Proposer un réassort ciblé et / ou des références complémentaires​</t>
  </si>
  <si>
    <t>Centre d'inventaire K3, avec les vues des ventes et stock des clients.</t>
  </si>
  <si>
    <t>VI. Allocations</t>
  </si>
  <si>
    <t>Gestion des allocations</t>
  </si>
  <si>
    <t>Evènement d’allocation​</t>
  </si>
  <si>
    <t>Prise en charge d’évènements d’allocations spécifiques, distincts des traitements logistiques et commerciaux sous- jacents (ex : pour le réassort, allocation automatique et mise en expédition immédiate, mais il s’agit bien de deux évènements distincts).​</t>
  </si>
  <si>
    <t>Master Planning standard. La spécification d'allocation automatique autre que manuelle, est une extension.</t>
  </si>
  <si>
    <t>Gestion de workflows / chaines d’évènements permettant d’établir les liens entre allocation et autres évènements ​</t>
  </si>
  <si>
    <t>Le Workflow d'allocation est une extension</t>
  </si>
  <si>
    <t>Moteur de calcul d’allocation configurable et multicritères​</t>
  </si>
  <si>
    <t>Prise en compte de multiples critères de scoring / détermination du niveau de priorité des clients, gérés directement dans l’ERP et / ou hérités d’applications externes (dont CRM)​</t>
  </si>
  <si>
    <t>La gestion d'allocation d'inventaire planifiée et physique dans K3 est standard avec des spécifications étendues de priorisation.</t>
  </si>
  <si>
    <t xml:space="preserve">Possibilité de combiner ces critères dans des scoring « intermédiaires » (ex : score « segmentation », score « financier » calculés à partir de critères unitaires) </t>
  </si>
  <si>
    <t>Gestion d'allocation d'inventaire planifiée et physique dans K3 est standard avec des spécifications étendues de priorisation.</t>
  </si>
  <si>
    <t>Workflow d’ajout et de gestion des critères existants</t>
  </si>
  <si>
    <t>Pondération possible des différents critères</t>
  </si>
  <si>
    <t>Partie du standard.</t>
  </si>
  <si>
    <t>Prise en compte de règles complexes d’optimisation (ex : viser un % de service minimum, intervalles de tailles…)​</t>
  </si>
  <si>
    <t>Prise en compte des règles de colisage, de calcul des optimums logistiques dans le calcul des allocations (si activées).​</t>
  </si>
  <si>
    <t xml:space="preserve">Il est possible de définir des "stratégies" d'allocation qui permettront de simuler l'allocation avant de l'activer et reserver effectivement les quantutés en stock ou en commande. </t>
  </si>
  <si>
    <t>Prise en compte de règles de conditionnement dans le calcul des allocations (si pertinent et activé).​</t>
  </si>
  <si>
    <t>Extension du standard nécessaire.</t>
  </si>
  <si>
    <t>Règles de libération / ponction des quantités définissables par canal​</t>
  </si>
  <si>
    <t>Prise en charge de règles multicritères d’allocation sur les différents stocks logiques, dont stocks réservés par canal​</t>
  </si>
  <si>
    <t>Ringfencing.</t>
  </si>
  <si>
    <t>Prise en charge de règles multicritères d’allocation sur les commandes d’achats (selon l’allocation de commandes d’achats aux canaux)​</t>
  </si>
  <si>
    <t>Filtrer par commande d'achat dans l'allocation.</t>
  </si>
  <si>
    <t>Mode d’allocation (immédiat ou différé)​</t>
  </si>
  <si>
    <t>Prise en charge d’un mode d’allocation immédiate et automatique, ou différée ​</t>
  </si>
  <si>
    <t>Processus automatique et manuelle disponible dans le standard.</t>
  </si>
  <si>
    <t>Sur la base de critères multiples, dont les types de commande (pré- commande, initiale, réassort) et de client (magasin, wholesale, segmentation…)</t>
  </si>
  <si>
    <t>La spécification des catégories de ventes fait partie des critères standard.</t>
  </si>
  <si>
    <t>Avec règles de libération / ponction des stocks par mode d’allocation et multicritères (ex : canal)​</t>
  </si>
  <si>
    <t>Règles inclus dans le standard.</t>
  </si>
  <si>
    <t>Gestion des exclusions / blocages​</t>
  </si>
  <si>
    <t>Blocage d’allocations selon règles business : solvabilité client, zone géographique, canal, etc. ​</t>
  </si>
  <si>
    <t>Avec configuration standard.</t>
  </si>
  <si>
    <t>Suspension automatique ou manuelle, avec relance / notification intégrée​</t>
  </si>
  <si>
    <t>La suspension manuelle est possible par configuration. L'automatiser est une extension.</t>
  </si>
  <si>
    <t>Périmètre d’application paramétrable : toutes commandes dont en cours, commandes futures uniquement, période spécifique​</t>
  </si>
  <si>
    <t>Prise en charge de pré-allocations et d’allocations sur commandes ouvertes (master-commande)</t>
  </si>
  <si>
    <t>Gestion de « pré- allocations » (engagement prévisionnel des clients) avec des règles de priorisation spécifiques​</t>
  </si>
  <si>
    <t>Master-commande combinée avec allocation est une extension.</t>
  </si>
  <si>
    <t>Gestion d’allocations sur commandes ouvertes (confirmées lors des commandes fermes) avec des règles de priorisation spécifiques​ (Quantités allouée et commandable limitées à la quantité de la commande ouverte initiale​)</t>
  </si>
  <si>
    <t>Allocation de quantités achetées mais en transit (PO en cours)​
à une commande de vente</t>
  </si>
  <si>
    <t>Allocation anticipée dès la commande d’achat (sans attendre la réception)​</t>
  </si>
  <si>
    <t>Allocation des quantités planifiées standard.</t>
  </si>
  <si>
    <t>Prise en compte des ETA / EDD pour calculer la date prévisionnelle de livraison commande client​</t>
  </si>
  <si>
    <t>Merci de détailler votre réponse</t>
  </si>
  <si>
    <t xml:space="preserve">L'alocation est le stade qui précède la réservation (comme une simulation). Donc si l'allocation est validée et les réservation </t>
  </si>
  <si>
    <t>Possibilité de modification sans perte des priorités initiales​</t>
  </si>
  <si>
    <t>Possibilité de réserver des quantités (dont 100% d’une commande d’achat) à un canal (modèle Beaumanoir)​</t>
  </si>
  <si>
    <t>Réallocation à réception / ventilation automatique​</t>
  </si>
  <si>
    <t>Possibilité de recalcul des allocations à réception d’une PO selon les priorités en cours ​</t>
  </si>
  <si>
    <t>Recalcul possible avec le standard.</t>
  </si>
  <si>
    <t>Possibilité d’ajuster dynamiquement les allocations existantes si réception partielle ou en retard​</t>
  </si>
  <si>
    <t>Recalcul au moment de réception physique de stock possible.</t>
  </si>
  <si>
    <t>Allocation des quantités réceptionnées aux stocks logiques​</t>
  </si>
  <si>
    <t>A réception : détermination des quantités disponibles (non- allouées aux commandes de ventes)​</t>
  </si>
  <si>
    <t>Vue dynamique du stock standard.</t>
  </si>
  <si>
    <t>A réception : déclenchement automatique des affectations / ventilations vers les différents stocks logiques​</t>
  </si>
  <si>
    <t>Allocation de quantités en stock à une commande de vente​</t>
  </si>
  <si>
    <t>Règles automatiques d’allocation selon priorités définies (client, canal, saison, etc.)​</t>
  </si>
  <si>
    <t>Allocation de stock physique standard.</t>
  </si>
  <si>
    <t>Allocation partielle / multi-sources</t>
  </si>
  <si>
    <t>Prise en compte de plusieurs fournisseurs ou stocks pour satisfaire une même commande ​</t>
  </si>
  <si>
    <t>Allocation de stock planifié standard.</t>
  </si>
  <si>
    <t>Règles de découpage multicritères et paramétrables (ex : accès à plusieurs stocks)​</t>
  </si>
  <si>
    <t>Allocation et gestion 'Ringfencing' standard.</t>
  </si>
  <si>
    <t>Réallocation proactive sur changement de planning​</t>
  </si>
  <si>
    <t>Capacité à recalculer et proposer une nouvelle allocation en cas de changement d’un jalon fournisseur ou client ​</t>
  </si>
  <si>
    <t>Alerte sur conflit de priorités ou manque de disponibilité​</t>
  </si>
  <si>
    <t>Résultat dans l'exécution du processus.</t>
  </si>
  <si>
    <t>Produits de substitution​</t>
  </si>
  <si>
    <t>Prise en charge de produits de substitution (définis et gérés conjointement avec le PLM et/ou la CRM).​</t>
  </si>
  <si>
    <t xml:space="preserve">La substitution (A pour B, systématique ou en cas d'insuffisance de stock) est possible à la vente, mais ne fait pas partie du processus d'allocation, seulement lors de la prise de commande. Nous prenons l'hypothèse que le standard conviendra à ce stade. </t>
  </si>
  <si>
    <t>Définition de règles d’affectation / d’attribution des produits de substitution dans les règles d’allocation (selon le niveau de priorité).​</t>
  </si>
  <si>
    <t>Cette fonctionnalité n'est pas disponible dans l'allocation standard, il sera nécessaire de la développer</t>
  </si>
  <si>
    <t>Recommandation de produits de substitution sur tout ou partie des quantités en cas d’écart entre la quantité demandée et la quantité disponible à l’allocation.</t>
  </si>
  <si>
    <t>Cette fonctionnalité n'est pas disponible dans l'allocation standard, il sera nécessaire de la développer et sera couverte par la DEV de la ligne ci dessus</t>
  </si>
  <si>
    <t>Allocation à la saison ​</t>
  </si>
  <si>
    <t>Prise en charge d’une dimension / d’un paramètre d’allocation « Saison », lié à la dimension Saison (transverse) portée dans l’ERP​</t>
  </si>
  <si>
    <t>Cela fait partie du standard K3.</t>
  </si>
  <si>
    <t>Permettre d’allouer des stocks / quantités à des saisons de vente et de gestion​</t>
  </si>
  <si>
    <t>Possibilité de bascule en masse (manuelle ou automatique) des stocks d’une saison à l’autre, via un changement dans l’allocation​</t>
  </si>
  <si>
    <t>L'utilisation de statut de stock est envisageable pour ce type d'exigence. Les changements de statut de stock dans l'allocation font partie du standard.</t>
  </si>
  <si>
    <t>Possibilité d’allocation saisonnière partielle (une quantité en stock répartie sur plusieurs saisons)​</t>
  </si>
  <si>
    <t>Equilibrages de stocks et d’allocations​</t>
  </si>
  <si>
    <t>Prise en charge de mouvements automatiques entre stocks​</t>
  </si>
  <si>
    <t>Gestion d'équilibrage de stock dans K3.</t>
  </si>
  <si>
    <t>Déclenchement multicritère (dont besoins en allocation, quantités non servies, relâche d’une allocation, etc.)​</t>
  </si>
  <si>
    <t>Totalement automatique ou préconisation validée manuellement​</t>
  </si>
  <si>
    <t>Intervention manuelle nécessaire dans le standard.</t>
  </si>
  <si>
    <t>Cockpit de visualisation des allocations​</t>
  </si>
  <si>
    <t>Outil centralisé pour visualiser les quantités allouées, disponibles, en attente, en rupture ​</t>
  </si>
  <si>
    <t>Permet d’intervenir manuellement ou en masse sur les allocations​</t>
  </si>
  <si>
    <t>Simulation de modification + calcul d’impact​</t>
  </si>
  <si>
    <t>Outil de simulation intégré des impacts d’un changement (jalon, quantité, réallocation) sur toutes les autres commandes concernées​</t>
  </si>
  <si>
    <t>Possibilité de définir des paramètres « cible » : taux de service cible, ETA, taux de complétude, % minimum, etc. ​</t>
  </si>
  <si>
    <t>Possibilité d’exclure / inclure les allocations dans la simulation (pour éviter / permettre qu’elles soient impactées)​</t>
  </si>
  <si>
    <t xml:space="preserve">Priorisation manuelle de commandes et d’allocations​ (« coupe-file ») </t>
  </si>
  <si>
    <t>Possibilité de forcer l’allocation d’une commande / la priorité d’une commande par rapport aux autres​ « Coupe- file » total (commande en tête) ou partiel (scoring modifié)​</t>
  </si>
  <si>
    <t>Fait partie du standard K3.</t>
  </si>
  <si>
    <t>Tableau de bord de gestion des scores et critères​</t>
  </si>
  <si>
    <t>Etat de reporting reprenant les scores (totaux, intermédiaires) et les critères de calcul ​</t>
  </si>
  <si>
    <t>Le tableau de bord d'allocation est une extension.</t>
  </si>
  <si>
    <t>Possibilité de modifier directement certains critères (selon workflow défini)​</t>
  </si>
  <si>
    <t>Le Workflow d'allocation est  une extension.</t>
  </si>
  <si>
    <t>Recalcul automatique des allocations​</t>
  </si>
  <si>
    <t>Recalcul quotidien des priorités et allocations (avec possibilité de figer / libérer certaines allocations)​</t>
  </si>
  <si>
    <t>A gérer avec des traitement par lots configurables.</t>
  </si>
  <si>
    <t>Cockpit de pilotage avec alertes sur écarts / retards​</t>
  </si>
  <si>
    <t>Partiellement partie du standard. Extension nécessaire.</t>
  </si>
  <si>
    <t>Recalcul également possible à la demande (ex : modification PO ou commande client)​</t>
  </si>
  <si>
    <t>Enregistrement des quantités non servies​</t>
  </si>
  <si>
    <t>Détermination des commandes de vente / client non servies ou partiellement couvertes​</t>
  </si>
  <si>
    <t>Formulaire des lignes des commandes de ventes standard. Filtres configurables. Vue filtré dans les espaces de travail suggéré.</t>
  </si>
  <si>
    <t>Enregistrement des commandes non servies et des données associées : statut spécifique, références articles demandées, quantités demandées, taux de service potentiel, etc.</t>
  </si>
  <si>
    <t>Essentiellement standard, sauf la taux de service potentiel. Extension nécessaire et a définir dans le projet (exemple : quel horizon de date, niveau ligne ou commande …).</t>
  </si>
  <si>
    <t>Gestion des reliquats et service partiel​</t>
  </si>
  <si>
    <t>Prise en charge des livraisons partielles avec reliquat conservé et priorisé automatiquement ​</t>
  </si>
  <si>
    <t>La gestion d'allocation des commandes sait identifier les commandes avec reliquat et des règles spécifiques peuvent être appliquées (exemple : prioriser les lignes complètes, ou avec un seuil minimal à servir…).</t>
  </si>
  <si>
    <t>Règles configurables : partiel autorisé / bloqué, automatique ou manuel​</t>
  </si>
  <si>
    <t xml:space="preserve"> Historique des modifications d’allocations​</t>
  </si>
  <si>
    <t>Traçabilité complète des mouvements d’allocation, repriorisation, réaffectations ​</t>
  </si>
  <si>
    <t>Traçabilité standard.</t>
  </si>
  <si>
    <t>Log consultable dans un cockpit dédié (audit trail, horodatage, utilisateur)​</t>
  </si>
  <si>
    <t>Cockpit est une extension.</t>
  </si>
  <si>
    <t>Alertes ​</t>
  </si>
  <si>
    <t>Possibilité de paramétrer des alertes sur différents évènements relatifs aux allocations (relâche, transfert important, commande non- servie importante, etc.)​</t>
  </si>
  <si>
    <t>Alertes configurables standard.</t>
  </si>
  <si>
    <t>VII.Gestion des stocks​</t>
  </si>
  <si>
    <t>Gestion des stocks</t>
  </si>
  <si>
    <t>Paramètres et vues de stocks par Article​</t>
  </si>
  <si>
    <t>Gestion de vues et paramètres de stocks multiples pour chaque code Article (par entrepôt, par groupe de valorisation en stock (1e choix, 2e choix, sample, CoVoy))​, en lien avec la gestion des types d'articles</t>
  </si>
  <si>
    <t>Etats et mouvements des stocks ​</t>
  </si>
  <si>
    <t>Prise en charge de stocks logiques multiples (dont hiérarchie / arborescence / dépendance entre stocks).​</t>
  </si>
  <si>
    <t>Les dimensions d'analyse de stock sont multiples, par exemple produit, stockage, statuts, colisage (typiquement quatité en colis assorti ou bulk)</t>
  </si>
  <si>
    <t>Prise en charge de stocks physiques multiples, en lien avec systèmes opérationnels (WMS, magasin).​</t>
  </si>
  <si>
    <t>D365 peut recevoir les mouvements de stock du WMS et des magasin en quasi temps réel afin d'avoir une vue 360 pour le pilotage de l'activité. 
D'autres solutions techniques sont aussi possibles comme l'apps "Inventory visibility" et facilitent grandement l'integration (API, connecteur paramétrable)  et la publication des stocks. 
Ces options sont typiquement discutées en phase d'analyse selon l'utisation de la data</t>
  </si>
  <si>
    <t>Prise en charge des mouvements de stocks directs (entrée, sortie, transfert…) ou associés aux transactions (réception, expédition…).​</t>
  </si>
  <si>
    <t>Il existe aussi des mouvements "logiques" pour changer le statut d'une quantité (exemple : 2nde main, déclassé …) ou bien bloquer une quantité (pour l'ouverture d'un magasin, mise en quarantaine … )</t>
  </si>
  <si>
    <t>Possibilité de réaliser des mouvements de stocks en masse, par chargement ou interface (dont mouvements de régularisation dans le cadre d’inventaires).​</t>
  </si>
  <si>
    <t>des imports excel sont possible pour les journaux d'inventaire par exemple</t>
  </si>
  <si>
    <t>Pilotage des WMS interfacés, via l’envoi des ordres de préparation et de blocage.​</t>
  </si>
  <si>
    <t>Les outils de pilotage du WMS intégré peuvent être utilisé pour le pilotage des WMS externes interfacés. 
Il conviendra de définir la stratégie d'intégration pour permettre ce pilotage depuis l'ERP ou bien depuis le WMS lui-même</t>
  </si>
  <si>
    <t xml:space="preserve">Prise en charge des immobilisations de stocks temporaires via des mouvements spécifiques, en lien avec la gestion des commandes (pour mise à jour de leur statut / visibilité sur le blocage et sa résolution).​
- Dont possibilité de réaliser des mouvements de sortie (ex : sortie / réaffectation du stock pour réparation / intervention sur la plateforme) et contrepasser ces mouvements à l’identique. </t>
  </si>
  <si>
    <t>Visualisation des écarts de stocks entre les applications (décompte, rapprochement et calcul des écarts).​</t>
  </si>
  <si>
    <t xml:space="preserve">typiquement la réconciliation de stock entre le WMS (si externe) et l'ERP nécessite une customisation </t>
  </si>
  <si>
    <t>Automatisation des mouvements de stocks​</t>
  </si>
  <si>
    <t>Prise en charge de mouvements automatiques, sous conditions
- A réception d’une commande d’achat, ventilation des quantités non-allouées vers les stocks théoriques (selon critères de répartition).
- Traitement automatique des flux de retour / défectueux, affectations de stocks spécifiques.
- Anomalies de livraison / souffrance, stock d’attente et notification du destinataire.
- Mouvements d’équilibrage / réaffectation automatiques, selon les seuils et règles d’équilibrage définies et en lien avec les commandes.</t>
  </si>
  <si>
    <t>Ces mouvements sont gérés dans le module WMS. 
Le dernier tiret concernant l'équilibrage / réaffectation peut être géré soit par le WMS au sein d'un entrepôt (exemple réappro du picking), soit de façon logique par batch (exemple allocation de quantité du stock pour l'e-Commerce), soit entre des magasin par exemple (rééquilibrage du stock en fonction des ventes et / ou de seuils min)</t>
  </si>
  <si>
    <t>Demandes de transfert de stock ​(GSS, PLV)</t>
  </si>
  <si>
    <t>Prise en charge de « demandes de transfert de stock » permettant de : 
- « passer commande » pour un produit géré en stock (ex : PLV),
- déclencher automatiquement le transfert physique et logique des quantités commandées,
- déclencher le flux retour (poussé par le magasin / le destinataire ou tiré par l’entrepôt).</t>
  </si>
  <si>
    <t>oui, la PLV est généralement gérée en stock et bénéficient donc des mêmes foctionnalité que les produits</t>
  </si>
  <si>
    <t>Règles automatiques de gestion des stocks et seuils​</t>
  </si>
  <si>
    <t>Prise en charge de seuils (mini, maxi, optimum) saisis manuellement ou calculés par l’ERP.​</t>
  </si>
  <si>
    <t xml:space="preserve">Oui, différentes approches possibles basées sur l'assortiment magasin ou bien fonctionnalité classique MRP et DDMRP </t>
  </si>
  <si>
    <t>Possibilité de simuler et générer automatiquement des propositions d’achats / d’approvisionnement, multicritère, et tenant compte des paramètres logistiques (dont lead times).​</t>
  </si>
  <si>
    <t xml:space="preserve">Oui, fonctionnalité MRP et DDMRP </t>
  </si>
  <si>
    <t>Simulation et préconisations dynamiques d’ajustement des différents stocks théoriques selon les règles / seuils définis.​</t>
  </si>
  <si>
    <t>Valorisation des stocks​</t>
  </si>
  <si>
    <t>Prise en charge de différents modes de valorisation (CUMP, PRMP, FIFO, etc.).​</t>
  </si>
  <si>
    <t>CUMP (Coût Unitaire Moyen Pondéré)
FIFO (First In, First Out)
LIFO (Last In, First Out) (non recommandé dans certains pays comme la France pour des raisons fiscales)
Standard Cost (Coût standard)
Moving Average (Moyenne mobile)</t>
  </si>
  <si>
    <t>Calcul dynamique de la valorisation.</t>
  </si>
  <si>
    <t>Mise à jour à chaque évènement opérationnel, sur la base des prix d’achats des articles et des frais annexes éventuels (coût unitaire impacté). ​</t>
  </si>
  <si>
    <t>Paramètres et règles de valorisation gérés à la saison.​</t>
  </si>
  <si>
    <t>NON. Non couvert</t>
  </si>
  <si>
    <t xml:space="preserve">A priori non, car le modèle d'article (groupe de modèles d’articles)  détermine le mode de valorisation. Il ne peut être différent selon le contexte pour un même article. 
Toutefois, chaque variante (taille, co, …) aura sont propre coût calculé,  </t>
  </si>
  <si>
    <t>Règles de valorisation particulières, multicritère dont hiérarchie Articles.​</t>
  </si>
  <si>
    <t>Gestion du colisage​</t>
  </si>
  <si>
    <t>Gestion en stock des différents modes de colisage (cf masterdata et commandes d’achats) et des règles et données spécifiques à ces éléments, dont leur référence propre et le caractère indissociable des quantités colisées ensemble.​</t>
  </si>
  <si>
    <t>L'essentiel des fonctionnalités de colisage sont gérées dans le module WMS (règles, processus..)</t>
  </si>
  <si>
    <t>Prise en charge des mouvements de manutention associés (et interdictions) : création de colis, décolisage…​</t>
  </si>
  <si>
    <t>Possibilité de définir des règles spécifiques de valorisation.​</t>
  </si>
  <si>
    <t xml:space="preserve">D365 FO ne calcule pas automatiquement l'impact du colisage sur le prix ou les lead times en standard, mais il propose plusieurs leviers :
 - Paramètres d’achat avancés : D365 FO permet de configurer des conditions d’achat spécifiques en fonction de la quantité, du fournisseur, ou du mode de livraison.
 - Lead times fournisseurs : peuvent être dynamiques selon le site/entrepôt et le fournisseur.
 - Charges automatiques (Auto charges) : permettent d’ajouter des frais logistiques ou de conditionnement en fonction du type de colis ou du volume.
Une extension peut permettre de lier les règles de colisage aux conditions commerciales (prix, délais) et recalculer dynamiquement ces éléments.
</t>
  </si>
  <si>
    <t>Gestion stocks déportés​</t>
  </si>
  <si>
    <t>Possibilité de gérer les stocks consignés / déportés chez un client ou un fournisseur. ​</t>
  </si>
  <si>
    <t>possibilité de gérer de la consignation client et fournisseur</t>
  </si>
  <si>
    <t>Gestion du pourcentage d’écart de stock toléré au niveau du compte client.</t>
  </si>
  <si>
    <t xml:space="preserve">Il est possible de définir si un client accepte les partiels (couleur, commande) </t>
  </si>
  <si>
    <t>Prise en charge du processus de commande / expédition, sans facturation = mise à disposition du stock.</t>
  </si>
  <si>
    <t xml:space="preserve">Processus de consignation client, ou vente "classique" avec la  possibilité de cadencer la facturation mensuellement par exemple. </t>
  </si>
  <si>
    <t>Intégration de rapports de ventes périodiques du client, pour mise à jour des stocks (et facturation périodique).</t>
  </si>
  <si>
    <t>Création automatique de commandes facturables.</t>
  </si>
  <si>
    <t>Processus de consignation client,</t>
  </si>
  <si>
    <t>Gestion d’un processus de retour en stock.</t>
  </si>
  <si>
    <t>Retour manuel ou bien campagne de retour (notamment pour les stocks en magasins, quand ils sont gérés dans la la solution dans le cadre d'un rééquilibrage de stock ou bien retour total)</t>
  </si>
  <si>
    <t>Calcul automatique des écarts stock initial / rapports de vente / stock retourné, et valorisation des écarts à facturer par rapport au pourcentage de perte tolérée.</t>
  </si>
  <si>
    <t>Envoi automatique des données transactionnelles nécessaires à la facturation.</t>
  </si>
  <si>
    <t>Processus de consignation client, ces données sont envoyées par le client (exemple : entes POS + démarque). Facturation après d'enregistrer des ventes au client final.</t>
  </si>
  <si>
    <t>Pilotage de l’activité des plateformes​</t>
  </si>
  <si>
    <t>Cockpit de pilotage de la charge entrepôt basé sur les commandes d’achat et de vente, leur statut et leurs jalons clés : réception, préparation, colisage, expédition…​</t>
  </si>
  <si>
    <t>intégré au module WMS</t>
  </si>
  <si>
    <t>Visualisation des prochaines commandes à préparer (anticipables si charge entrepôt disponible).​</t>
  </si>
  <si>
    <t>VIII. Expédition et suivi</t>
  </si>
  <si>
    <t>Expédition et suivi</t>
  </si>
  <si>
    <t>Evènements de préparation et expédition​</t>
  </si>
  <si>
    <t>Prise en charge d’évènements distincts de préparation et d’expédition de la commande.​</t>
  </si>
  <si>
    <t>Gestion de jalons distincts dans le planning de la commande (et son calcul).​</t>
  </si>
  <si>
    <t xml:space="preserve">intégré au module WMS, plusieurs modèles d'expédition existent pour générer les "works" de picking / packing / shipping. Il conviendra de vérifier le besoin précis ici. </t>
  </si>
  <si>
    <t>Règles de préparation et mise en expédition automatiques​</t>
  </si>
  <si>
    <t>Prise en charge de règles automatiques de préparation et expédition des commandes, multicritère (ex : commande / allocation complète expédition de commande partielle, taux de service minimum…)​</t>
  </si>
  <si>
    <t>Définition de règles au niveau global, stock (plateforme et / ou stock logique), canal, client…​</t>
  </si>
  <si>
    <t>Définition de règles au niveau du type de commande (commande initiale / allocation sur commande d’achat, réassort / allocation sur stock).​</t>
  </si>
  <si>
    <t>Des règles au niveau de catégorie de commande de ventes.</t>
  </si>
  <si>
    <t>Préparation des commandes​</t>
  </si>
  <si>
    <t>Prise en charge automatisée des traitements d’expédition pour les commandes de vente allouées sur commandes d’achat.​</t>
  </si>
  <si>
    <t xml:space="preserve">intégré au module WMS, en cross docking ou non. </t>
  </si>
  <si>
    <t>Création des demandes d’expédition correspondant aux commandes de vente, dès réception.​</t>
  </si>
  <si>
    <t xml:space="preserve">intégré au module WMS, mais cela est généralement fait pour du cross docking ou bien des contexte particulier (ouverture de magasin avec un chargement préparé progressivement) . </t>
  </si>
  <si>
    <t>Création et planification des ordres de préparation, dont colisage. ​</t>
  </si>
  <si>
    <t>Planification de l’expédition selon le niveau de priorité et les jalons de la commande, en tenant compte des conditions de transport (lead time) aval / client (cf master data),​</t>
  </si>
  <si>
    <t>Planification de l’expédition selon le plan de charge / d’activité de la plateforme,​</t>
  </si>
  <si>
    <t xml:space="preserve">D365 FO ne gère pas un plan de charge logistique à proprement parler en standard, mais propose des outils pour séquencer les tâches :
 - Wave templates (Modèles de vague) : peuvent être configurés pour lancer les préparations selon une fréquence et une logique précise (par entrepôt, priorité, heure, etc.).
 - Work templates &amp; location directives : structurent les tâches de préparation en tenant compte de la complexité ou du volume.
 - Load planning workbench : permet de visualiser et de gérer les charges (Load) à affecter selon les ressources (camions, quais, etc.).
Un outil complémentaire comme PowerBI ou une extension sera nécessaire pour modéliser la capacité quotidienne de la plateforme </t>
  </si>
  <si>
    <t>Planification de l’expédition selon les règles de préparation et mise en expédition automatiques.​</t>
  </si>
  <si>
    <t>D365 FO propose une gestion fine de la préparation (picking) et de l’expédition via le module WMS :
 - Waves automatiques : génération automatique des vagues à la création de commandes, selon critères définis (type de commande, produit, client, etc.)
 - Automated release to warehouse : permet de déclencher automatiquement la préparation selon des règles configurables.
 - Auto-confirmation : certaines étapes peuvent être automatisées (si règles le permettent), comme le picking, le packing, ou l’expédition.
Le processus peut être entièrement automatisé avec des batch jobs.</t>
  </si>
  <si>
    <t>Prise en charge automatisée des traitements d’expédition pour les commandes de vente allouées sur stocks.​ ( Fonctionnement identique aux commandes de ventes allouées sur commandes d’achat, assorti de règles spécifiques )</t>
  </si>
  <si>
    <t>Des modèles d'expéditions sont automatisables pour lancer les vagues d'expédition, ou lancés manuellement. 
La stratégie d'intégration avec le WMS externe dira quel outils devra lancer ces expéditions;</t>
  </si>
  <si>
    <t>Prise en compte des règles de colisage et optimums logistiques dans la préparation (cf commandes de vente et allocations).​</t>
  </si>
  <si>
    <t>Annonce d’expédition ​</t>
  </si>
  <si>
    <t>Génération automatique d’une annonce d’expédition lors de la préparation de l’envoi.​</t>
  </si>
  <si>
    <t>D365 peut envoyer un ASN (advance shippiing notice)</t>
  </si>
  <si>
    <t>Calcul d’une date de livraison estimée, basée sur les conditions de livraison (lead time) et les modalités de livraison et de transport.​</t>
  </si>
  <si>
    <t xml:space="preserve">oui au moment de la commande. </t>
  </si>
  <si>
    <t>Envoi automatique de l’annonce aux coordonnées spécifiées par le client, en lien avec les informations communiquées par le prestataire (par interface entrante).​</t>
  </si>
  <si>
    <t>Ce besoin n’est pas couvert en standard dans D365 FO. Il n’existe pas de fonctionnalité native permettant d’envoyer automatiquement une annonce au client à partir des données reçues d’un prestataire.
Cependant, une solution peut être mise en place via une interface entrante (DMF, OData ou API) permettant de recevoir les informations du prestataire.
Un processus automatisé (batch D365 FO ou Power Automate) peut ensuite déclencher l’envoi de l’annonce aux coordonnées spécifiées par le client (email ou API), en s’appuyant sur des données enregistrées dans la fiche client ou une table dédiée.
Un mécanisme de journalisation peut assurer le suivi et la traçabilité des envois.</t>
  </si>
  <si>
    <t>Gestion des expéditions partielles et reliquats de commande​</t>
  </si>
  <si>
    <t>Prise en charge automatique des reliquats de commande :</t>
  </si>
  <si>
    <t>La gestion des reliquats est prise en charge en standard dans D365 FO.
Lorsqu'une commande client est partiellement expédiée, le reliquat est automatiquement généré et suivi.
Des fonctions automatiques permettent :
 - De libérer automatiquement les reliquats à l’expédition (via les paramètres de libération automatique),
 - De les inclure dans les vagues de préparation suivantes selon les règles de disponibilité,
 - D’assurer la traçabilité via les statuts de ligne de commande</t>
  </si>
  <si>
    <t>Expédition complète (disponible = expédié) mais commande partiellement servie.​</t>
  </si>
  <si>
    <t>Par défaut, D365 FO expédie uniquement les lignes ou quantités disponibles ; les reliquats sont conservés et traités ultérieurement. Si vous souhaitez clôturer les commandes il sera possible en cochant "clôturer" au moment de la génération du bon de livraison client</t>
  </si>
  <si>
    <t>Création automatique des ordres d’expédition à réception / disponibilité du reliquat.​</t>
  </si>
  <si>
    <t xml:space="preserve">Lorsque du stock devient disponible, D365 FO permet de replanifier automatiquement les lignes en reliquat, mais la création automatique d’un ordre d’expédition (Release to warehouse) ne se déclenche pas sans action manuelle ou traitement automatisé.
Nous proposons la mise en place d'un batch périodique qui  : 
 - Identifie les reliquats devenus disponibles,
 - Libère automatiquement ces lignes vers l'entrepôt (Release to warehouse),
 - Génère les ordres de travail et les inclut dans une vague d’expédition.
</t>
  </si>
  <si>
    <t>Solde de commande à l’expédition et réception du reliquat par le client.​</t>
  </si>
  <si>
    <t>Lorsqu’une commande est expédiée partiellement, le reliquat reste actif et est expédié dès que disponible.
Une fois le reliquat livré, D365 FO solde automatiquement la ligne et met à jour le statut de la commande.</t>
  </si>
  <si>
    <t>Mode de livraison et solution de transport</t>
  </si>
  <si>
    <t>Gestion multicritère des modes de livraison en fonction des paramètres de l’expédition : groupage possible, contenant / colisage, dimensions et poids.​ ( Dont marchandise ou colis hors gabarit.​ )</t>
  </si>
  <si>
    <t>Ce besoin est partiellement couvert en standard dans D365 FO via les modules Transport Management et Warehouse Management.</t>
  </si>
  <si>
    <t>Sélection automatique du mode de transport et du prestataire / transitaire, multicritère. ​ ( Dont client, paramètres logistiques et détails de l’expédition.​ )</t>
  </si>
  <si>
    <t>La sélection automatique du mode de transport et du prestataire dans D365 FO est couverte en standard sur des critères simples tels que le client, le site ou le transporteur préféré (Module Transport Management System), mais la gestion multicritère avancée avec plusieurs paramètres logistiques et détails d’expédition nécessite des personnalisations ou extensions spécifiques.</t>
  </si>
  <si>
    <t>Commandes SMU ​(crossdock, dropship, eCommerce)​</t>
  </si>
  <si>
    <t>Prise en charge de commandes SMU et de règles de traitement, préparation et expédition spécifiques (cf gestion des commandes d’achat).​
Prise en charge de commandes SMU et de règles de traitement, préparation et expédition spécifiques (cf gestion des commandes d’achat).
- Réception commande d’achat spécifique.
- Traitement paramètres de mise en expédition.
- Pas de rupture de flux, intégrité de la commande de vente et de la commande d’achat conservées
- Gestion de paramètres logistiques spécifiques.</t>
  </si>
  <si>
    <t xml:space="preserve">Les commandes SMU (spécial make-up) sont possibles, et peuvent être mises dans des drops exclusifs, pour certain clients / magasins. 
Le traitement en entrepôt ne diffère pas d'autres commandes, à partir du moment où "l'exclusivité" est traitée en amont. </t>
  </si>
  <si>
    <t>Prise de rendez-vous​</t>
  </si>
  <si>
    <t>Prise en charge d’un workflow de prise de rendez- vous (en lien avec la CRM / le portail client) et permettant de :​
- communiquer au client un intervalle de date pour la livraison (basé sur les temps de livraison / lead times),​
- enregistrer et valider (à la commande) la date de livraison validée par le client,​
- calculer, préparer et organiser l’expédition et l’enlèvement,​
- communiquer au transporteur l’ensemble des éléments et demander l’enlèvement.​</t>
  </si>
  <si>
    <t>Ce besoin n’est pas prise en charge en standard dans D365 FO, il nécessite une intégration avec un CRM ou portail client ainsi que des développements ou automatisations (Power Automate ou API) pour orchestrer ces étapes et échanger avec le transporteur</t>
  </si>
  <si>
    <t>Tracking</t>
  </si>
  <si>
    <t>Intégration à la commande des informations de tracking communiquées par le prestataire (par interface entrante).​</t>
  </si>
  <si>
    <t>L’intégration automatique à la commande des informations de tracking reçues par interface entrante n’est pas prise en charge en standard dans D365 FO, mais peut être réalisée via une interface personnalisée (API, DMF, service web) permettant d’alimenter les données de suivi dans les entités d’expédition et de les associer à la commande.</t>
  </si>
  <si>
    <t>Intégration et suivi des flux et évènements de livraison.​</t>
  </si>
  <si>
    <t>L’intégration et le suivi des flux et événements de livraison sont partiellement couverts en standard dans D365 FO via le module Transport Management, qui permet de suivre les statuts d’expédition (chargement, départ, livraison), mais un suivi détaillé en temps réel ou multi-sources nécessite souvent des intégrations supplémentaires et développements spécifiques.</t>
  </si>
  <si>
    <t>IX. Livraison et retour</t>
  </si>
  <si>
    <t xml:space="preserve"> Gestion livraison retours</t>
  </si>
  <si>
    <t>Réception client</t>
  </si>
  <si>
    <t>Intégration à la commande des informations de réception client, communiquées par le prestataire (par interface entrante).​</t>
  </si>
  <si>
    <t>Ce besoin n'est pas pris en charge en standard dans D365 FO, mais peut être mise en œuvre grâce à des interfaces personnalisées (API, DMF, services web) pour alimenter et mettre à jour les statuts de réception dans le système.</t>
  </si>
  <si>
    <t>Gestion des réceptions partielles et reliquats de livraison​ (+ livraisons en souffrance)</t>
  </si>
  <si>
    <t>Prise en charge automatique des reliquats de livraison :
- Intégration du reste-à-livrer, à la commande, communiqué par le prestataire.
- Envoi automatique d’une nouvelle annonce aux coordonnées spécifiées par le client, en lien avec les informations communiquées par le prestataire (par interface entrante).
- Mise à jour des informations de tracking communiquées par le prestataire (interface entrante).</t>
  </si>
  <si>
    <t>Le besoin n’est pas pris en charge en standard dans D365 FO, mais peut être mise en œuvre par des interfaces personnalisées.</t>
  </si>
  <si>
    <t>Prise en charge des livraisons en souffrance, dans un fonctionnement comparable. ​</t>
  </si>
  <si>
    <t>D365 FO gère en standard les livraisons en souffrance via le suivi des reliquats et la réallocation automatique des stocks disponibles pour les lignes non livrées.</t>
  </si>
  <si>
    <t>Gestion des retours​</t>
  </si>
  <si>
    <t>Prise en charge des flux retours magasins avec critères de traitement en réception / stock, en lien avec la gestion des unités de colisage et de regroupement.​
- Réception et enregistrement du retour.
- Création et planification de l’ordre d’enlèvement.
- Sélection de l’entrepôt de retour et du prestataire, selon les paramètres logistiques définis.
- Annonce d’enlèvement adressée au client, en lien avec les informations fournies par le prestataire (interface entrante).
- Annonce entrepôt destinataire et tracking comparables à un flux d’expédition.</t>
  </si>
  <si>
    <t xml:space="preserve">D365 FO permet de gérer un flux de retour, avec création d'un ordre de retour qu'on adresse au client. Le retour peut être planifié et reçu à travers le module WMS. toutefois il ne seras pas possible de suivre les différents étapes de retour client comme on peut le faire pour les expéditions. </t>
  </si>
  <si>
    <t>Prise en charge de la réception en entrepôt.​</t>
  </si>
  <si>
    <t>Transmission des données transactionnelles à l‘ADV et à la Finance, pour émission des avoirs / factures.​</t>
  </si>
  <si>
    <t>Valorisation des retours</t>
  </si>
  <si>
    <t>Prise en charge de règles spécifiques et multicritères de valorisation des retours.​</t>
  </si>
  <si>
    <t xml:space="preserve">D365 FO, le retour est valorisé au coût de revient de sortie du produit, toutefois il sera possible à travers les codes disposition de retour de choisir le traitement à réserver au produit, exemple, mise en rebut (destruction) , mise en stock quarantaine, etc. Ceci permettra dans le futur de faire des mouvements de stocks pour jouer sur la valorisation de la quantité de produit à revaloriser voir détruire. </t>
  </si>
  <si>
    <t>En ADV / facturation, prise en charge de décote sur les produits retournés et remboursés notamment les articles vendus en packs (cf ADV, finance et Comptabilité).​</t>
  </si>
  <si>
    <t xml:space="preserve">ça dépendra de la modélisation des Packs / Kit. </t>
  </si>
  <si>
    <t>Transfert d’Articles retournés vers un autre client​ (= transfert de commandes)​</t>
  </si>
  <si>
    <t>Prise en charge de mouvements de transfert d’une commande client A – faisant l’objet d’un retour -  à une autre commande B – à livrer - .​
-  Réception et enregistrement du retour A.​
-  Création et planification de l’ordre d’enlèvement A depuis l’adresse client.​
-  Création d’un ordre d’expédition de la commande B.​
-  Sélection du prestataire selon les paramètres logistiques prédéfinis.​
-  Annonces d’enlèvement et d’expédition adressées aux clients, en lien avec les informations fournies par le prestataire (interface entrante).</t>
  </si>
  <si>
    <t xml:space="preserve">Un retour prévu (avec RMA ou rappel de produit) est assimilé à une entrée en stock entrepôt. Une commande de vente pourra être allouée et réserver ce stock entrant, pourvu que le statut du stock soit compatible (un retour n'est pas forcément un retour en statut "neuf", tant qu'un contrôle qualité n'est pas fait) . </t>
  </si>
  <si>
    <t>X. ADV, finance et comptabilité</t>
  </si>
  <si>
    <t>Vente</t>
  </si>
  <si>
    <r>
      <t xml:space="preserve">Gestion CGV et bon de commande
</t>
    </r>
    <r>
      <rPr>
        <sz val="10"/>
        <color theme="1"/>
        <rFont val="Aptos Display"/>
        <family val="2"/>
        <scheme val="major"/>
      </rPr>
      <t>(En lien avec la CRM / front-office client et un processus d’acceptation des CGV (à chaque commande ou sur une période donnée) et/ ou d’un bon de commande.​)</t>
    </r>
  </si>
  <si>
    <t>Prise en charge d’un processus de signature électronique des CGV et du bon de commande, permettant :​
-  d’activer les champs requis pour la commande ou la période de validité prévue (CGV),​
-  de valider la création de la commande, si conditions remplies.​</t>
  </si>
  <si>
    <t>Possibilité de conditionner la validation de la commande et / ou de l’allocation à l’activation / la validité d’un champ :​
-  CGV,​
-  bon de commande. ​</t>
  </si>
  <si>
    <t>Avec une extension, il est possible d'utiliser ce champ dans l'allocation standard.</t>
  </si>
  <si>
    <t>Données de commande nécessaires à la facturation​</t>
  </si>
  <si>
    <t>Prise en charge des informations nécessaires à l’établissement des factures (et envoi vers SAP FICO) au niveau de la commande, notamment :​
-  produits (dont upcharges, VAS et prestations complémentaires), quantités, prix unitaires et prix totaux à la ligne de commande,​
-  opérations promotionnelles (en déduction des prix unitaires, quantités ou prix totaux,​
-  remises / conditions contractuelles calculées et appliquées à la commande.​</t>
  </si>
  <si>
    <t>Nous recommanderions sans doute de facturer le client depuis D365 et envoyer les éléments comptables à SAP FICO. 
Les éléments de règlement seront renvoyés à D365 afin de permettre un contrôle de la limite de crédit au moment delà commande (et autres étapes si nécessaire). 
Une analyse est nécessaire ici, car plusieurs approches d'intégration sont possibles</t>
  </si>
  <si>
    <t>Données client nécessaires à la facturation​</t>
  </si>
  <si>
    <t>Prise en charge des informations nécessaires à l’établissement des factures (et envoi vers SAP FICO) au niveau du client, notamment :​​
-  remises / conditions contractuelles sur facture / pied de facture,​ calculées automatiquement ou manuellement à l’aide de rapports adaptés, et saisies (cf. Master Data),​
-  template de facture : informations complètes, dont propres à un client / une typologie (ex : QR code pour Espagne),​
-  devise de facturation (et de pricing),​</t>
  </si>
  <si>
    <t>Envoi automatique des transactions et éléments à facturer</t>
  </si>
  <si>
    <t>Possibilité de conditionner l’envoi automatique des données transactionnelles en facturation à des évènements opérationnels (expédition, réception).</t>
  </si>
  <si>
    <t>Facturation automatique des magasins​</t>
  </si>
  <si>
    <t>Déclenchement automatique de la facturation magasin (commandes de MEP et réassort) conditionné aux évènements opérationnels (expédition de commande, réception de la commande par le magasin…).​
Envoi automatique des données transactionnelles et nécessaire à la facture vers SAP FICO.​</t>
  </si>
  <si>
    <t>Facturation automatique des clients</t>
  </si>
  <si>
    <t>Déclenchement automatique de la facturation client conditionné aux évènements opérationnels (expédition de commande, réception de la commande…).​
- Envoi automatique des données transactionnelles et nécessaires à la facture vers SAP FICO.​</t>
  </si>
  <si>
    <t>Annexes et documents additionnels​</t>
  </si>
  <si>
    <t>Possibilité de générer des reports (standards ou prédéfinis) en annexe des factures :​
-  Automatiquement, via un paramétrage des règles d’édition,​
-  À la demande,​
-  Sur un périmètre de données cohérent à celui de la facture (ex : liste des commandes et lignes de commandes pour le client sur la période).</t>
  </si>
  <si>
    <t xml:space="preserve">On utilise souvent l'add-on DOCENTRIC pour faciliter la génération de documents paramétrables et spécifique par client. </t>
  </si>
  <si>
    <t>Possibilité de générer des documents complémentaires (standards / fixes) non inclus dans le template / formulaire de la facture.​</t>
  </si>
  <si>
    <t>Editique et envoi de facture​</t>
  </si>
  <si>
    <t>Envoi automatique (vers SAP FICO) des données nécessaires à l’édition de factures physiques et électroniques, notamment :
- template à utiliser,
- données clients,
- mentions règlementaires (pays) ou spécifiques clients.</t>
  </si>
  <si>
    <t>Récupération et stockage des factures générées par SAP FICO au niveau de chaque commande (document complet ou lien / champ d’accès).​
-  Enregistrement du N° de facture pour chaque commande.​
-  Stockage des PDF et documents électroniques générés.​</t>
  </si>
  <si>
    <t>Prise en charge des règles de regroupement de factures (une facture = plusieurs commandes).​</t>
  </si>
  <si>
    <t>Prise en charge de connecteurs pour envoi vers PDP (démat facture 2026​) -  préciser les prestataires</t>
  </si>
  <si>
    <t>TPS. Couvert par application tierce (au catalogue éditeur)</t>
  </si>
  <si>
    <t xml:space="preserve">Les partenaires habituels pour la dématérialisation avec D365 de facture sont certifiés P2P: Tungsten (Kofax), Docentric, Yooz.
https://www.impots.gouv.fr/liste-des-plateformes-de-dematerialisation-partenaires-pdp-immatriculees-sous-reserve
YOOZ propose aussi un PDP intégré en plus d'un OCR
https://www.getyooz.com/fr/blog/yooz-pdp-est-officiellement-immatriculee-plateforme-de-dematerialisation-partenaire-pdp
D'une manière générale, l'outil est résilient pour ce type d'intégration, et si un partenariat est déjà établi, il faudra sans doute essayer de poursuivre cette collaboration. </t>
  </si>
  <si>
    <t>Proforma et pré-facture – édition​</t>
  </si>
  <si>
    <t>Possibilité d’éditer des proforma :​
-  automatiquement, sous conditions et associées à un évènement,​
-  à la demande.</t>
  </si>
  <si>
    <t>Possibilité d’éditer manuellement une facture sur la base des informations de la commande (pour passage en douane notamment).​
-  Sans contournement du processus​</t>
  </si>
  <si>
    <t>Prise en charge de règles de regroupement pour proforma et pré- factures​</t>
  </si>
  <si>
    <t xml:space="preserve">A priori standard, mais il faut que les règles soient définissable dans la sélection des commandes </t>
  </si>
  <si>
    <t>Proforma et pré-facture – règles de valorisation pour articles spécifiques​</t>
  </si>
  <si>
    <t>Prise en charge de règles de valorisation spécifiques.​
-  Valorisation standard (idem facture classique).​
-  Cas des articles à prix nul : valorisation à l’équivalent prix de l’article standard correspondant, remisé à 100%.
- valorisation manuelle.</t>
  </si>
  <si>
    <t xml:space="preserve">La valorisiation est comprise ici comme le prix facturé au client. Il est modifiable sur la commande. 
La valorisation de la sortie de stock est automatique et ne peut être modifiée. </t>
  </si>
  <si>
    <t>Déclenchement / application multicritère de ces règles de valorisation.​</t>
  </si>
  <si>
    <t>Déclaration de passage en douane​</t>
  </si>
  <si>
    <t>Envoi vers les systèmes de partenaires tiers / externes (via interface) de toutes les données nécessaires aux passages en douane (issues du référentiel).​</t>
  </si>
  <si>
    <t>Possibilité d’appliquer des règles de valorisation spécifiques, notamment :
-  Valorisation standard (idem facture classique).​
-  Cas des articles à prix nul : valorisation à l’équivalent prix de l’article standard correspondant, remisé à 100%.​
- Valorisation manuelle.</t>
  </si>
  <si>
    <t>Il s'agira de créer un deuxième type de bon de livraison qui sera le document de douane (customisation éditique en y ajoutant les montants). Le coût de l'article sera pris en compte si la ligne est à 0 ou bien un champ additionnel peut être ajouté sur la commande pour maitriser ce montant</t>
  </si>
  <si>
    <t>Credit check et blocage client​</t>
  </si>
  <si>
    <t>Possibilité de remonter au niveau du compte client « opérationnel » et des commandes, les factures impayées / créances (compte 411) pour prise en compte :​
-  dans le scoring, lors du calcul des allocations (cf « allocations »),​
-  en critère de blocage des allocations et des commandes (cf « allocations »),​
-  possibilité de définir des règles de blocage adaptées : commandes ciblées, commandes à partir d’une date, toutes commandes dont en cours…</t>
  </si>
  <si>
    <t xml:space="preserve">Le crédit check nécessite notamment la connaissance de la balance client qui doit être fournie par SAP quand la comptabilité client n'est pas gérée dans D365. 
En standard, le crédit check permet ou non pas confirmer une commande, mais n'influe pas sur l'allocation des commandes. 
L'implémentation de nouvelles règles nécessiterait un développement spécifique si le standard ne convient pas. </t>
  </si>
  <si>
    <t>Facturation automatique stocks consignés / déportés​</t>
  </si>
  <si>
    <t>Intégration des rapports de vente liés aux stocks consignés chez le client.​
-  Création de commandes, facturables, sur la base des rapports de vente.​</t>
  </si>
  <si>
    <t>Gestion des ventes consignées avec des spécification des prix de clients et des fichiers à recevoir spécifiques pour les ventes et les (demandes) de transferts. Facturation a la base des ventes au consommateur.</t>
  </si>
  <si>
    <t>Traitement automatique des écarts de stock, à réception / retour des stocks consignés. ​</t>
  </si>
  <si>
    <t>L'automatisation de ce processus est une extension.</t>
  </si>
  <si>
    <t>Calcul automatique des mouvements à facturer – ventes et écarts de stocks – et envoi des données transactionnelles – objet, quantité, prix – à facturer.​</t>
  </si>
  <si>
    <t>Gestion des ventes consignées avec des spécification des prix de clients et des fichiers à recevoir spécifiques pour les ventes et les (demandes) de transferts. Introduire un format de fichier pour les écarts de stock serait une extension simple.</t>
  </si>
  <si>
    <t>Calcul automatique de commissionnement sur base chiffre d’affaires (calculé à partir des rapports de vente) et facturation dédié</t>
  </si>
  <si>
    <t>Gestion des ventes consignées avec des spécification des prix de clients.</t>
  </si>
  <si>
    <t>Valorisation des retours​</t>
  </si>
  <si>
    <t>Prise en charge de règles spécifiques et multicritères de valorisation des retours.​
-  Décote des produits retournés. ​
-  Workflow et règles spécifiques aux commandes contenant des packs, avec possibilité d’ajuster le prix de l’article retourné au prorata du prix du pack (ex : 3 t- shirts à 10 € / pièce vendus en pack à 25 €, soit un avoir client de 8,34 € pour un t- shirt retourné).</t>
  </si>
  <si>
    <t>Fait Partiellement partie du standard: prix spécifique pour les retours et statut de stock. Extension nécessaire.</t>
  </si>
  <si>
    <t>Valorisation et facturation défectueux​</t>
  </si>
  <si>
    <t>Prise en charge de motifs de retour « défectueux » permettant d’appliquer :​
-  Des règles particulières d’entrée en stock et de valorisation stock​
-  Le calcul d’avoirs correspondants​</t>
  </si>
  <si>
    <t>Les règles de retour avec RMA sont paramétrables</t>
  </si>
  <si>
    <t>Possibilité de gérer passage en « défectueux » post- entrée en stock (entrée en stock classique puis bascule en défectueux =&gt; peut déclencher avoir).​</t>
  </si>
  <si>
    <t>Possible mais pas d'impact sur l'avoir généré</t>
  </si>
  <si>
    <t>Régularisation des pré-commandes / commandes ouvertes / contrats​</t>
  </si>
  <si>
    <t xml:space="preserve">Possibilité d’identifier automatiquement les contrats / commandes ouvertes non- honorés en totalité (quantité du contrat initial &gt; somme des quantités commandées et défalquées de la commande ouverte) comme « commandes à facturer ». </t>
  </si>
  <si>
    <t>Contrat de ventes avec détails des quantités non-honorés.</t>
  </si>
  <si>
    <t>Transmettre automatiquement (selon un calendrier défini et des conditions contractuelles portées par le compte client) ou sur déclenchement manuel, l’envoi des données de commande en facturation.</t>
  </si>
  <si>
    <t>La fréquence de facturation (et modèle de facture) est un paramètre du compte client</t>
  </si>
  <si>
    <t>Remises et conditions commerciales​</t>
  </si>
  <si>
    <t>Gestion de conditions commerciales et conditions de remises à la commande et sur facture (cf master data).​</t>
  </si>
  <si>
    <t>Production d’états de reporting permettant de préparer ou contrôler la bonne application de ces remises : commandes clients, montants des factures et avoirs (pour calcul du CA), quantités cumulées par modèle, groupe, catégorie de produits…​</t>
  </si>
  <si>
    <t xml:space="preserve">il existe des centaines de rapports, requêtes et PowerBi. Nous prenons l'hypothèse que le besoins sera couvert en l'absence de plus de détail. </t>
  </si>
  <si>
    <t>Intercos</t>
  </si>
  <si>
    <t>Prise en charge automatique de règles d’intercos (transactions et mouvements concernés).​</t>
  </si>
  <si>
    <t>Envoi automatique des données transactionnelles et nécessaires à la facture vers SAP FICO.​</t>
  </si>
  <si>
    <t>Comme pour les factures client, il sera nécessaire de définir le modèle d'intégration, mais si l'interco est être 2 entités légales gérées dans une même instance D365, il sera sans doute plus simple d'interfacer après la facture, au niveau des écritures comptables</t>
  </si>
  <si>
    <t>Prise en charge de règles de valorisation spécifiques (pouvant varier d’une entité / d’un flux / d’un évènement à l‘autre).​</t>
  </si>
  <si>
    <t xml:space="preserve">Pour des transactions interco de produits, les prix de cession sont paramétrables, comme pour des condition tarifaires client. </t>
  </si>
  <si>
    <t>PLV et produits non textiles​</t>
  </si>
  <si>
    <t>Prise en charge de conditions de prix unitaires / au client sur articles PLV et non textiles =&gt; gratuits ou non, possibilité de gratuité partielle (ex : premiers articles / première commande gratuite, articles / commandes complémentaires facturés).​</t>
  </si>
  <si>
    <t>Prix "première commande gratuite" etc. avec les prix spécifique au niveau de catégorie des ventes.</t>
  </si>
  <si>
    <t>Prestation d’abonnement mensuel (géré dans référentiel produit et grilles de prix Client), facturé automatiquement tous les mois.​
-  Produits PLV commandés dans le cadre de l’abonnement valorisés à 0.​
-  Prévoir des règles de valorisation de commande particulières sur produits hors abonnement.​</t>
  </si>
  <si>
    <t>Inventaires magasins​</t>
  </si>
  <si>
    <t>Prise en charge d’un calcul automatique de la pénalité pour « écart d’inventaire », à partir des écarts déclarés et de règles de valorisation spécifiques.​</t>
  </si>
  <si>
    <t>La solution est nécessairement différente en fonction du mode de gestion du stock en magasin (en propre, consignation, corner, drop shipping … ). 
Une customisation sera nécessaire pour gérer cela</t>
  </si>
  <si>
    <t>Provisions automatiques​</t>
  </si>
  <si>
    <t>Génération automatique des provisions comptables de vente, corrélées aux transactions et évènements opérationnels.​
-  Dont jalons / statut et évènements de de commande (ex : FAE générées à la validation de la commande).</t>
  </si>
  <si>
    <t>Attention ! Le déclencheur des FAE est l'expédition, pas la confirmation de la commande dans D365</t>
  </si>
  <si>
    <t>Purge automatique des montants provisionnés pour la commande, lors de la création et de l’envoi de la facture de vente au client. ​</t>
  </si>
  <si>
    <t>Déclaration d’Echange de Biens​</t>
  </si>
  <si>
    <t>Prise en charge d’une extraction / d’un reporting des transactions de vente formaté aux exigences de la DEB.​</t>
  </si>
  <si>
    <t>Achat</t>
  </si>
  <si>
    <t>Rapprochement facture et commande d’achat​</t>
  </si>
  <si>
    <t>Prise en charge de règles automatiques de rapprochement, dont seuil de tolérance (rapprochement et paiement automatiques si écart &lt;X% / X pièces / X €).​</t>
  </si>
  <si>
    <t>Possibilité de définir des seuils de rapprochement et de blocage (ex : seuil 1 = rapprochement et paiement automatiques, seuil 2 = rapprochement et paiement sur validation manuelle, seuil 3 = rejet…).​</t>
  </si>
  <si>
    <t>Il s'agira d'avoir un workflow pour valider la comptabilisation de la facture si l'écart est supérieur au seuil autorisé. Dans ce cas, vous pouvez bloquer la facture pour paiement lors de la revue du workflow.</t>
  </si>
  <si>
    <t>Prise en charge du rapprochement automatique de multiples commandes et factures : factures partielles (plusieurs factures par commande), regroupement de commandes (une facture pour X commandes).​</t>
  </si>
  <si>
    <t>Le rapprochement à 2 et/ou à 3 facteurs se fait par line de commande (et par quantité reçue si à 3 facteurs.). L'outil peut donc traiter nativement les commandes facturées en plusieurs fois ou les factures sur plusieurs commandes.</t>
  </si>
  <si>
    <t>Pénalités fournisseurs​</t>
  </si>
  <si>
    <t>Prise en charge de différents types de calculs de pénalités fournisseurs (dont remises sur prix d’achat).</t>
  </si>
  <si>
    <t xml:space="preserve">avant la comptabilisation et rapprochement de la facture il est toujours possible d'appliquer des conditions supplémentaire sur une commande (comme une pénalité avec des frais complémentaires "négatifs", ou des remises complémentaire). 
Après coup, il conviendra de définir des solutions de contournement en utilisant des remises arrières a posteriori par exemple. </t>
  </si>
  <si>
    <t>Prise en charge d’un workflow de demandes, saisie / rattachement à la commande, et comptabilisation d’avoir,  en lien avec CBS (portail fournisseur).​</t>
  </si>
  <si>
    <t>Possibilité d’ajouter / de gérer des pénalités fournisseurs directement sur une commande d’achat.​
-  Notamment des remises sur prix d’achat.</t>
  </si>
  <si>
    <t>avant la comptabilisation et rapprochement de la facture il est toujours possible d'appliquer des conditions supplémentaire sur une commande (comme une pénalité avec des frais complémentaires "négatifs", ou des remises complémentaire). 
L'impact des Frais sur le prix de revient est paramétrable, une remise en revanche est toujours incluse dans le prix de revient</t>
  </si>
  <si>
    <t>Génération automatique des provisions comptables d’achat, corrélées aux transactions et évènements opérationnels.​
-  Dont jalons / statut et évènements de de commande (ex : FAR générées à la création / à l’expédition / à la remise au transitaire de la commande).​</t>
  </si>
  <si>
    <t xml:space="preserve">La réception de tout ou partie de la commande génère la FNP en standard.
Certains évènements ne peuvent déclencher la provision: confirmation de la commande fournisseur n'est pas un évènement comptable, le module "landed cost" devra être activé et paramétré pour utiliser des évènements externes comme l'expédition ou la remise au transitaire. </t>
  </si>
  <si>
    <t>Purge automatique des montants provisionnés pour la commande, lors du rapprochement de la facture fournisseur et de la commande d’achat.​</t>
  </si>
  <si>
    <t>Etat de reporting “commandes et factures rapprochées”​</t>
  </si>
  <si>
    <t>Possibilité d’éditer un état des commandes et factures rapprochées (dont N°, détails et écarts éventuels), général ou ciblé.​</t>
  </si>
  <si>
    <t>Prise en charge d’une extraction / d’un reporting des transactions d’achat  formaté aux exigences de la DEB.​</t>
  </si>
  <si>
    <t>XI. Autres besoins</t>
  </si>
  <si>
    <t>Automatisation</t>
  </si>
  <si>
    <t>Processus</t>
  </si>
  <si>
    <t>Le système permet-il le paramétrage de processus automatisés, sur la base de conditions multiples ?</t>
  </si>
  <si>
    <t>OUI</t>
  </si>
  <si>
    <t xml:space="preserve">Typiquement les approbations de workflow, credit limit, rapprochement fournisseur, alertes … peuvent être paramétrés pour être automatisé (seuil, catégorie, ..) ou non. 
PowerAutomate permet aussi d'automatiser certaines taches, et petit à petit certains agents également </t>
  </si>
  <si>
    <t>Compatibilité</t>
  </si>
  <si>
    <t>Réactivité / responsive design</t>
  </si>
  <si>
    <t>L'affichage est-il optimisé, sur desktop, pour les principaux navigateurs (Edge, Chrome, Firefox, Opera) ?</t>
  </si>
  <si>
    <t>Oui pour Edge, Firefox, Chrome, mais certains feature seront inopérant sur Opéra, mais l'affichage ser OK.</t>
  </si>
  <si>
    <t>L'affichage est-il compatible et optimisé pour mobile ?</t>
  </si>
  <si>
    <t xml:space="preserve">Pour les parties de l'application qui nécessite une utilisation sur un device mobile alors une solution optimisées existe (typiquement Approbation, T&amp;E,, WMS,POS,  workflow, dashboard PBI …). 
Tous l'ERP est utilisable depuis un mobile, mais l'afichage n'est pas optimisé pour cette utilisation . </t>
  </si>
  <si>
    <t>L'affichage est-il compatible et optimisé pour tablette ?</t>
  </si>
  <si>
    <t xml:space="preserve">Il est recommandé d'utiliser un écran d'au moins 13 pouces avec une résolution minimale de 1920 x 1080 pixels </t>
  </si>
  <si>
    <t>Des limitations existent-elles sur certains terminaux ou navigateurs ?</t>
  </si>
  <si>
    <t>Dynamics 365 Finance est compatible avec les navigateurs modernes comme Edge, Chrome et Safari.
Internet Explorer 11 n’est plus pris en charge et peut bloquer certaines fonctionnalités.
Certaines fonctions avancées nécessitent un poste de travail, notamment pour l’édition de rapports.</t>
  </si>
  <si>
    <t>Application mobile</t>
  </si>
  <si>
    <t>Existe-t-il une application mobile ou PWA ?</t>
  </si>
  <si>
    <t xml:space="preserve">Il existe des application mobiles, voir ligne 427 </t>
  </si>
  <si>
    <t>Des limitations existent-elles sur la version mobile ou PWA ?</t>
  </si>
  <si>
    <t>Multi-entités et localisations</t>
  </si>
  <si>
    <t>Gestion multi-sociétés / muli-entités juridiques</t>
  </si>
  <si>
    <t>Le système permet-il la gestion de plusieurs entités juridiques dans une instance unique ?</t>
  </si>
  <si>
    <t>Une séparation des données entre entités (clients, fournisseurs, stocks, prix, reporting, etc) est-elle prise en charge ou paramétrable ?</t>
  </si>
  <si>
    <t>La gestion des droits permets de paramétrer de façon flexible l'accès aux données (CRUD). Un framework de ségrégation d'accès aux données (XDS) permet également de gérer des règles "métier" (exemple un chef de produit ne verra que ses produits)</t>
  </si>
  <si>
    <t>Les flux interco (commandes, transferts de stocks, etc.) sont-ils nativement et automatiquement supportés ?</t>
  </si>
  <si>
    <t>Gestion multi-marques</t>
  </si>
  <si>
    <t xml:space="preserve">Le système permet-il la gestion de données référentielles (articles, clients, conditions commerciales, catalogues et assortiments, etc.) propres à chaque marque ? </t>
  </si>
  <si>
    <t>Plutôt oui, mais la réponse dépend aussi de l'architecture qu'on retiendra pour les legal entities … cette question nécessite une analyse détaillée</t>
  </si>
  <si>
    <t xml:space="preserve">Le système permet-il la gestion de paramètres et données transactionnelles (conditions logistiques, commandes d'achats, commandes de ventes, etc.) propres à chaque marque ? </t>
  </si>
  <si>
    <t>Le système permet-il la mutualisation de certaines ressources (stocks, fournisseurs, entrepôts, etc.) tout en conservant des règles spécifiques par marque ?</t>
  </si>
  <si>
    <t>Gestion multi-pays et multi-localisations</t>
  </si>
  <si>
    <t xml:space="preserve">Le système gère-t-il les spécificités fiscales, réglementaires et logistiques (TVA, DEB, douanes, etc) des principaux pays ? </t>
  </si>
  <si>
    <t>lien MS : https://learn.microsoft.com/fr-fr/dynamics365/finance/localizations/france/emea-fra-intrastat</t>
  </si>
  <si>
    <t xml:space="preserve">Le système gère-t-il nativement et automatiquement les calendriers (jours feriés, travaillés, ouvrés, ouvrables) des principaux pays ? </t>
  </si>
  <si>
    <t>Est-il possible de configurer des calendriers par pays ?</t>
  </si>
  <si>
    <t>oui mais les calendriers sont généralement liés à des activités, et non à un pays (exemple ouverture d'un site, magasin, entrepot, calendrier d'achat, ….). 
Mais tousles calendriers peuvent être dérivé d'un calendrier de référence, celui là peut être spécifique par pays</t>
  </si>
  <si>
    <t>Le système prend-il en charge les principales devises mondiales ?</t>
  </si>
  <si>
    <t>oui</t>
  </si>
  <si>
    <t>Le système prend-il spécifiquement en charge l'Euro (et les règles / taux de conversion avec les autres devises) ?</t>
  </si>
  <si>
    <t>Le système prend-il spécifiquement en charge l'US Dollar (et les règles / taux de conversion avec les autres devises) ?</t>
  </si>
  <si>
    <t>Le système prend-il spécifiquement en charge le Yuan chinois (et les règles / taux de conversion avec les autres devises) ?</t>
  </si>
  <si>
    <t>Le système prend-il spécifiquement en charge le Zloty polonais (et les règles / taux de conversion avec les autres devises) ?</t>
  </si>
  <si>
    <t>Le système est-il entièrement multilingue (y compris workflows, messages systèmes et rapports) ?</t>
  </si>
  <si>
    <t xml:space="preserve">lien MS : https://learn.microsoft.com/en-us/dynamics365/fin-ops-core/dev-itpro/analytics/er-design-multilingual-reports
</t>
  </si>
  <si>
    <t>Le système permet-il de gérer les données référentielles (libellés et valeurs de champs : articles, attributs, clients, descriptions, documents, etc.) en plusieurs langues et traductions ?</t>
  </si>
  <si>
    <t xml:space="preserve">Certaines valeurs ne sont pas multilingues, par exemple le nom du client n'est pas multilingue. 
La designation du produit n'est pas multilingue, mais sa désignation commerciale l'est et typiquement la langue du client ou de la commande client viendra sélectionner la traduction attendue sur les documents commerciaux par exemple. </t>
  </si>
  <si>
    <t>Le paramétrage des langues est-il flexible (par utilisateur, entité, marque) ?</t>
  </si>
  <si>
    <t>Entitée légale / pays, client, fournisseur, utilisateurs notamment</t>
  </si>
  <si>
    <t>Les formats locaux sont-ils pris en compte (date, nombre, décimales et milliers, adresses, téléphone, etc.) ?</t>
  </si>
  <si>
    <t>oui (même paramétrage que dans M365)</t>
  </si>
  <si>
    <t>Pilotage et reporting</t>
  </si>
  <si>
    <t>Gestion des rapports</t>
  </si>
  <si>
    <t xml:space="preserve">La solution propose-t-elle une bibliothèque de rapports standards ? </t>
  </si>
  <si>
    <t>L'ajout de rapports pré-paramétrés ou pré-configurés par les utilisateurs est-il possible ?</t>
  </si>
  <si>
    <t>Oui</t>
  </si>
  <si>
    <t>Le système est-il compatible avec Power BI ?</t>
  </si>
  <si>
    <t xml:space="preserve">oui, PBI est embarqué dans ka </t>
  </si>
  <si>
    <t xml:space="preserve">Votre ERP est-il compatible avec Business Objects (BO) ? </t>
  </si>
  <si>
    <t>APPLICATION</t>
  </si>
  <si>
    <t>ROLE</t>
  </si>
  <si>
    <t>PRINCIPALES DONNEES ENVOYEES PAR L'ERP</t>
  </si>
  <si>
    <t>PRINCIPALES DONNEES RECUES PAR L'ERP</t>
  </si>
  <si>
    <t>ESTIMATION COUTS MISE EN ŒUVRE</t>
  </si>
  <si>
    <t>LIMITE DE VOLUME DE TRANSFERT O/N</t>
  </si>
  <si>
    <t>DETAIL DES  LIMITES DE TRANSFERT</t>
  </si>
  <si>
    <t>Planification des achats</t>
  </si>
  <si>
    <t>OPTIMATE</t>
  </si>
  <si>
    <t>Calcule les budgets d'achats à partir des budgets de ventes
Etablit les planning hebdomadaires d'achats</t>
  </si>
  <si>
    <t>-</t>
  </si>
  <si>
    <t>- Demandes d'achats (à la semaine)
     - par Modèle Coloris Taille
     - par client (Beaumanoir découpe ses commandes d'achat par canal et client)</t>
  </si>
  <si>
    <t>DEV. Interface spécifique à développer</t>
  </si>
  <si>
    <t xml:space="preserve">Nous utilisons Data Management Framework (standard D365) pour intégrer la solution via un middleware en charge de la Transfo, Mapping, orchestration ... Il existe des exceptions comme par exemple des intégrations real time.   
L'effort total par flux varie entre 2 et 10 jours pour la demi interface coté D365, selon le pattern, la complexité et le RACI  ...
Le découplage de l'intégration permet d'accélérer / favoriser la réutilisation de la demi interface. Il est trop toôt pour "factoriser" cette approche. </t>
  </si>
  <si>
    <t>NON</t>
  </si>
  <si>
    <t xml:space="preserve">Le pattern d'intégration utilisé sera adapté à la volumétrie et la fréquence. </t>
  </si>
  <si>
    <t>Développement des produits</t>
  </si>
  <si>
    <t>CENTRIX PLM</t>
  </si>
  <si>
    <t>Définit la liste des Articles et leurs données / attributs
Gère les assortiments (segmentation client et magasins)</t>
  </si>
  <si>
    <t>- Données articles  détaillées : codes, désignations, attributs</t>
  </si>
  <si>
    <t>idem Ligne #2</t>
  </si>
  <si>
    <t>Portail fournisseurs et partenaires</t>
  </si>
  <si>
    <t>SAP SNC</t>
  </si>
  <si>
    <t>Met à jour les commandes d'achat (saisie fournisseurs via portail)
Transmet des données relatives aux commandes d'achat (messages transitaire, étiquettes au partenaire dédiée, etc.)</t>
  </si>
  <si>
    <t>- Données de commandes détaillées (à la ligne)
- Références articles et données essentielles (pour étiquettes composition)
- Données d'étiquettage retail (index et donnés tailles et prix)</t>
  </si>
  <si>
    <t>- Mise à jour de commandes d'achats</t>
  </si>
  <si>
    <t>Gestion d'entrepôts</t>
  </si>
  <si>
    <t>INCONSO WMS
MANHATTAN WMS
REFLEX WMS</t>
  </si>
  <si>
    <t>Pilote les opérations entrepôt (stocks, commandes) en lien avec l'ERP</t>
  </si>
  <si>
    <t>- Données articles détaillées
- Données de commandes d'achat détaillées
- Données de commandes de vente détaillées</t>
  </si>
  <si>
    <t>- Mouvements de stocks
- Mise à jour statuts de commandes de vente
- Mise à jour statuts de commandes d'achat</t>
  </si>
  <si>
    <t xml:space="preserve">idem ligne #2
Une intégration découplée est recommandée ici pour éiter de démultiplier les flux. </t>
  </si>
  <si>
    <t>Calcul des optimums de stocks magasins</t>
  </si>
  <si>
    <t>SCOR-TEX</t>
  </si>
  <si>
    <t>Calcule les stocks magasin idéaux sur la base des données de ventes et de stocks
Peut calculer des propositions de réapprovisionnement à partir des données de ventes et d'écoulement et des stocks</t>
  </si>
  <si>
    <t>- Données de stocks centraux, par Modèle Coloris Taille</t>
  </si>
  <si>
    <t>- Réception des optimum de stocks magasins calculés par SCOR-TEX, au niveau MCT / magasin</t>
  </si>
  <si>
    <t>Gestion des points de vente (POS)</t>
  </si>
  <si>
    <t>CEGID Y2</t>
  </si>
  <si>
    <t>Gère l'ensemble des opérations des magasins, dont émission des demandes de réassort, réception des commandes de réassort et stocks magasins  au détail</t>
  </si>
  <si>
    <t>- Données articles détaillées
- Données de prix détaillées
- Données d'opérations promotionnelles
- Données de commandes de vente détaillées (MEP et réassort)
- Messages et annonces logistiques (livraisons, retours)</t>
  </si>
  <si>
    <t>- Ventes magasins (consolidées)
- Valeurs des stocks magasins
- Demandes de réassort</t>
  </si>
  <si>
    <t xml:space="preserve">Idem Ligne#2
Selon la roadmap de GBM sur le Retail, il serait possible aussi d'utiliser le "commerce scale unit" pour intégrer les POS et l'ecommerce. Opportunité à analyser. </t>
  </si>
  <si>
    <t>UNIVERS RETAIL</t>
  </si>
  <si>
    <t>Gère l'ensemble des opérations des magasins, dont réception des commandes de réassort et stocks magasins  au détail</t>
  </si>
  <si>
    <t>Relation client (CRM)</t>
  </si>
  <si>
    <t>ZOHO CRM</t>
  </si>
  <si>
    <t>Pilote la relation client et la passation des commandes wholesale et e-commerce (appuyé par Elastic Search)
Publie les catalogues clients
Gère certaines opérations promotionnelles</t>
  </si>
  <si>
    <t>- Organisation commerciale
- Données articles détaillées
- Données de prix détaillées (dont conditions de vente)
- Données d'opérations promotionnelles
- Données de commandes détaillées (B2B, e-commerce)
- Messages et annonces logistiques (livraisons, retours)</t>
  </si>
  <si>
    <t>- Données clients essentielles (référentielles)
- Détail des commandes de vente à créer
- Détail des demandes de retours à traiter</t>
  </si>
  <si>
    <t>SALESFORCE CRM</t>
  </si>
  <si>
    <t>Commissionnement</t>
  </si>
  <si>
    <t>SAP VISTEX</t>
  </si>
  <si>
    <t>Calcule les factures de commission (force de vente partenaire)</t>
  </si>
  <si>
    <t>- Organisation commerciale
- Données clients essentielles (référentielles)
- Données essentielles de commandes de vente (chiffre d'affaires et données de calcul)</t>
  </si>
  <si>
    <t>- Détail des "commandes de commissionnement" à régler (par partenaire FDV)</t>
  </si>
  <si>
    <t>Finance et comptabilité</t>
  </si>
  <si>
    <t>SAP FICO</t>
  </si>
  <si>
    <t>Génère et enregistre les factures
Assure la gestion financière et comptable</t>
  </si>
  <si>
    <t>- Données clients / tiers à facturer détaillées
- Données spécifiques à la facturation : template à utiliser, mentions particulières, etc.
- Données d'éditique : template complet, valeurs de champs
- Conditions contractuelles et conditions de remise détaillées
- Données de commandes de ventes détaillées (articles et prestations, prix, devise)</t>
  </si>
  <si>
    <t>* il s'agit ici de recenser les données essentielles et susceptibles de représenter la volumétrie la plus importante</t>
  </si>
  <si>
    <t>LISTE DES CRITERES NON FONCTIONNELS</t>
  </si>
  <si>
    <t>COMPLEMENTS</t>
  </si>
  <si>
    <t xml:space="preserve">Architecture </t>
  </si>
  <si>
    <t>Généralités</t>
  </si>
  <si>
    <t>Quels langages de programmation sont utilisés pour le développement de votre ERP?</t>
  </si>
  <si>
    <t>Voir liste des langues supportées</t>
  </si>
  <si>
    <t>Country/regional availability and supported languages - Business Central | Microsoft Learn</t>
  </si>
  <si>
    <t xml:space="preserve">Quelles sont les bases de données actuellement supportées par votre ERP?  </t>
  </si>
  <si>
    <t>Base de données type SQL intégrée</t>
  </si>
  <si>
    <t>Modularité</t>
  </si>
  <si>
    <t>Votre solution permet-elle des développements spécifiques ? Si oui, dans quel langage ?</t>
  </si>
  <si>
    <t>.NET</t>
  </si>
  <si>
    <t>Les domaines fonctionnels suivants sont-ils couverts par le socle principal, ou des modules / solutions annexes ?</t>
  </si>
  <si>
    <t xml:space="preserve">                    - Planning (amont)</t>
  </si>
  <si>
    <t>SOC. Socle central</t>
  </si>
  <si>
    <t>Module Demand Planning</t>
  </si>
  <si>
    <t xml:space="preserve">                    - Gestion des achats</t>
  </si>
  <si>
    <t>Procurement</t>
  </si>
  <si>
    <t xml:space="preserve">                    - Portail fournisseur (avec workflow intégré)</t>
  </si>
  <si>
    <t xml:space="preserve">                    - Gestion des stocks</t>
  </si>
  <si>
    <t>Supply Chain</t>
  </si>
  <si>
    <t xml:space="preserve">                    - Gestion des ventes </t>
  </si>
  <si>
    <t xml:space="preserve">                    - Transport </t>
  </si>
  <si>
    <t xml:space="preserve">                    - Portail / communication prestataires transport (avec workflow intégré)</t>
  </si>
  <si>
    <t>Interface</t>
  </si>
  <si>
    <t xml:space="preserve">                    - ADV</t>
  </si>
  <si>
    <t>Sécurité et conformité</t>
  </si>
  <si>
    <t>Sécurité</t>
  </si>
  <si>
    <t>La localisation des serveurs est elle en France ?</t>
  </si>
  <si>
    <t>Localisation en France, Irlande et Pays-Bas. Pour des raisons de performance nous conseillons d'utiliser le serveur en Irlande.</t>
  </si>
  <si>
    <t>Possibilité de gérer des accès basés sur les rôles (Role-Based Access Control)</t>
  </si>
  <si>
    <t>Possibilité de gérer le MFA (Multi-Factor Authentication)</t>
  </si>
  <si>
    <t>Via Azure Entra ID</t>
  </si>
  <si>
    <t>Le système permet-il de gérer l’approbation des demandes d’accès (workflows d’approbation pour la création ou modification de rôles) ?</t>
  </si>
  <si>
    <t>Il est possible de mettre en oeuvre un flux de validation avec Power Automate</t>
  </si>
  <si>
    <t>Des mécanismes existent-ils pour revoir et actualiser régulièrement les autorisations d’accès ?</t>
  </si>
  <si>
    <t>Rapport sur les roles et utilisateurs actifs disponible</t>
  </si>
  <si>
    <t>Possibilité de chiffrement des données critiques</t>
  </si>
  <si>
    <t>Pour Dynamics 365, toutes les organisations, nouvelles ou mises à niveau, utilisent le chiffrement des données par défaut. Ce chiffrement ne peut pas être désactivé.
Les utilisateurs Dynamics 365 disposant du rôle de sécurité Administrateur système peuvent modifier la clé de chiffrement à tout moment. Pour plus d'informations, consultez :
• Validation FIPS 140-2 : https://learn.microsoft.com/en-us/windows/security/threat-protection/fips-140-validation
• Améliorez la sécurité en chiffrant vos données : https://learn.microsoft.com/en-us/power-platform/admin/data-encryption
Toutes les données Microsoft Dynamics 365 au repos sont chiffrées. La base de données Dynamics 365 est hébergée dans Azure SQL, qui utilise le chiffrement transparent des données sur l'ensemble de la base de données. Tous les points de terminaison publics sont sécurisés par le protocole TLS (Transport Layer Security) 1.2, qui établit une connexion sécurisée et chiffrée entre le navigateur et le serveur.</t>
  </si>
  <si>
    <t>Possibilité de duplication des données</t>
  </si>
  <si>
    <t>Les données sont dupliquées dans un 2eme datacenter par sécurité</t>
  </si>
  <si>
    <t>Le système conserve-t-il un journal des accès utilisateur (logs de connexion et actions critiques) ?</t>
  </si>
  <si>
    <t>L’audit trail est-il consultable via une interface utilisateur ou exportable à des fins d’audit ?</t>
  </si>
  <si>
    <t>Les deux</t>
  </si>
  <si>
    <t>Est-il possible d’identifier précisément l’utilisateur, la date et l’heure de chaque action critique ?</t>
  </si>
  <si>
    <t>Activation de l'audit trail configurable</t>
  </si>
  <si>
    <t>Disposez-vous d’une politique formelle de gestion des incidents de sécurité ?</t>
  </si>
  <si>
    <t>Type d'incident à détailler</t>
  </si>
  <si>
    <t>Conformité</t>
  </si>
  <si>
    <t>La solution est elle en conformité avec la RGPD?</t>
  </si>
  <si>
    <t>L'hébergement des données est il en Europe?</t>
  </si>
  <si>
    <t>Irlande, Pays-bas, France</t>
  </si>
  <si>
    <t>Votre solution ERP est-elle certifiée selon la norme ISO/IEC 27001</t>
  </si>
  <si>
    <t>Disposez-vous d’un rapport SOC 1  pour votre solution ERP ?</t>
  </si>
  <si>
    <t>Les rapports d'audit et de certification tiers sont disponibles sur le portail Microsoft Service Trust Portal (STP) à l'adresse https://aka.ms/STP. Pour accéder à certaines ressources du STP, vous devez vous connecter en tant qu'utilisateur authentifié avec votre compte de services cloud Microsoft et un compte d'organisation Microsoft Entra ID (Azure Active Directory), puis consulter et accepter l'accord de confidentialité Microsoft relatif aux documents de conformité.
Si vous êtes un nouveau client ou un prospect évaluant les services en ligne Microsoft, vous devrez peut-être créer un compte d'essai pour accéder au STP. Pour plus d'informations, veuillez consulter : https://learn.microsoft.com/en-us/microsoft-365/compliance/get-started-with-service-trust-portal?view=o365-worldwide
• Les rapports SOC sont disponibles ici : https://servicetrust.microsoft.com/viewpage/SOC
• Les rapports ISO sont disponibles ici : https://servicetrust.microsoft.com/viewpage/ISOIEC
Les rapports SOC, ISO et autres rapports d'audit indépendants sont disponibles pour Azure, Dynamics 365, Microsoft 365 et d'autres solutions. Ils sont mis à jour régulièrement dès leur publication.</t>
  </si>
  <si>
    <t>Disposez-vous d'un rapport SOC 2 pour votre solution ERP?</t>
  </si>
  <si>
    <t>Votre solution respecte-t-elle d'autres normes ou cadres de sécurité ?</t>
  </si>
  <si>
    <t>https://learn.microsoft.com/en-us/compliance/regulatory/offering-home</t>
  </si>
  <si>
    <t>Propriété des données</t>
  </si>
  <si>
    <t>L'utilisateur conserve-t-il la propriété légale exclusive de ses données ?</t>
  </si>
  <si>
    <t>Les données appartiennent au Groupe Beaumanoir</t>
  </si>
  <si>
    <t>En cas de résiliation, garantissez-vous la restitution complète des données ?</t>
  </si>
  <si>
    <t>En cas de résiliation, garantissez-vous la suppression définitive des données de vos serveurs ?</t>
  </si>
  <si>
    <t>Il existe un processus de destruction des données pour assure une suppression définitive lors de la fin du contrat.</t>
  </si>
  <si>
    <t>Est-il possible d'exporter les données à tout moment?</t>
  </si>
  <si>
    <t>Module de Data Management</t>
  </si>
  <si>
    <t>La récupération des données est elle possible de manière automatisée?</t>
  </si>
  <si>
    <t>L'intégralité des données peut-elles être exportée ?</t>
  </si>
  <si>
    <t>VOLUMES D'ACTIVITE</t>
  </si>
  <si>
    <t>COMMENTAIRES</t>
  </si>
  <si>
    <t>Volumes de données référentielles et transactionnelles</t>
  </si>
  <si>
    <t>En vous référant au fichier ANNEXE - Volumétrie, 
La solution peut-elle prendre en charge tous les volumes de données, de transactions et d'activité du Groupe Beaumanoir tels que décrits, sans dégradation des performances ?</t>
  </si>
  <si>
    <t>La solution peut-elle prendre gérer des traitements de reporting, import et export sur les volumes suivants, sans dégradation des performances ?</t>
  </si>
  <si>
    <t xml:space="preserve">                    - Références articles Modèles-Coloris : 30 000</t>
  </si>
  <si>
    <t xml:space="preserve">                    - Référence articles Modèle-Coloris-Taille : 260 000</t>
  </si>
  <si>
    <t xml:space="preserve">                    - Fournisseur actifs : 1 000</t>
  </si>
  <si>
    <t xml:space="preserve">                    - Clients WholeSale : 10 000</t>
  </si>
  <si>
    <t xml:space="preserve">                    - Dépôts logiques : 160</t>
  </si>
  <si>
    <t>Gestion des pics de charge</t>
  </si>
  <si>
    <t>La solution peut-elle prendre en charge des pics de charge tels qu'indiqués ci-dessous, sans dégradation des performances ?</t>
  </si>
  <si>
    <t>En cas de pics prévues, allouer des support afin d'avoir les bonnes ressources</t>
  </si>
  <si>
    <t xml:space="preserve">                    - Utilisateurs simultanés : 950</t>
  </si>
  <si>
    <t xml:space="preserve">                    - Commandes de vente créées en une journée : 400 000</t>
  </si>
  <si>
    <t xml:space="preserve">                    - Commandes d'achat créées en une journée : 11 000</t>
  </si>
  <si>
    <t>Volumes en entrée et sortie</t>
  </si>
  <si>
    <t>Indiquer ci-après les limites éventuelles, en nombre de lignes, pour le traitement d'un FICHIER PLAT  en import direct (sur un même fichier) :</t>
  </si>
  <si>
    <t xml:space="preserve">                    - Limites de lignes de traitement en entrée / import</t>
  </si>
  <si>
    <t>6000 requêtes sur 5min glissantes</t>
  </si>
  <si>
    <t xml:space="preserve">                    - Limites de lignes de traitement en sortie / export</t>
  </si>
  <si>
    <t>Indiquer ci-après les limites éventuelles, en nombre de lignes, pour le traitement de données via API (sur un même fichier / batch / traitement) :</t>
  </si>
  <si>
    <t>MONTEE EN CHARGE - SCENARIO 1</t>
  </si>
  <si>
    <t>Montée en charge : x3</t>
  </si>
  <si>
    <t>Etes-vous capable de gérer ce scénario (hypothétique) de montée en charge ?</t>
  </si>
  <si>
    <t xml:space="preserve">                    - Références articles Modèles-Coloris : 90 000</t>
  </si>
  <si>
    <t xml:space="preserve">                    - Référence articles Modèle-Coloris-Taille : 780 000</t>
  </si>
  <si>
    <t xml:space="preserve">                    - Fournisseur actifs : 3 000</t>
  </si>
  <si>
    <t xml:space="preserve">                    - Clients WholeSale : 30 000</t>
  </si>
  <si>
    <t xml:space="preserve">                    - Dépôts logiques : 480</t>
  </si>
  <si>
    <t xml:space="preserve">                    - Utilisateurs simultanés : 2 850</t>
  </si>
  <si>
    <t xml:space="preserve">                    - Commandes de vente créées en une journée : 1 200 000</t>
  </si>
  <si>
    <t xml:space="preserve">                    - Commandes d'achat créées en une journée : 33 000</t>
  </si>
  <si>
    <t>MONTEE EN CHARGE - SCENARIO 2</t>
  </si>
  <si>
    <t>Montée en charge : x10</t>
  </si>
  <si>
    <t xml:space="preserve">                    - Références articles Modèles-Coloris : 300 000</t>
  </si>
  <si>
    <t xml:space="preserve">                    - Référence articles Modèle-Coloris-Taille : 2 600 000</t>
  </si>
  <si>
    <t xml:space="preserve">                    - Fournisseur actifs : 10 000</t>
  </si>
  <si>
    <t xml:space="preserve">                    - Clients WholeSale : 100 000</t>
  </si>
  <si>
    <t xml:space="preserve">                    - Dépôts logiques : 1 600</t>
  </si>
  <si>
    <t xml:space="preserve">                    - Utilisateurs simultanés : 9 500</t>
  </si>
  <si>
    <t xml:space="preserve">                    - Commandes de vente créées en une journée : 4 000 000</t>
  </si>
  <si>
    <t xml:space="preserve">                    - Commandes d'achat créées en une journée : 110 000</t>
  </si>
  <si>
    <t>LISTE DES CRITERES SUPPORT &amp; DISPONIBILITE</t>
  </si>
  <si>
    <t>Aide</t>
  </si>
  <si>
    <t>Documentation</t>
  </si>
  <si>
    <t>Existe-t-il une documentation technique destinée aux développeurs tiers ?</t>
  </si>
  <si>
    <t>Existe-t-il une documentation pour les utilisateurs?</t>
  </si>
  <si>
    <t>Licensing Documents</t>
  </si>
  <si>
    <t>Support</t>
  </si>
  <si>
    <t>Informations générales</t>
  </si>
  <si>
    <t>En tant qu'éditeur, disposez-vous d'un support local / francophone ?</t>
  </si>
  <si>
    <t>Francophone</t>
  </si>
  <si>
    <t>Votre support est-il disponible 24/7 ?</t>
  </si>
  <si>
    <t>mode follow the sun</t>
  </si>
  <si>
    <t>Quelles prestations sont en option ou soumises à facturation supplémentaire ?</t>
  </si>
  <si>
    <t>Contrat de support Unified + offre de services proactive personnalisée (migration assessment, Change readiness assessment, Revue de Code, Revue de performance, jour d’ingénierie personnalisée...) + learnings + Conseils</t>
  </si>
  <si>
    <t>Customer success management</t>
  </si>
  <si>
    <t>Proposez-vous un dispositif de Customer Success Management / "guichet unique" pour chaque client ?</t>
  </si>
  <si>
    <t>Présent dans le cadre du contrat Unified</t>
  </si>
  <si>
    <t>Le CSM est-il inclus dans le contrat de licence ou proposé en option ?</t>
  </si>
  <si>
    <t>Option - En pourcentage de votre P-Spend D365</t>
  </si>
  <si>
    <t>Support de niveau 1</t>
  </si>
  <si>
    <t>Proposez-vous un support de niveau 1 ?</t>
  </si>
  <si>
    <t>Avec ou sans Contrat Unified</t>
  </si>
  <si>
    <t>Ce niveau de support est-il assuré par l'éditeur ou par un partenaire/intégrateur ?</t>
  </si>
  <si>
    <t>EDI. Editeur</t>
  </si>
  <si>
    <t>Telemetrie + recommandations par Editeur / implémentation par Partenaire ou équipe IT</t>
  </si>
  <si>
    <t>Ce niveau de support est-il inclus dans le prix de la licence utilisateur (prix d'entrée / plancher) ?</t>
  </si>
  <si>
    <t>Mode calcul = 7,5% du Product Spend de la solution D365 / prix plancher = 50000 USD</t>
  </si>
  <si>
    <t>Support de niveau 2</t>
  </si>
  <si>
    <t>Proposez-vous un support de niveau 2 ?</t>
  </si>
  <si>
    <t>Equipe Critsit (Unified)</t>
  </si>
  <si>
    <t>Mode calcul = 7,5 %du Product Spend de la solution D365 / prix plancher = 50000 USD</t>
  </si>
  <si>
    <t>Support de niveau 3</t>
  </si>
  <si>
    <t>Proposez-vous un support de niveau 3 ?</t>
  </si>
  <si>
    <t>Equipe Product Group (concepteur de la solution)</t>
  </si>
  <si>
    <t>7,5 % du Product Spend de la solution D365 / prix plancher = 50000 USD</t>
  </si>
  <si>
    <t>Disponibilité</t>
  </si>
  <si>
    <t>Disponibilité et interruption</t>
  </si>
  <si>
    <t>Quel est le taux de disponibilité garanti de votre solution ?</t>
  </si>
  <si>
    <t>99,9%</t>
  </si>
  <si>
    <t>Voir Master agreement</t>
  </si>
  <si>
    <t>Quel est le temps maximal d’interruption ?</t>
  </si>
  <si>
    <t>8h</t>
  </si>
  <si>
    <t>CLIENT</t>
  </si>
  <si>
    <t>NOMBRE D'UTILISATEURS ACTIFS</t>
  </si>
  <si>
    <t>PERIMETRE FONCTIONNEL DEPLOYE</t>
  </si>
  <si>
    <t>PARTENAIRE INTEGRATEUR SUR LE PROJET</t>
  </si>
  <si>
    <t>DUREE DU PROJET  (approx.)</t>
  </si>
  <si>
    <t>BUDGET DE DEPLOIEMENT (approx.)</t>
  </si>
  <si>
    <t>PRISE DE CONTACT AUTORISEE</t>
  </si>
  <si>
    <t>EMAIL DU CONTACT</t>
  </si>
  <si>
    <t>Gestion du référentiel</t>
  </si>
  <si>
    <t>Gestion des saisons</t>
  </si>
  <si>
    <t>Planning</t>
  </si>
  <si>
    <t>Production</t>
  </si>
  <si>
    <t>Gestion des achats</t>
  </si>
  <si>
    <t>Gestion des ventes</t>
  </si>
  <si>
    <t>Allocations</t>
  </si>
  <si>
    <t>Expédition, livraison, suivi, retours</t>
  </si>
  <si>
    <t>ADV</t>
  </si>
  <si>
    <t>Autre (préciser)</t>
  </si>
  <si>
    <t>BOARDRIDERS</t>
  </si>
  <si>
    <t>Dans la documentation ci-jointe</t>
  </si>
  <si>
    <t>FABIANA FILIPPI</t>
  </si>
  <si>
    <t>AVANADE</t>
  </si>
  <si>
    <t>BLUNDSTONE</t>
  </si>
  <si>
    <t>BUCHERER</t>
  </si>
  <si>
    <t>BESTSELLERS</t>
  </si>
  <si>
    <t>https://www.microsoft.com/en/customers/story/770821-bestseller-retailers-dynamics-365</t>
  </si>
  <si>
    <t>COLUMBIA</t>
  </si>
  <si>
    <t>https://www.microsoft.com/en/customers/story/861653-columbia-sportswear-retailers-dynamics-365#project-details-section</t>
  </si>
  <si>
    <t>LIDS</t>
  </si>
  <si>
    <t>Blue Horseshoe</t>
  </si>
  <si>
    <t>https://www.microsoft.com/en/customers/story/1333890335927415070-lids-retailers-dynamics365-en-united-states</t>
  </si>
  <si>
    <t>SPORTISIMO</t>
  </si>
  <si>
    <t>https://www.microsoft.com/en/customers/story/1658280067649725407-sportisimo-retailers-power-apps-en-czech-republic</t>
  </si>
  <si>
    <t>MANOR</t>
  </si>
  <si>
    <t>https://www.microsoft.com/en/customers/story/1627395150795454842-manor-retailers-azure-en-switzerland#project-details-section</t>
  </si>
  <si>
    <t>DR. MARTENS</t>
  </si>
  <si>
    <t>https://www.microsoft.com/en/customers/story/775579-dr-martens-retailers-dynamics-365#project-details-section</t>
  </si>
  <si>
    <t>ADITYA BIRLA</t>
  </si>
  <si>
    <t>https://www.microsoft.com/en/customers/story/1708163472667013902-aditya-birla-fashion-retailers-dynamics365-india</t>
  </si>
  <si>
    <t>INFORMATIONS RELATIVES A L'INTEGRATION DE LA SOLUTION</t>
  </si>
  <si>
    <t>Ecosystème d'intégrateurs</t>
  </si>
  <si>
    <t>Quels sont les différents niveaux de certification d'un intégrateur sur votre solution ?</t>
  </si>
  <si>
    <t>Microsoft Gold &amp; Silver</t>
  </si>
  <si>
    <t>Gold : niveau d’excellence le plus élevé, démontrant une expertise approfondie et un nombre significatif de projets réussis.
Silver : niveau intermédiaire, attestant d’une bonne maîtrise des solutions Microsoft.</t>
  </si>
  <si>
    <t>Des formations (initiales et mise à niveau) sont-elles requises pour obtenir la certification ?</t>
  </si>
  <si>
    <t>Nombre de partenaires intégrateurs en France</t>
  </si>
  <si>
    <t>Nombre de partenaires intégrateurs certifiés en France (plus haut niveau de certification)</t>
  </si>
  <si>
    <t>Avanade ( premier partenaire mondiale, au niveau des certifications Microsoft)</t>
  </si>
  <si>
    <t>Nombre de partenaires intégrateurs en Europe</t>
  </si>
  <si>
    <t>Nombre de partenaires intégrateurs certifiés en Europe (plus haut niveau de certification)</t>
  </si>
  <si>
    <t>Nombre de partenaires intégrateurs dans le Monde</t>
  </si>
  <si>
    <t>4 000</t>
  </si>
  <si>
    <t>Nombre de partenaires intégrateurs certifiés dans le Monde (plus haut niveau de certification)</t>
  </si>
  <si>
    <t>Implication de l'éditeur</t>
  </si>
  <si>
    <t>En tant qu'EDITEUR, intégrez-vous / prenez-vous directement en charge certains projets avec des équipes internes dédiées ?</t>
  </si>
  <si>
    <t xml:space="preserve">possible </t>
  </si>
  <si>
    <t>Microsoft participe aux projet d'intégration avec des équipes projets nommé Fast track qui s'assure du respect des bests pratrices fonctionnelles et techniques en collaboration avec le partenaire et le client. Nous avons également des équipes d'intrégration MCS (Microsoft Consulting Services) ils interviennent sur des projets de grands volumes.</t>
  </si>
  <si>
    <t>En tant qu'EDITEUR, participez-vous activement à certains projets conduits par des partenaires (support / expertise technique, etc.) ?</t>
  </si>
  <si>
    <t>C'est l'objet des missions des equipes Fast tracks</t>
  </si>
  <si>
    <t>ESTIMATIONS BUDGETAIRES MACROSCOPIQUES</t>
  </si>
  <si>
    <t>ESTIMATION EN k€</t>
  </si>
  <si>
    <t>I. BUDGET DE MISE EN ŒUVRE</t>
  </si>
  <si>
    <t>Budget de mise en œuvre (setup et projet)</t>
  </si>
  <si>
    <t>Budget (en K€) estimé pour la mise en œuvre dans le contexte du Groupe Beaumanoir</t>
  </si>
  <si>
    <t>&lt;-- Ne pas saisir, calculé à partir des lignes du dessous</t>
  </si>
  <si>
    <r>
      <t xml:space="preserve">Estimation du coût de déploiement socle standard (pilotage projet, paramétrage, environnements dev + qual + prod, QA, migration / reprise de données, roll out)
</t>
    </r>
    <r>
      <rPr>
        <i/>
        <sz val="11"/>
        <color theme="1"/>
        <rFont val="Aptos Narrow"/>
        <family val="2"/>
        <scheme val="minor"/>
      </rPr>
      <t>hors customisation et développements spécifiques
hos interfaces
hors licences</t>
    </r>
  </si>
  <si>
    <t>Phase pilote</t>
  </si>
  <si>
    <r>
      <t xml:space="preserve">Estimation du coût de customization et développements spécifiques
</t>
    </r>
    <r>
      <rPr>
        <i/>
        <sz val="11"/>
        <color theme="1"/>
        <rFont val="Aptos Narrow"/>
        <family val="2"/>
        <scheme val="minor"/>
      </rPr>
      <t>à partir de l'onglet 1. Besoins fonctionnels, et autres postes de coûts que vous auriez identifiés</t>
    </r>
  </si>
  <si>
    <r>
      <t xml:space="preserve">Estimation du coût de customization et développements des connecteurs et interfaces
</t>
    </r>
    <r>
      <rPr>
        <i/>
        <sz val="11"/>
        <color theme="1"/>
        <rFont val="Aptos Narrow"/>
        <family val="2"/>
        <scheme val="minor"/>
      </rPr>
      <t>à partir de l'onglet 2. Interfaces, et autres postes de coûts que vous auriez identifiés</t>
    </r>
  </si>
  <si>
    <t>Estimation du coût des licences pour la 1e année (en cours  de projet)</t>
  </si>
  <si>
    <t>Prix en fonction du périmetre indiqué sur 950 utilisateurs</t>
  </si>
  <si>
    <t>Estimation d'autres coûts à provisionner</t>
  </si>
  <si>
    <t>II. BUDGET RECURRENT</t>
  </si>
  <si>
    <t>Budget annuel récurrent (OPEX)</t>
  </si>
  <si>
    <t>Budget ANNUEL (en K€) estimé pour l'utilisation de la solution</t>
  </si>
  <si>
    <r>
      <t xml:space="preserve">Estimation du coût ANNUEL des abonnements - base </t>
    </r>
    <r>
      <rPr>
        <b/>
        <sz val="11"/>
        <color rgb="FF000000"/>
        <rFont val="Aptos Narrow"/>
        <family val="2"/>
        <scheme val="minor"/>
      </rPr>
      <t>1 000 utilisateurs</t>
    </r>
    <r>
      <rPr>
        <sz val="11"/>
        <color rgb="FF000000"/>
        <rFont val="Aptos Narrow"/>
        <family val="2"/>
        <scheme val="minor"/>
      </rPr>
      <t xml:space="preserve"> en production
hor</t>
    </r>
    <r>
      <rPr>
        <i/>
        <sz val="11"/>
        <color theme="1"/>
        <rFont val="Aptos Narrow"/>
        <family val="2"/>
        <scheme val="minor"/>
      </rPr>
      <t>s prestations annexes (support utilisateurs étendu, maintenance applicative / évolutive, etc.)</t>
    </r>
  </si>
  <si>
    <t>Estimation du coût ANNUEL de support utilisateur étendu (niveaux hotline -&gt; expert technique), si pertinent</t>
  </si>
  <si>
    <t>Contract Unified + Project Quality advisory (incluant 200h d’Ingénierie Microsoft) - Phase Build/Run - Cout Année 1</t>
  </si>
  <si>
    <t>Estimation du coût ANNUEL de maintenance applicative, si pertinent</t>
  </si>
  <si>
    <t>Estimation ANNUEL d'autres coûts à provisionner</t>
  </si>
  <si>
    <t>AUTRES INFORMATIONS RELATIVES AU DEPLOIEMENT ET A L'UTILISATION</t>
  </si>
  <si>
    <t xml:space="preserve">I. MISE EN ŒUVRE </t>
  </si>
  <si>
    <t>Planning et méthodologie</t>
  </si>
  <si>
    <t>Estimation du délai (en mois) de mise en œuvre  pour un MVP / socle minimum</t>
  </si>
  <si>
    <t>Reférez vous au document de réponse RFi transmis page 40 sur le délai de mise en oeuvre. Une estimation a été fourni pour le pilote.</t>
  </si>
  <si>
    <t>Estimation du délai (en mois) de mise en œuvre total estimé</t>
  </si>
  <si>
    <t>En prenant en compte les éléments fourni dans le documents fournis en page 39+40 vous avez la possibilité d'avoir la mise en oeuvre total estimé.</t>
  </si>
  <si>
    <t>Proposez-vous des modèles de déploiement type, permettant de simplifier et accélerer la mise en œuvre ?</t>
  </si>
  <si>
    <t>Cela dépend d'hypotheses projets à considérer et de répartition des tâches ainsi que du contenu du kit de déploiement à mettre en oeuvre.</t>
  </si>
  <si>
    <t>Ces méthodologies sont-elles applicables dans le contexte du Groupe Beaumanoir
(2 ERP distincts, multiples instances de Storeland)</t>
  </si>
  <si>
    <t>II. RECURRENCE</t>
  </si>
  <si>
    <t>Autres éléments budgétaires</t>
  </si>
  <si>
    <t>Des coûts additionnels sont-ils à prévoir pour le maintien d'environnements supplémentaires (hors production)?</t>
  </si>
  <si>
    <t>Les coûts additionnels type Sandbox, UAT sont déjà inclus dans l'estimation fournie.</t>
  </si>
  <si>
    <t>D'autres options de tarification sont-elles disponibles (packs forfaitaires, lifetime access…) ?</t>
  </si>
  <si>
    <t>Des coûts de montée de version (majeure) sont-ils à prévoir ?</t>
  </si>
  <si>
    <t>Excepté le coût interne pour réaliser les tests de non-régréssion et éventuellement paramétrer de nouvelles fonctionnalités suite à mise en disposition de nouveaux modules.</t>
  </si>
  <si>
    <t>OUI / NON</t>
  </si>
  <si>
    <t>TYPE HEBERGEMENT</t>
  </si>
  <si>
    <t>Saas</t>
  </si>
  <si>
    <t>Paas</t>
  </si>
  <si>
    <t>On Premise</t>
  </si>
  <si>
    <t>Tous</t>
  </si>
  <si>
    <t>FUT. En développement pour release / version ultérieure</t>
  </si>
  <si>
    <t>STD. Connecteur standard existant</t>
  </si>
  <si>
    <t>CUS. Connecteur spécifique existant</t>
  </si>
  <si>
    <t>3. MODULARITE</t>
  </si>
  <si>
    <t>MOD. Module complémentaire (MDD partagé avec socle principal)</t>
  </si>
  <si>
    <t>AUT. Solution annexe / tierce au catalogue (MDD différent)</t>
  </si>
  <si>
    <t>5. SUPPORT</t>
  </si>
  <si>
    <t>PAR. Partenaire - intégrateur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</si>
</sst>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38">
    <font>
      <sz val="11"/>
      <color theme="1"/>
      <name val="Aptos Narrow"/>
      <family val="2"/>
      <scheme val="minor"/>
    </font>
    <font>
      <sz val="11"/>
      <color indexed="9"/>
      <name val="Calibri"/>
      <family val="2"/>
    </font>
    <font>
      <sz val="10"/>
      <name val="Arial"/>
      <family val="2"/>
    </font>
    <font>
      <b/>
      <sz val="10"/>
      <name val="Aptos Display"/>
      <family val="2"/>
      <scheme val="major"/>
    </font>
    <font>
      <sz val="10"/>
      <name val="Aptos Display"/>
      <family val="2"/>
      <scheme val="major"/>
    </font>
    <font>
      <b/>
      <sz val="16"/>
      <color theme="0"/>
      <name val="Aptos Display"/>
      <family val="2"/>
      <scheme val="major"/>
    </font>
    <font>
      <b/>
      <sz val="11"/>
      <color theme="1"/>
      <name val="Aptos Narrow"/>
      <family val="2"/>
      <scheme val="minor"/>
    </font>
    <font>
      <b/>
      <sz val="10"/>
      <color theme="1"/>
      <name val="Aptos Display"/>
      <family val="2"/>
      <scheme val="major"/>
    </font>
    <font>
      <sz val="10"/>
      <color theme="1"/>
      <name val="Aptos Display"/>
      <family val="2"/>
      <scheme val="major"/>
    </font>
    <font>
      <sz val="11"/>
      <color rgb="FF000000"/>
      <name val="Aptos Narrow"/>
      <family val="2"/>
      <scheme val="minor"/>
    </font>
    <font>
      <sz val="8"/>
      <color rgb="FF000000"/>
      <name val="Inherit"/>
    </font>
    <font>
      <b/>
      <sz val="8"/>
      <color rgb="FF000000"/>
      <name val="Inherit"/>
    </font>
    <font>
      <b/>
      <sz val="11"/>
      <color theme="0"/>
      <name val="Aptos Narrow"/>
      <family val="2"/>
      <scheme val="minor"/>
    </font>
    <font>
      <sz val="11"/>
      <name val="Aptos Narrow"/>
      <family val="2"/>
      <scheme val="minor"/>
    </font>
    <font>
      <b/>
      <sz val="11"/>
      <color indexed="81"/>
      <name val="Tahoma"/>
      <family val="2"/>
    </font>
    <font>
      <sz val="11"/>
      <color indexed="81"/>
      <name val="Tahoma"/>
      <family val="2"/>
    </font>
    <font>
      <b/>
      <sz val="11"/>
      <color rgb="FF000000"/>
      <name val="Aptos"/>
      <family val="2"/>
    </font>
    <font>
      <b/>
      <sz val="16"/>
      <color theme="0"/>
      <name val="Aptos Narrow"/>
      <family val="2"/>
      <scheme val="minor"/>
    </font>
    <font>
      <sz val="11"/>
      <color theme="1"/>
      <name val="Aptos Display"/>
      <family val="2"/>
      <scheme val="major"/>
    </font>
    <font>
      <b/>
      <sz val="11"/>
      <color theme="1"/>
      <name val="Aptos Display"/>
      <family val="2"/>
      <scheme val="major"/>
    </font>
    <font>
      <b/>
      <sz val="12"/>
      <color theme="0"/>
      <name val="Aptos Display"/>
      <family val="2"/>
      <scheme val="major"/>
    </font>
    <font>
      <sz val="12"/>
      <color theme="1"/>
      <name val="Aptos Display"/>
      <family val="2"/>
      <scheme val="major"/>
    </font>
    <font>
      <sz val="12"/>
      <color theme="1"/>
      <name val="Aptos Narrow"/>
      <family val="2"/>
      <scheme val="minor"/>
    </font>
    <font>
      <b/>
      <sz val="28"/>
      <color rgb="FF000000"/>
      <name val="Aptos Narrow"/>
      <family val="2"/>
      <scheme val="minor"/>
    </font>
    <font>
      <b/>
      <sz val="14"/>
      <color rgb="FF6E8DFF"/>
      <name val="Aptos Narrow"/>
      <family val="2"/>
      <scheme val="minor"/>
    </font>
    <font>
      <u/>
      <sz val="11"/>
      <color theme="1"/>
      <name val="Aptos Narrow"/>
      <family val="2"/>
      <scheme val="minor"/>
    </font>
    <font>
      <b/>
      <u/>
      <sz val="11"/>
      <color theme="1"/>
      <name val="Aptos Narrow"/>
      <family val="2"/>
      <scheme val="minor"/>
    </font>
    <font>
      <sz val="9"/>
      <color indexed="81"/>
      <name val="Tahoma"/>
      <family val="2"/>
    </font>
    <font>
      <b/>
      <sz val="9"/>
      <color indexed="81"/>
      <name val="Tahoma"/>
      <family val="2"/>
    </font>
    <font>
      <b/>
      <sz val="12"/>
      <color theme="0"/>
      <name val="Aptos Narrow"/>
      <family val="2"/>
      <scheme val="minor"/>
    </font>
    <font>
      <i/>
      <sz val="11"/>
      <color theme="1"/>
      <name val="Aptos Narrow"/>
      <family val="2"/>
      <scheme val="minor"/>
    </font>
    <font>
      <b/>
      <sz val="12"/>
      <color rgb="FFFFFFFF"/>
      <name val="Aptos Display"/>
      <family val="2"/>
    </font>
    <font>
      <b/>
      <sz val="11"/>
      <color rgb="FF000000"/>
      <name val="Aptos Narrow"/>
      <family val="2"/>
      <scheme val="minor"/>
    </font>
    <font>
      <b/>
      <u/>
      <sz val="11"/>
      <color rgb="FFC00000"/>
      <name val="Aptos Narrow"/>
      <family val="2"/>
      <scheme val="minor"/>
    </font>
    <font>
      <sz val="8"/>
      <color theme="1"/>
      <name val="Aptos Narrow"/>
      <family val="2"/>
      <scheme val="minor"/>
    </font>
    <font>
      <sz val="10"/>
      <name val="Aptos Display"/>
      <scheme val="major"/>
    </font>
    <font>
      <sz val="10"/>
      <name val="Aptos Display"/>
    </font>
    <font>
      <u/>
      <sz val="11"/>
      <color theme="10"/>
      <name val="Aptos Narrow"/>
      <family val="2"/>
      <scheme val="minor"/>
    </font>
  </fonts>
  <fills count="14">
    <fill>
      <patternFill patternType="none"/>
    </fill>
    <fill>
      <patternFill patternType="gray125"/>
    </fill>
    <fill>
      <patternFill patternType="solid">
        <fgColor indexed="62"/>
      </patternFill>
    </fill>
    <fill>
      <patternFill patternType="solid">
        <fgColor theme="0"/>
        <bgColor indexed="64"/>
      </patternFill>
    </fill>
    <fill>
      <patternFill patternType="solid">
        <fgColor rgb="FF6E8DFF"/>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0070C0"/>
        <bgColor indexed="64"/>
      </patternFill>
    </fill>
    <fill>
      <patternFill patternType="solid">
        <fgColor rgb="FFFFFFCC"/>
        <bgColor indexed="64"/>
      </patternFill>
    </fill>
    <fill>
      <patternFill patternType="solid">
        <fgColor rgb="FF002060"/>
        <bgColor indexed="64"/>
      </patternFill>
    </fill>
    <fill>
      <patternFill patternType="solid">
        <fgColor rgb="FF6E8DFF"/>
        <bgColor rgb="FF000000"/>
      </patternFill>
    </fill>
    <fill>
      <patternFill patternType="solid">
        <fgColor theme="0" tint="-0.499984740745262"/>
        <bgColor indexed="64"/>
      </patternFill>
    </fill>
    <fill>
      <patternFill patternType="solid">
        <fgColor theme="3" tint="0.89999084444715716"/>
        <bgColor indexed="64"/>
      </patternFill>
    </fill>
    <fill>
      <patternFill patternType="solid">
        <fgColor rgb="FFFFFFFF"/>
        <bgColor rgb="FF000000"/>
      </patternFill>
    </fill>
  </fills>
  <borders count="1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dotted">
        <color indexed="64"/>
      </top>
      <bottom/>
      <diagonal/>
    </border>
    <border>
      <left/>
      <right/>
      <top style="thin">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dotted">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style="dotted">
        <color indexed="64"/>
      </bottom>
      <diagonal/>
    </border>
    <border>
      <left style="medium">
        <color indexed="64"/>
      </left>
      <right style="thin">
        <color indexed="64"/>
      </right>
      <top/>
      <bottom/>
      <diagonal/>
    </border>
    <border>
      <left/>
      <right/>
      <top style="dotted">
        <color indexed="64"/>
      </top>
      <bottom style="thin">
        <color indexed="64"/>
      </bottom>
      <diagonal/>
    </border>
    <border>
      <left style="medium">
        <color indexed="64"/>
      </left>
      <right style="medium">
        <color indexed="64"/>
      </right>
      <top/>
      <bottom style="dotted">
        <color indexed="64"/>
      </bottom>
      <diagonal/>
    </border>
    <border>
      <left style="thin">
        <color indexed="64"/>
      </left>
      <right/>
      <top style="dotted">
        <color indexed="64"/>
      </top>
      <bottom style="thin">
        <color indexed="64"/>
      </bottom>
      <diagonal/>
    </border>
    <border>
      <left/>
      <right style="medium">
        <color indexed="64"/>
      </right>
      <top style="dotted">
        <color indexed="64"/>
      </top>
      <bottom style="medium">
        <color indexed="64"/>
      </bottom>
      <diagonal/>
    </border>
    <border>
      <left/>
      <right style="medium">
        <color indexed="64"/>
      </right>
      <top style="dotted">
        <color indexed="64"/>
      </top>
      <bottom style="thin">
        <color indexed="64"/>
      </bottom>
      <diagonal/>
    </border>
    <border>
      <left/>
      <right style="medium">
        <color indexed="64"/>
      </right>
      <top style="dotted">
        <color indexed="64"/>
      </top>
      <bottom style="dotted">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thin">
        <color indexed="64"/>
      </left>
      <right/>
      <top/>
      <bottom style="dotted">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dotted">
        <color indexed="64"/>
      </bottom>
      <diagonal/>
    </border>
    <border>
      <left/>
      <right style="medium">
        <color indexed="64"/>
      </right>
      <top/>
      <bottom style="dotted">
        <color indexed="64"/>
      </bottom>
      <diagonal/>
    </border>
    <border>
      <left/>
      <right style="medium">
        <color indexed="64"/>
      </right>
      <top style="dotted">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dotted">
        <color indexed="64"/>
      </bottom>
      <diagonal/>
    </border>
    <border>
      <left/>
      <right/>
      <top/>
      <bottom style="thin">
        <color indexed="64"/>
      </bottom>
      <diagonal/>
    </border>
    <border>
      <left/>
      <right/>
      <top style="medium">
        <color indexed="64"/>
      </top>
      <bottom style="dotted">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dotted">
        <color indexed="64"/>
      </top>
      <bottom style="medium">
        <color indexed="64"/>
      </bottom>
      <diagonal/>
    </border>
    <border>
      <left/>
      <right/>
      <top style="dotted">
        <color indexed="64"/>
      </top>
      <bottom/>
      <diagonal/>
    </border>
    <border>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medium">
        <color indexed="64"/>
      </left>
      <right/>
      <top style="dotted">
        <color indexed="64"/>
      </top>
      <bottom style="dotted">
        <color indexed="64"/>
      </bottom>
      <diagonal/>
    </border>
    <border>
      <left style="medium">
        <color indexed="64"/>
      </left>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indexed="64"/>
      </left>
      <right/>
      <top style="dotted">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medium">
        <color indexed="64"/>
      </bottom>
      <diagonal/>
    </border>
    <border>
      <left style="medium">
        <color indexed="64"/>
      </left>
      <right/>
      <top/>
      <bottom style="dotted">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style="thin">
        <color indexed="64"/>
      </right>
      <top style="medium">
        <color indexed="64"/>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style="thin">
        <color indexed="64"/>
      </left>
      <right style="medium">
        <color indexed="64"/>
      </right>
      <top style="dotted">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auto="1"/>
      </left>
      <right style="thin">
        <color auto="1"/>
      </right>
      <top style="medium">
        <color indexed="64"/>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medium">
        <color indexed="64"/>
      </bottom>
      <diagonal/>
    </border>
    <border>
      <left style="thin">
        <color indexed="64"/>
      </left>
      <right style="medium">
        <color indexed="64"/>
      </right>
      <top style="dotted">
        <color indexed="64"/>
      </top>
      <bottom/>
      <diagonal/>
    </border>
    <border>
      <left style="thin">
        <color indexed="64"/>
      </left>
      <right style="medium">
        <color indexed="64"/>
      </right>
      <top/>
      <bottom style="dotted">
        <color indexed="64"/>
      </bottom>
      <diagonal/>
    </border>
  </borders>
  <cellStyleXfs count="4">
    <xf numFmtId="0" fontId="0" fillId="0" borderId="0"/>
    <xf numFmtId="0" fontId="1" fillId="2" borderId="0" applyNumberFormat="0" applyBorder="0" applyAlignment="0" applyProtection="0"/>
    <xf numFmtId="0" fontId="2" fillId="0" borderId="0"/>
    <xf numFmtId="0" fontId="37" fillId="0" borderId="0" applyNumberFormat="0" applyFill="0" applyBorder="0" applyAlignment="0" applyProtection="0"/>
  </cellStyleXfs>
  <cellXfs count="418">
    <xf numFmtId="0" fontId="0" fillId="0" borderId="0" xfId="0"/>
    <xf numFmtId="0" fontId="0" fillId="0" borderId="0" xfId="0" applyAlignment="1">
      <alignment horizontal="center" vertical="center"/>
    </xf>
    <xf numFmtId="0" fontId="3" fillId="5" borderId="25" xfId="2" applyFont="1" applyFill="1" applyBorder="1" applyAlignment="1">
      <alignment horizontal="left" vertical="center" wrapText="1"/>
    </xf>
    <xf numFmtId="0" fontId="0" fillId="0" borderId="0" xfId="0" applyAlignment="1">
      <alignment horizontal="left" vertical="center"/>
    </xf>
    <xf numFmtId="0" fontId="3" fillId="5" borderId="29" xfId="2" applyFont="1" applyFill="1" applyBorder="1" applyAlignment="1">
      <alignment horizontal="left" vertical="center" wrapText="1"/>
    </xf>
    <xf numFmtId="0" fontId="0" fillId="0" borderId="0" xfId="0" applyAlignment="1">
      <alignment horizontal="left" vertical="center" wrapText="1"/>
    </xf>
    <xf numFmtId="0" fontId="3" fillId="5" borderId="1" xfId="2" applyFont="1" applyFill="1" applyBorder="1" applyAlignment="1">
      <alignment horizontal="left" vertical="center" wrapText="1"/>
    </xf>
    <xf numFmtId="0" fontId="3" fillId="5" borderId="30" xfId="2" applyFont="1" applyFill="1" applyBorder="1" applyAlignment="1">
      <alignment horizontal="left" vertical="center" wrapText="1"/>
    </xf>
    <xf numFmtId="0" fontId="3" fillId="5" borderId="50" xfId="2" applyFont="1" applyFill="1" applyBorder="1" applyAlignment="1">
      <alignment horizontal="left" vertical="center" wrapText="1"/>
    </xf>
    <xf numFmtId="0" fontId="3" fillId="5" borderId="43" xfId="2" applyFont="1" applyFill="1" applyBorder="1" applyAlignment="1">
      <alignment horizontal="left" vertical="center" wrapText="1"/>
    </xf>
    <xf numFmtId="0" fontId="3" fillId="5" borderId="46" xfId="2" applyFont="1" applyFill="1" applyBorder="1" applyAlignment="1">
      <alignment horizontal="left" vertical="center" wrapText="1"/>
    </xf>
    <xf numFmtId="0" fontId="3" fillId="5" borderId="32" xfId="2" applyFont="1" applyFill="1" applyBorder="1" applyAlignment="1">
      <alignment horizontal="left" vertical="center" wrapText="1"/>
    </xf>
    <xf numFmtId="0" fontId="7" fillId="5" borderId="50" xfId="0" applyFont="1" applyFill="1" applyBorder="1" applyAlignment="1">
      <alignment horizontal="left" vertical="center" wrapText="1"/>
    </xf>
    <xf numFmtId="0" fontId="7" fillId="5" borderId="30" xfId="0" applyFont="1" applyFill="1" applyBorder="1" applyAlignment="1">
      <alignment horizontal="left" vertical="center" wrapText="1"/>
    </xf>
    <xf numFmtId="0" fontId="3" fillId="8" borderId="43" xfId="2"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0" borderId="0" xfId="0" applyFont="1" applyAlignment="1">
      <alignment horizontal="left" vertical="center" wrapText="1"/>
    </xf>
    <xf numFmtId="0" fontId="7" fillId="5" borderId="25" xfId="0" applyFont="1" applyFill="1" applyBorder="1" applyAlignment="1">
      <alignment horizontal="left" vertical="center" wrapText="1"/>
    </xf>
    <xf numFmtId="0" fontId="7" fillId="5" borderId="43" xfId="0" applyFont="1" applyFill="1" applyBorder="1" applyAlignment="1">
      <alignment horizontal="left" vertical="center" wrapText="1"/>
    </xf>
    <xf numFmtId="0" fontId="8" fillId="0" borderId="30" xfId="0" applyFont="1" applyBorder="1" applyAlignment="1">
      <alignment horizontal="left" vertical="center" wrapText="1"/>
    </xf>
    <xf numFmtId="0" fontId="7" fillId="5" borderId="32" xfId="0" applyFont="1" applyFill="1" applyBorder="1" applyAlignment="1">
      <alignment horizontal="left" vertical="center" wrapText="1"/>
    </xf>
    <xf numFmtId="0" fontId="9" fillId="0" borderId="0" xfId="0" applyFont="1"/>
    <xf numFmtId="0" fontId="11" fillId="0" borderId="0" xfId="0" applyFont="1" applyAlignment="1">
      <alignment horizontal="left" vertical="center" wrapText="1" indent="1" readingOrder="1"/>
    </xf>
    <xf numFmtId="0" fontId="11" fillId="0" borderId="0" xfId="0" applyFont="1" applyAlignment="1">
      <alignment horizontal="left" vertical="center" wrapText="1" indent="2" readingOrder="1"/>
    </xf>
    <xf numFmtId="0" fontId="10" fillId="0" borderId="0" xfId="0" applyFont="1" applyAlignment="1">
      <alignment horizontal="left" vertical="center" wrapText="1" indent="1" readingOrder="1"/>
    </xf>
    <xf numFmtId="0" fontId="0" fillId="0" borderId="1" xfId="0" applyBorder="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9" fillId="0" borderId="0" xfId="0" applyFont="1" applyAlignment="1">
      <alignment horizontal="left" vertical="center" wrapText="1"/>
    </xf>
    <xf numFmtId="0" fontId="18" fillId="0" borderId="0" xfId="0" applyFont="1" applyAlignment="1">
      <alignment horizontal="left" vertical="center"/>
    </xf>
    <xf numFmtId="0" fontId="4" fillId="0" borderId="48" xfId="2" applyFont="1" applyBorder="1" applyAlignment="1">
      <alignment horizontal="center" vertical="center"/>
    </xf>
    <xf numFmtId="0" fontId="4" fillId="0" borderId="38" xfId="2" applyFont="1" applyBorder="1" applyAlignment="1">
      <alignment horizontal="center" vertical="center"/>
    </xf>
    <xf numFmtId="0" fontId="4" fillId="0" borderId="22" xfId="2" applyFont="1" applyBorder="1" applyAlignment="1">
      <alignment horizontal="center" vertical="center"/>
    </xf>
    <xf numFmtId="0" fontId="4" fillId="0" borderId="21" xfId="2" applyFont="1" applyBorder="1" applyAlignment="1">
      <alignment horizontal="center" vertical="center"/>
    </xf>
    <xf numFmtId="0" fontId="4" fillId="0" borderId="15" xfId="2" applyFont="1" applyBorder="1" applyAlignment="1">
      <alignment horizontal="center" vertical="center"/>
    </xf>
    <xf numFmtId="0" fontId="4" fillId="0" borderId="35" xfId="2" applyFont="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left" vertical="center" wrapText="1"/>
    </xf>
    <xf numFmtId="0" fontId="21" fillId="0" borderId="0" xfId="0" applyFont="1" applyAlignment="1">
      <alignment horizontal="left" vertical="center"/>
    </xf>
    <xf numFmtId="0" fontId="20" fillId="4" borderId="29" xfId="1" applyFont="1" applyFill="1" applyBorder="1" applyAlignment="1">
      <alignment vertical="center" wrapText="1"/>
    </xf>
    <xf numFmtId="0" fontId="22" fillId="0" borderId="0" xfId="0" applyFont="1"/>
    <xf numFmtId="0" fontId="8" fillId="0" borderId="0" xfId="0" applyFont="1" applyAlignment="1">
      <alignment horizontal="left" vertical="center"/>
    </xf>
    <xf numFmtId="0" fontId="4" fillId="0" borderId="3" xfId="2" applyFont="1" applyBorder="1" applyAlignment="1">
      <alignment vertical="center" wrapText="1"/>
    </xf>
    <xf numFmtId="0" fontId="20" fillId="4" borderId="34" xfId="1" applyFont="1" applyFill="1" applyBorder="1" applyAlignment="1">
      <alignment vertical="center" wrapText="1"/>
    </xf>
    <xf numFmtId="0" fontId="20" fillId="4" borderId="14" xfId="1" applyFont="1" applyFill="1" applyBorder="1" applyAlignment="1">
      <alignment vertical="center" wrapText="1"/>
    </xf>
    <xf numFmtId="0" fontId="4" fillId="0" borderId="23" xfId="2" applyFont="1" applyBorder="1" applyAlignment="1">
      <alignment vertical="center" wrapText="1"/>
    </xf>
    <xf numFmtId="0" fontId="4" fillId="0" borderId="24" xfId="2" applyFont="1" applyBorder="1" applyAlignment="1">
      <alignment vertical="center" wrapText="1"/>
    </xf>
    <xf numFmtId="0" fontId="4" fillId="0" borderId="48" xfId="2" applyFont="1" applyBorder="1" applyAlignment="1">
      <alignment vertical="center" wrapText="1"/>
    </xf>
    <xf numFmtId="0" fontId="4" fillId="0" borderId="23" xfId="2" applyFont="1" applyBorder="1" applyAlignment="1">
      <alignment horizontal="left" vertical="center" wrapText="1"/>
    </xf>
    <xf numFmtId="0" fontId="4" fillId="0" borderId="24" xfId="2" applyFont="1" applyBorder="1" applyAlignment="1">
      <alignment horizontal="left" vertical="center" wrapText="1"/>
    </xf>
    <xf numFmtId="0" fontId="4" fillId="0" borderId="48" xfId="2" applyFont="1" applyBorder="1" applyAlignment="1">
      <alignment horizontal="left" vertical="center" wrapText="1"/>
    </xf>
    <xf numFmtId="0" fontId="4" fillId="0" borderId="47" xfId="2" applyFont="1" applyBorder="1" applyAlignment="1">
      <alignment vertical="center" wrapText="1"/>
    </xf>
    <xf numFmtId="0" fontId="4" fillId="0" borderId="20" xfId="2" applyFont="1" applyBorder="1" applyAlignment="1">
      <alignment vertical="center" wrapText="1"/>
    </xf>
    <xf numFmtId="0" fontId="9" fillId="0" borderId="83" xfId="0" applyFont="1" applyBorder="1" applyAlignment="1">
      <alignment horizontal="left" vertical="center" wrapText="1"/>
    </xf>
    <xf numFmtId="0" fontId="3" fillId="5" borderId="90" xfId="2" applyFont="1" applyFill="1" applyBorder="1" applyAlignment="1">
      <alignment horizontal="left" vertical="center" wrapText="1"/>
    </xf>
    <xf numFmtId="0" fontId="4" fillId="0" borderId="61" xfId="2" applyFont="1" applyBorder="1" applyAlignment="1">
      <alignment horizontal="center" vertical="center"/>
    </xf>
    <xf numFmtId="0" fontId="3" fillId="5" borderId="95" xfId="2" applyFont="1" applyFill="1" applyBorder="1" applyAlignment="1">
      <alignment horizontal="left" vertical="center" wrapText="1"/>
    </xf>
    <xf numFmtId="0" fontId="8" fillId="0" borderId="96" xfId="0" applyFont="1" applyBorder="1" applyAlignment="1">
      <alignment horizontal="left" vertical="center" wrapText="1"/>
    </xf>
    <xf numFmtId="0" fontId="8" fillId="0" borderId="96" xfId="0" quotePrefix="1" applyFont="1" applyBorder="1" applyAlignment="1">
      <alignment horizontal="left" vertical="center"/>
    </xf>
    <xf numFmtId="0" fontId="8" fillId="0" borderId="96" xfId="0" quotePrefix="1" applyFont="1" applyBorder="1" applyAlignment="1">
      <alignment horizontal="left" vertical="center" wrapText="1"/>
    </xf>
    <xf numFmtId="0" fontId="4" fillId="0" borderId="96" xfId="2" applyFont="1" applyBorder="1" applyAlignment="1">
      <alignment horizontal="center" vertical="center"/>
    </xf>
    <xf numFmtId="0" fontId="8" fillId="0" borderId="97" xfId="0" quotePrefix="1" applyFont="1" applyBorder="1" applyAlignment="1">
      <alignment horizontal="left" vertical="center" wrapText="1"/>
    </xf>
    <xf numFmtId="0" fontId="20" fillId="4" borderId="51" xfId="1" applyFont="1" applyFill="1" applyBorder="1" applyAlignment="1">
      <alignment vertical="center" wrapText="1"/>
    </xf>
    <xf numFmtId="0" fontId="20" fillId="4" borderId="50" xfId="1" applyFont="1" applyFill="1" applyBorder="1" applyAlignment="1">
      <alignment vertical="center" wrapText="1"/>
    </xf>
    <xf numFmtId="0" fontId="20" fillId="4" borderId="78" xfId="1" applyFont="1" applyFill="1" applyBorder="1" applyAlignment="1">
      <alignment vertical="center" wrapText="1"/>
    </xf>
    <xf numFmtId="0" fontId="8" fillId="0" borderId="96" xfId="0" quotePrefix="1" applyFont="1" applyBorder="1" applyAlignment="1">
      <alignment vertical="center" wrapText="1"/>
    </xf>
    <xf numFmtId="0" fontId="12" fillId="9" borderId="1" xfId="0" applyFont="1" applyFill="1" applyBorder="1"/>
    <xf numFmtId="0" fontId="9" fillId="0" borderId="1" xfId="0" applyFont="1" applyBorder="1"/>
    <xf numFmtId="0" fontId="0" fillId="3" borderId="0" xfId="0" applyFill="1"/>
    <xf numFmtId="0" fontId="0" fillId="3" borderId="13" xfId="0" applyFill="1" applyBorder="1"/>
    <xf numFmtId="0" fontId="23" fillId="3" borderId="0" xfId="0" applyFont="1" applyFill="1"/>
    <xf numFmtId="0" fontId="24" fillId="3" borderId="0" xfId="0" applyFont="1" applyFill="1"/>
    <xf numFmtId="0" fontId="0" fillId="3" borderId="0" xfId="0" applyFill="1" applyAlignment="1">
      <alignment wrapText="1"/>
    </xf>
    <xf numFmtId="0" fontId="0" fillId="3" borderId="103" xfId="0" applyFill="1" applyBorder="1" applyAlignment="1">
      <alignment wrapText="1"/>
    </xf>
    <xf numFmtId="0" fontId="0" fillId="3" borderId="104" xfId="0" applyFill="1" applyBorder="1" applyAlignment="1">
      <alignment wrapText="1"/>
    </xf>
    <xf numFmtId="0" fontId="0" fillId="3" borderId="105" xfId="0" applyFill="1" applyBorder="1" applyAlignment="1">
      <alignment wrapText="1"/>
    </xf>
    <xf numFmtId="0" fontId="0" fillId="3" borderId="106" xfId="0" applyFill="1" applyBorder="1" applyAlignment="1">
      <alignment wrapText="1"/>
    </xf>
    <xf numFmtId="0" fontId="0" fillId="3" borderId="101" xfId="0" applyFill="1" applyBorder="1" applyAlignment="1">
      <alignment wrapText="1"/>
    </xf>
    <xf numFmtId="0" fontId="0" fillId="3" borderId="107" xfId="0" applyFill="1" applyBorder="1" applyAlignment="1">
      <alignment wrapText="1"/>
    </xf>
    <xf numFmtId="0" fontId="0" fillId="3" borderId="102" xfId="0" applyFill="1" applyBorder="1"/>
    <xf numFmtId="0" fontId="0" fillId="3" borderId="105" xfId="0" applyFill="1" applyBorder="1"/>
    <xf numFmtId="0" fontId="0" fillId="3" borderId="106" xfId="0" applyFill="1" applyBorder="1"/>
    <xf numFmtId="0" fontId="9" fillId="0" borderId="42" xfId="0" applyFont="1" applyBorder="1" applyAlignment="1">
      <alignment vertical="center"/>
    </xf>
    <xf numFmtId="0" fontId="9" fillId="0" borderId="40" xfId="0" applyFont="1" applyBorder="1" applyAlignment="1">
      <alignment vertical="center"/>
    </xf>
    <xf numFmtId="0" fontId="0" fillId="3" borderId="102" xfId="0" applyFill="1" applyBorder="1" applyAlignment="1">
      <alignment vertical="top" wrapText="1"/>
    </xf>
    <xf numFmtId="0" fontId="0" fillId="3" borderId="0" xfId="0" applyFill="1" applyAlignment="1">
      <alignment vertical="top" wrapText="1"/>
    </xf>
    <xf numFmtId="0" fontId="7" fillId="0" borderId="90" xfId="0" applyFont="1" applyBorder="1" applyAlignment="1">
      <alignment horizontal="left" vertical="center" wrapText="1"/>
    </xf>
    <xf numFmtId="0" fontId="7" fillId="0" borderId="96" xfId="0" applyFont="1" applyBorder="1" applyAlignment="1">
      <alignment horizontal="left" vertical="center"/>
    </xf>
    <xf numFmtId="0" fontId="7" fillId="0" borderId="96" xfId="0" applyFont="1" applyBorder="1" applyAlignment="1">
      <alignment horizontal="left" vertical="center" wrapText="1"/>
    </xf>
    <xf numFmtId="0" fontId="5" fillId="4" borderId="6" xfId="2" applyFont="1" applyFill="1" applyBorder="1" applyAlignment="1">
      <alignment horizontal="left" vertical="center"/>
    </xf>
    <xf numFmtId="0" fontId="5" fillId="4" borderId="7" xfId="2" applyFont="1" applyFill="1" applyBorder="1" applyAlignment="1">
      <alignment horizontal="left" vertical="center"/>
    </xf>
    <xf numFmtId="0" fontId="29" fillId="4" borderId="1" xfId="0" applyFont="1" applyFill="1" applyBorder="1" applyAlignment="1">
      <alignment horizontal="center" vertical="center" wrapText="1"/>
    </xf>
    <xf numFmtId="0" fontId="0" fillId="0" borderId="71" xfId="0" applyBorder="1" applyAlignment="1">
      <alignment vertical="center" wrapText="1"/>
    </xf>
    <xf numFmtId="0" fontId="0" fillId="0" borderId="87" xfId="0" applyBorder="1" applyAlignment="1">
      <alignment vertical="center"/>
    </xf>
    <xf numFmtId="0" fontId="0" fillId="0" borderId="39" xfId="0" applyBorder="1" applyAlignment="1">
      <alignment vertical="center" wrapText="1"/>
    </xf>
    <xf numFmtId="0" fontId="0" fillId="0" borderId="84" xfId="0" applyBorder="1" applyAlignment="1">
      <alignment vertical="center"/>
    </xf>
    <xf numFmtId="0" fontId="0" fillId="0" borderId="111" xfId="0" applyBorder="1" applyAlignment="1">
      <alignment vertical="center"/>
    </xf>
    <xf numFmtId="0" fontId="0" fillId="0" borderId="80" xfId="0" applyBorder="1" applyAlignment="1">
      <alignment vertical="center" wrapText="1"/>
    </xf>
    <xf numFmtId="0" fontId="0" fillId="0" borderId="80" xfId="0" applyBorder="1" applyAlignment="1">
      <alignment vertical="center"/>
    </xf>
    <xf numFmtId="0" fontId="0" fillId="0" borderId="53" xfId="0" applyBorder="1" applyAlignment="1">
      <alignment vertical="center"/>
    </xf>
    <xf numFmtId="0" fontId="0" fillId="0" borderId="83" xfId="0" applyBorder="1" applyAlignment="1">
      <alignment vertical="center" wrapText="1"/>
    </xf>
    <xf numFmtId="0" fontId="0" fillId="0" borderId="83" xfId="0" applyBorder="1" applyAlignment="1">
      <alignment vertical="center"/>
    </xf>
    <xf numFmtId="0" fontId="0" fillId="0" borderId="42" xfId="0" applyBorder="1" applyAlignment="1">
      <alignment vertical="center"/>
    </xf>
    <xf numFmtId="0" fontId="0" fillId="0" borderId="88" xfId="0" applyBorder="1" applyAlignment="1">
      <alignment vertical="center" wrapText="1"/>
    </xf>
    <xf numFmtId="0" fontId="0" fillId="0" borderId="88" xfId="0" applyBorder="1" applyAlignment="1">
      <alignment vertical="center"/>
    </xf>
    <xf numFmtId="0" fontId="0" fillId="0" borderId="40" xfId="0" applyBorder="1" applyAlignment="1">
      <alignment vertical="center"/>
    </xf>
    <xf numFmtId="0" fontId="0" fillId="0" borderId="63" xfId="0" applyBorder="1" applyAlignment="1">
      <alignment vertical="center" wrapText="1"/>
    </xf>
    <xf numFmtId="0" fontId="0" fillId="0" borderId="19" xfId="0" applyBorder="1" applyAlignment="1">
      <alignment vertical="center" wrapText="1"/>
    </xf>
    <xf numFmtId="0" fontId="0" fillId="0" borderId="37" xfId="0" applyBorder="1" applyAlignment="1">
      <alignment vertical="center" wrapText="1"/>
    </xf>
    <xf numFmtId="0" fontId="0" fillId="0" borderId="41" xfId="0" applyBorder="1" applyAlignment="1">
      <alignment vertical="center"/>
    </xf>
    <xf numFmtId="0" fontId="0" fillId="0" borderId="18" xfId="0" applyBorder="1" applyAlignment="1">
      <alignment vertical="center" wrapText="1"/>
    </xf>
    <xf numFmtId="0" fontId="0" fillId="0" borderId="85" xfId="0" applyBorder="1" applyAlignment="1">
      <alignment vertical="center"/>
    </xf>
    <xf numFmtId="0" fontId="0" fillId="0" borderId="31" xfId="0" applyBorder="1" applyAlignment="1">
      <alignment vertical="center"/>
    </xf>
    <xf numFmtId="0" fontId="0" fillId="3" borderId="19" xfId="0" applyFill="1" applyBorder="1" applyAlignment="1">
      <alignment vertical="center" wrapText="1"/>
    </xf>
    <xf numFmtId="0" fontId="0" fillId="3" borderId="68" xfId="0" applyFill="1" applyBorder="1" applyAlignment="1">
      <alignment vertical="center" wrapText="1"/>
    </xf>
    <xf numFmtId="0" fontId="0" fillId="0" borderId="52" xfId="0" applyBorder="1" applyAlignment="1">
      <alignment vertical="center"/>
    </xf>
    <xf numFmtId="0" fontId="0" fillId="0" borderId="32" xfId="0" applyBorder="1" applyAlignment="1">
      <alignment vertical="center"/>
    </xf>
    <xf numFmtId="0" fontId="0" fillId="0" borderId="65" xfId="0" applyBorder="1" applyAlignment="1">
      <alignment vertical="center" wrapText="1"/>
    </xf>
    <xf numFmtId="0" fontId="0" fillId="0" borderId="68" xfId="0" applyBorder="1" applyAlignment="1">
      <alignment vertical="center" wrapText="1"/>
    </xf>
    <xf numFmtId="0" fontId="0" fillId="0" borderId="69" xfId="0" applyBorder="1" applyAlignment="1">
      <alignment vertical="center" wrapText="1"/>
    </xf>
    <xf numFmtId="0" fontId="0" fillId="0" borderId="79" xfId="0" applyBorder="1" applyAlignment="1">
      <alignment vertical="center"/>
    </xf>
    <xf numFmtId="0" fontId="0" fillId="0" borderId="54" xfId="0" applyBorder="1" applyAlignment="1">
      <alignment vertical="center"/>
    </xf>
    <xf numFmtId="0" fontId="0" fillId="0" borderId="19" xfId="0" applyBorder="1" applyAlignment="1">
      <alignment horizontal="left" vertical="center" wrapText="1"/>
    </xf>
    <xf numFmtId="0" fontId="0" fillId="0" borderId="87" xfId="0" applyBorder="1" applyAlignment="1">
      <alignment vertical="center" wrapText="1"/>
    </xf>
    <xf numFmtId="0" fontId="9" fillId="0" borderId="83" xfId="0" applyFont="1" applyBorder="1" applyAlignment="1">
      <alignment vertical="center"/>
    </xf>
    <xf numFmtId="0" fontId="9" fillId="0" borderId="88" xfId="0" applyFont="1" applyBorder="1" applyAlignment="1">
      <alignment vertical="center"/>
    </xf>
    <xf numFmtId="0" fontId="20" fillId="4" borderId="5" xfId="1" applyFont="1" applyFill="1" applyBorder="1" applyAlignment="1">
      <alignment vertical="center" wrapText="1"/>
    </xf>
    <xf numFmtId="0" fontId="0" fillId="3" borderId="63" xfId="0" applyFill="1" applyBorder="1" applyAlignment="1">
      <alignment horizontal="left" vertical="center" wrapText="1"/>
    </xf>
    <xf numFmtId="0" fontId="0" fillId="0" borderId="80" xfId="0" applyBorder="1" applyAlignment="1">
      <alignment horizontal="left" vertical="center"/>
    </xf>
    <xf numFmtId="0" fontId="0" fillId="0" borderId="53" xfId="0" applyBorder="1" applyAlignment="1">
      <alignment horizontal="left" vertical="center"/>
    </xf>
    <xf numFmtId="0" fontId="13" fillId="0" borderId="19" xfId="0" applyFont="1" applyBorder="1" applyAlignment="1">
      <alignment horizontal="left" vertical="center" wrapText="1"/>
    </xf>
    <xf numFmtId="0" fontId="0" fillId="0" borderId="42" xfId="0" applyBorder="1" applyAlignment="1">
      <alignment horizontal="left" vertical="center"/>
    </xf>
    <xf numFmtId="0" fontId="13" fillId="0" borderId="37" xfId="0" applyFont="1" applyBorder="1" applyAlignment="1">
      <alignment horizontal="left" vertical="center" wrapText="1"/>
    </xf>
    <xf numFmtId="0" fontId="0" fillId="0" borderId="30" xfId="0" applyBorder="1" applyAlignment="1">
      <alignment horizontal="left" vertical="center"/>
    </xf>
    <xf numFmtId="0" fontId="0" fillId="0" borderId="41" xfId="0" applyBorder="1" applyAlignment="1">
      <alignment horizontal="left" vertical="center"/>
    </xf>
    <xf numFmtId="0" fontId="13" fillId="0" borderId="68" xfId="0" applyFont="1" applyBorder="1" applyAlignment="1">
      <alignment horizontal="left" vertical="center" wrapText="1"/>
    </xf>
    <xf numFmtId="0" fontId="0" fillId="0" borderId="40" xfId="0" applyBorder="1" applyAlignment="1">
      <alignment horizontal="left" vertical="center"/>
    </xf>
    <xf numFmtId="0" fontId="6" fillId="0" borderId="0" xfId="0" applyFont="1" applyAlignment="1">
      <alignment horizontal="left" vertical="center" wrapText="1"/>
    </xf>
    <xf numFmtId="0" fontId="29" fillId="4" borderId="46" xfId="0" applyFont="1" applyFill="1" applyBorder="1" applyAlignment="1">
      <alignment horizontal="left" vertical="center"/>
    </xf>
    <xf numFmtId="0" fontId="29" fillId="4" borderId="74" xfId="0" applyFont="1" applyFill="1" applyBorder="1" applyAlignment="1">
      <alignment horizontal="left" vertical="center"/>
    </xf>
    <xf numFmtId="0" fontId="13" fillId="3" borderId="53" xfId="0" applyFont="1" applyFill="1" applyBorder="1" applyAlignment="1">
      <alignment horizontal="left" vertical="center" wrapText="1"/>
    </xf>
    <xf numFmtId="0" fontId="13" fillId="0" borderId="42" xfId="0" applyFont="1" applyBorder="1" applyAlignment="1">
      <alignment horizontal="left" vertical="center" wrapText="1"/>
    </xf>
    <xf numFmtId="0" fontId="13" fillId="3" borderId="80" xfId="0" applyFont="1" applyFill="1" applyBorder="1" applyAlignment="1">
      <alignment horizontal="left" vertical="center" wrapText="1"/>
    </xf>
    <xf numFmtId="0" fontId="13" fillId="0" borderId="83" xfId="0" applyFont="1" applyBorder="1" applyAlignment="1">
      <alignment horizontal="left" vertical="center" wrapText="1"/>
    </xf>
    <xf numFmtId="0" fontId="13" fillId="0" borderId="0" xfId="0" applyFont="1" applyAlignment="1">
      <alignment horizontal="left" vertical="center" wrapText="1"/>
    </xf>
    <xf numFmtId="0" fontId="29" fillId="4" borderId="59" xfId="0" applyFont="1" applyFill="1" applyBorder="1" applyAlignment="1">
      <alignment horizontal="left" vertical="center"/>
    </xf>
    <xf numFmtId="0" fontId="13" fillId="0" borderId="18" xfId="0" applyFont="1" applyBorder="1" applyAlignment="1">
      <alignment horizontal="left" vertical="center" wrapText="1"/>
    </xf>
    <xf numFmtId="0" fontId="13" fillId="0" borderId="88" xfId="0" applyFont="1" applyBorder="1" applyAlignment="1">
      <alignment horizontal="left" vertical="center" wrapText="1"/>
    </xf>
    <xf numFmtId="0" fontId="13" fillId="0" borderId="40" xfId="0" applyFont="1" applyBorder="1" applyAlignment="1">
      <alignment horizontal="left" vertical="center" wrapText="1"/>
    </xf>
    <xf numFmtId="0" fontId="0" fillId="11" borderId="80" xfId="0" applyFill="1" applyBorder="1" applyAlignment="1">
      <alignment horizontal="left" vertical="center"/>
    </xf>
    <xf numFmtId="0" fontId="0" fillId="11" borderId="53" xfId="0" applyFill="1" applyBorder="1" applyAlignment="1">
      <alignment horizontal="left" vertical="center"/>
    </xf>
    <xf numFmtId="0" fontId="0" fillId="11" borderId="80" xfId="0" applyFill="1" applyBorder="1" applyAlignment="1">
      <alignment vertical="center"/>
    </xf>
    <xf numFmtId="0" fontId="0" fillId="11" borderId="53" xfId="0" applyFill="1" applyBorder="1" applyAlignment="1">
      <alignment vertical="center"/>
    </xf>
    <xf numFmtId="0" fontId="0" fillId="0" borderId="32" xfId="0" applyBorder="1" applyAlignment="1">
      <alignment vertical="center" wrapText="1"/>
    </xf>
    <xf numFmtId="0" fontId="0" fillId="3" borderId="85" xfId="0" applyFill="1" applyBorder="1" applyAlignment="1">
      <alignment horizontal="left" vertical="center" wrapText="1"/>
    </xf>
    <xf numFmtId="0" fontId="5" fillId="4" borderId="70" xfId="2" applyFont="1" applyFill="1" applyBorder="1" applyAlignment="1">
      <alignment horizontal="left" vertical="center"/>
    </xf>
    <xf numFmtId="0" fontId="9" fillId="0" borderId="83" xfId="0" applyFont="1" applyBorder="1" applyAlignment="1">
      <alignment vertical="center" wrapText="1"/>
    </xf>
    <xf numFmtId="0" fontId="0" fillId="12" borderId="46" xfId="0" applyFill="1" applyBorder="1" applyAlignment="1">
      <alignment vertical="center" wrapText="1"/>
    </xf>
    <xf numFmtId="164" fontId="0" fillId="12" borderId="46" xfId="0" applyNumberFormat="1" applyFill="1" applyBorder="1" applyAlignment="1">
      <alignment vertical="center" wrapText="1"/>
    </xf>
    <xf numFmtId="0" fontId="0" fillId="12" borderId="74" xfId="0" applyFill="1" applyBorder="1" applyAlignment="1">
      <alignment vertical="center" wrapText="1"/>
    </xf>
    <xf numFmtId="0" fontId="9" fillId="0" borderId="52" xfId="0" applyFont="1" applyBorder="1" applyAlignment="1">
      <alignment vertical="center"/>
    </xf>
    <xf numFmtId="164" fontId="9" fillId="0" borderId="109" xfId="0" applyNumberFormat="1" applyFont="1" applyBorder="1" applyAlignment="1">
      <alignment vertical="center" wrapText="1"/>
    </xf>
    <xf numFmtId="0" fontId="9" fillId="0" borderId="88" xfId="0" applyFont="1" applyBorder="1" applyAlignment="1">
      <alignment vertical="center" wrapText="1"/>
    </xf>
    <xf numFmtId="0" fontId="9" fillId="0" borderId="87" xfId="0" applyFont="1" applyBorder="1" applyAlignment="1">
      <alignment vertical="center" wrapText="1"/>
    </xf>
    <xf numFmtId="0" fontId="9" fillId="0" borderId="108" xfId="0" applyFont="1" applyBorder="1" applyAlignment="1">
      <alignment vertical="center" wrapText="1"/>
    </xf>
    <xf numFmtId="0" fontId="9" fillId="0" borderId="109" xfId="0" applyFont="1" applyBorder="1" applyAlignment="1">
      <alignment vertical="center" wrapText="1"/>
    </xf>
    <xf numFmtId="0" fontId="9" fillId="0" borderId="110" xfId="0" applyFont="1" applyBorder="1" applyAlignment="1">
      <alignment vertical="center" wrapText="1"/>
    </xf>
    <xf numFmtId="164" fontId="9" fillId="0" borderId="110" xfId="0" applyNumberFormat="1" applyFont="1" applyBorder="1" applyAlignment="1">
      <alignment vertical="center" wrapText="1"/>
    </xf>
    <xf numFmtId="0" fontId="31" fillId="10" borderId="75" xfId="0" applyFont="1" applyFill="1" applyBorder="1" applyAlignment="1">
      <alignment horizontal="left" vertical="center" wrapText="1"/>
    </xf>
    <xf numFmtId="0" fontId="22" fillId="0" borderId="0" xfId="0" applyFont="1" applyAlignment="1">
      <alignment horizontal="left" vertical="center"/>
    </xf>
    <xf numFmtId="0" fontId="20" fillId="7" borderId="5" xfId="2" applyFont="1" applyFill="1" applyBorder="1" applyAlignment="1">
      <alignment vertical="center"/>
    </xf>
    <xf numFmtId="0" fontId="20" fillId="7" borderId="6" xfId="2" applyFont="1" applyFill="1" applyBorder="1" applyAlignment="1">
      <alignment vertical="center"/>
    </xf>
    <xf numFmtId="0" fontId="20" fillId="7" borderId="7" xfId="2" applyFont="1" applyFill="1" applyBorder="1" applyAlignment="1">
      <alignment vertical="center"/>
    </xf>
    <xf numFmtId="0" fontId="20" fillId="7" borderId="4" xfId="2" applyFont="1" applyFill="1" applyBorder="1" applyAlignment="1">
      <alignment vertical="center"/>
    </xf>
    <xf numFmtId="0" fontId="21" fillId="0" borderId="0" xfId="0" applyFont="1" applyAlignment="1">
      <alignment vertical="center"/>
    </xf>
    <xf numFmtId="0" fontId="20" fillId="4" borderId="7" xfId="1" applyFont="1" applyFill="1" applyBorder="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0" fillId="3" borderId="103" xfId="0" applyFill="1" applyBorder="1" applyAlignment="1">
      <alignment vertical="top" wrapText="1"/>
    </xf>
    <xf numFmtId="0" fontId="17"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4" fontId="0" fillId="3" borderId="0" xfId="0" applyNumberFormat="1" applyFill="1"/>
    <xf numFmtId="14" fontId="34" fillId="3" borderId="13" xfId="0" applyNumberFormat="1" applyFont="1" applyFill="1" applyBorder="1" applyAlignment="1">
      <alignment horizontal="left"/>
    </xf>
    <xf numFmtId="0" fontId="4" fillId="0" borderId="52" xfId="2" applyFont="1" applyBorder="1" applyAlignment="1">
      <alignment horizontal="left" vertical="center" wrapText="1"/>
    </xf>
    <xf numFmtId="0" fontId="4" fillId="0" borderId="41" xfId="2" applyFont="1" applyBorder="1" applyAlignment="1">
      <alignment horizontal="left" vertical="center" wrapText="1"/>
    </xf>
    <xf numFmtId="0" fontId="4" fillId="0" borderId="31" xfId="2" applyFont="1" applyBorder="1" applyAlignment="1">
      <alignment horizontal="left" vertical="center" wrapText="1"/>
    </xf>
    <xf numFmtId="0" fontId="4" fillId="0" borderId="12" xfId="2" applyFont="1" applyBorder="1" applyAlignment="1">
      <alignment horizontal="left" vertical="center" wrapText="1"/>
    </xf>
    <xf numFmtId="0" fontId="4" fillId="0" borderId="53" xfId="2" applyFont="1" applyBorder="1" applyAlignment="1">
      <alignment horizontal="left" vertical="center" wrapText="1"/>
    </xf>
    <xf numFmtId="0" fontId="4" fillId="0" borderId="54" xfId="2" applyFont="1" applyBorder="1" applyAlignment="1">
      <alignment horizontal="left" vertical="center" wrapText="1"/>
    </xf>
    <xf numFmtId="0" fontId="4" fillId="0" borderId="72" xfId="2" applyFont="1" applyBorder="1" applyAlignment="1">
      <alignment horizontal="left" vertical="center" wrapText="1"/>
    </xf>
    <xf numFmtId="0" fontId="20" fillId="7" borderId="7" xfId="2" applyFont="1" applyFill="1" applyBorder="1" applyAlignment="1">
      <alignment vertical="center" wrapText="1"/>
    </xf>
    <xf numFmtId="0" fontId="4" fillId="0" borderId="9" xfId="2" applyFont="1" applyBorder="1" applyAlignment="1">
      <alignment horizontal="left" vertical="center" wrapText="1"/>
    </xf>
    <xf numFmtId="0" fontId="4" fillId="0" borderId="60" xfId="2" applyFont="1" applyBorder="1" applyAlignment="1">
      <alignment horizontal="left" vertical="center" wrapText="1"/>
    </xf>
    <xf numFmtId="0" fontId="4" fillId="0" borderId="91" xfId="2" applyFont="1" applyBorder="1" applyAlignment="1">
      <alignment horizontal="left" vertical="center" wrapText="1"/>
    </xf>
    <xf numFmtId="0" fontId="35" fillId="0" borderId="116" xfId="2" applyFont="1" applyBorder="1" applyAlignment="1">
      <alignment horizontal="center" vertical="center"/>
    </xf>
    <xf numFmtId="0" fontId="35" fillId="0" borderId="116" xfId="2" applyFont="1" applyBorder="1" applyAlignment="1">
      <alignment horizontal="left" vertical="center" wrapText="1"/>
    </xf>
    <xf numFmtId="0" fontId="35" fillId="0" borderId="117" xfId="2" applyFont="1" applyBorder="1" applyAlignment="1">
      <alignment horizontal="center" vertical="center"/>
    </xf>
    <xf numFmtId="0" fontId="35" fillId="0" borderId="117" xfId="2" applyFont="1" applyBorder="1" applyAlignment="1">
      <alignment horizontal="left" vertical="center" wrapText="1"/>
    </xf>
    <xf numFmtId="0" fontId="35" fillId="0" borderId="118" xfId="2" applyFont="1" applyBorder="1" applyAlignment="1">
      <alignment horizontal="center" vertical="center"/>
    </xf>
    <xf numFmtId="0" fontId="35" fillId="0" borderId="118" xfId="2" applyFont="1" applyBorder="1" applyAlignment="1">
      <alignment horizontal="left" vertical="center" wrapText="1"/>
    </xf>
    <xf numFmtId="0" fontId="35" fillId="0" borderId="117" xfId="2" applyFont="1" applyBorder="1" applyAlignment="1">
      <alignment vertical="center" wrapText="1"/>
    </xf>
    <xf numFmtId="0" fontId="0" fillId="0" borderId="117" xfId="0" applyBorder="1" applyAlignment="1">
      <alignment horizontal="left" vertical="center"/>
    </xf>
    <xf numFmtId="0" fontId="0" fillId="0" borderId="118" xfId="0" applyBorder="1" applyAlignment="1">
      <alignment horizontal="left" vertical="center"/>
    </xf>
    <xf numFmtId="0" fontId="36" fillId="0" borderId="117" xfId="0" applyFont="1" applyBorder="1" applyAlignment="1">
      <alignment wrapText="1"/>
    </xf>
    <xf numFmtId="0" fontId="36" fillId="0" borderId="117" xfId="0" applyFont="1" applyBorder="1" applyAlignment="1">
      <alignment horizontal="center"/>
    </xf>
    <xf numFmtId="0" fontId="36" fillId="0" borderId="118" xfId="0" applyFont="1" applyBorder="1" applyAlignment="1">
      <alignment horizontal="center"/>
    </xf>
    <xf numFmtId="0" fontId="36" fillId="0" borderId="118" xfId="0" applyFont="1" applyBorder="1" applyAlignment="1">
      <alignment wrapText="1"/>
    </xf>
    <xf numFmtId="0" fontId="36" fillId="0" borderId="116" xfId="0" applyFont="1" applyBorder="1" applyAlignment="1">
      <alignment horizontal="center"/>
    </xf>
    <xf numFmtId="0" fontId="36" fillId="0" borderId="116" xfId="0" applyFont="1" applyBorder="1" applyAlignment="1">
      <alignment wrapText="1"/>
    </xf>
    <xf numFmtId="0" fontId="36" fillId="13" borderId="117" xfId="0" applyFont="1" applyFill="1" applyBorder="1" applyAlignment="1">
      <alignment wrapText="1"/>
    </xf>
    <xf numFmtId="0" fontId="35" fillId="3" borderId="117" xfId="2" applyFont="1" applyFill="1" applyBorder="1" applyAlignment="1">
      <alignment horizontal="left" vertical="center" wrapText="1"/>
    </xf>
    <xf numFmtId="0" fontId="0" fillId="0" borderId="116" xfId="0" applyBorder="1" applyAlignment="1">
      <alignment horizontal="left" vertical="center"/>
    </xf>
    <xf numFmtId="0" fontId="37" fillId="0" borderId="41" xfId="3" applyBorder="1" applyAlignment="1">
      <alignment vertical="center"/>
    </xf>
    <xf numFmtId="0" fontId="0" fillId="0" borderId="42" xfId="0" applyBorder="1" applyAlignment="1">
      <alignment vertical="center" wrapText="1"/>
    </xf>
    <xf numFmtId="0" fontId="37" fillId="0" borderId="0" xfId="3"/>
    <xf numFmtId="0" fontId="5" fillId="4" borderId="59" xfId="2" applyFont="1" applyFill="1" applyBorder="1" applyAlignment="1">
      <alignment horizontal="left" vertical="center" wrapText="1"/>
    </xf>
    <xf numFmtId="0" fontId="0" fillId="0" borderId="53" xfId="0" applyBorder="1" applyAlignment="1">
      <alignment vertical="center" wrapText="1"/>
    </xf>
    <xf numFmtId="0" fontId="0" fillId="0" borderId="12" xfId="0" applyBorder="1" applyAlignment="1">
      <alignment vertical="center" wrapText="1"/>
    </xf>
    <xf numFmtId="0" fontId="0" fillId="0" borderId="52" xfId="0" applyBorder="1" applyAlignment="1">
      <alignment vertical="center" wrapText="1"/>
    </xf>
    <xf numFmtId="0" fontId="0" fillId="0" borderId="41" xfId="0" applyBorder="1" applyAlignment="1">
      <alignment vertical="center" wrapText="1"/>
    </xf>
    <xf numFmtId="0" fontId="9" fillId="0" borderId="42" xfId="0" applyFont="1" applyBorder="1" applyAlignment="1">
      <alignment vertical="center" wrapText="1"/>
    </xf>
    <xf numFmtId="0" fontId="0" fillId="0" borderId="0" xfId="0" applyAlignment="1">
      <alignment horizontal="center" vertical="center" wrapText="1"/>
    </xf>
    <xf numFmtId="0" fontId="37" fillId="0" borderId="1" xfId="3" applyBorder="1" applyAlignment="1">
      <alignment vertical="center" wrapText="1"/>
    </xf>
    <xf numFmtId="0" fontId="0" fillId="0" borderId="83" xfId="0" applyBorder="1" applyAlignment="1">
      <alignment horizontal="center" vertical="center"/>
    </xf>
    <xf numFmtId="0" fontId="0" fillId="0" borderId="80" xfId="0" applyBorder="1" applyAlignment="1">
      <alignment horizontal="center" vertical="center"/>
    </xf>
    <xf numFmtId="0" fontId="0" fillId="0" borderId="32" xfId="0" applyBorder="1" applyAlignment="1">
      <alignment horizontal="center" vertical="center"/>
    </xf>
    <xf numFmtId="0" fontId="0" fillId="3" borderId="102" xfId="0" applyFill="1" applyBorder="1" applyAlignment="1">
      <alignment horizontal="left" vertical="top" wrapText="1"/>
    </xf>
    <xf numFmtId="0" fontId="0" fillId="3" borderId="102" xfId="0" applyFill="1" applyBorder="1" applyAlignment="1">
      <alignment vertical="top" wrapText="1"/>
    </xf>
    <xf numFmtId="0" fontId="0" fillId="3" borderId="105" xfId="0" applyFill="1" applyBorder="1" applyAlignment="1">
      <alignment vertical="top" wrapText="1"/>
    </xf>
    <xf numFmtId="0" fontId="0" fillId="3" borderId="98" xfId="0" applyFill="1" applyBorder="1" applyAlignment="1">
      <alignment vertical="top" wrapText="1"/>
    </xf>
    <xf numFmtId="0" fontId="0" fillId="3" borderId="98" xfId="0" applyFill="1" applyBorder="1" applyAlignment="1">
      <alignment horizontal="left" vertical="top" wrapText="1"/>
    </xf>
    <xf numFmtId="0" fontId="0" fillId="3" borderId="99" xfId="0" applyFill="1" applyBorder="1" applyAlignment="1">
      <alignment horizontal="left" vertical="top" wrapText="1"/>
    </xf>
    <xf numFmtId="0" fontId="0" fillId="3" borderId="100" xfId="0" applyFill="1" applyBorder="1" applyAlignment="1">
      <alignment horizontal="left" vertical="top" wrapText="1"/>
    </xf>
    <xf numFmtId="0" fontId="0" fillId="3" borderId="102" xfId="0" applyFill="1" applyBorder="1" applyAlignment="1">
      <alignment vertical="center" wrapText="1"/>
    </xf>
    <xf numFmtId="0" fontId="3" fillId="0" borderId="51" xfId="2" applyFont="1" applyBorder="1" applyAlignment="1">
      <alignment horizontal="left" vertical="center" wrapText="1"/>
    </xf>
    <xf numFmtId="0" fontId="3" fillId="0" borderId="36" xfId="2" applyFont="1" applyBorder="1" applyAlignment="1">
      <alignment horizontal="left" vertical="center" wrapText="1"/>
    </xf>
    <xf numFmtId="0" fontId="3" fillId="0" borderId="26" xfId="2" applyFont="1" applyBorder="1" applyAlignment="1">
      <alignment horizontal="left" vertical="center" wrapText="1"/>
    </xf>
    <xf numFmtId="0" fontId="4" fillId="0" borderId="92" xfId="2" applyFont="1" applyBorder="1" applyAlignment="1">
      <alignment horizontal="left" vertical="center" wrapText="1"/>
    </xf>
    <xf numFmtId="0" fontId="4" fillId="0" borderId="72" xfId="2" applyFont="1" applyBorder="1" applyAlignment="1">
      <alignment horizontal="left" vertical="center" wrapText="1"/>
    </xf>
    <xf numFmtId="0" fontId="3" fillId="6" borderId="51" xfId="2" applyFont="1" applyFill="1" applyBorder="1" applyAlignment="1">
      <alignment horizontal="left" vertical="center" wrapText="1"/>
    </xf>
    <xf numFmtId="0" fontId="3" fillId="6" borderId="36" xfId="2" applyFont="1" applyFill="1" applyBorder="1" applyAlignment="1">
      <alignment horizontal="left" vertical="center" wrapText="1"/>
    </xf>
    <xf numFmtId="0" fontId="3" fillId="5" borderId="29" xfId="2" applyFont="1" applyFill="1" applyBorder="1" applyAlignment="1">
      <alignment horizontal="left" vertical="center" wrapText="1"/>
    </xf>
    <xf numFmtId="0" fontId="3" fillId="5" borderId="25" xfId="2" applyFont="1" applyFill="1" applyBorder="1" applyAlignment="1">
      <alignment horizontal="left" vertical="center" wrapText="1"/>
    </xf>
    <xf numFmtId="0" fontId="3" fillId="5" borderId="30" xfId="2" applyFont="1" applyFill="1" applyBorder="1" applyAlignment="1">
      <alignment horizontal="left" vertical="center" wrapText="1"/>
    </xf>
    <xf numFmtId="0" fontId="4" fillId="0" borderId="2" xfId="2" applyFont="1" applyBorder="1" applyAlignment="1">
      <alignment horizontal="left" vertical="center" wrapText="1"/>
    </xf>
    <xf numFmtId="0" fontId="4" fillId="0" borderId="18" xfId="2" applyFont="1" applyBorder="1" applyAlignment="1">
      <alignment horizontal="left" vertical="center" wrapText="1"/>
    </xf>
    <xf numFmtId="0" fontId="4" fillId="0" borderId="39" xfId="2" applyFont="1" applyBorder="1" applyAlignment="1">
      <alignment horizontal="left" vertical="center" wrapText="1"/>
    </xf>
    <xf numFmtId="0" fontId="4" fillId="0" borderId="41" xfId="2" applyFont="1" applyBorder="1" applyAlignment="1">
      <alignment horizontal="left" vertical="center" wrapText="1"/>
    </xf>
    <xf numFmtId="0" fontId="4" fillId="0" borderId="49" xfId="2" applyFont="1" applyBorder="1" applyAlignment="1">
      <alignment horizontal="left" vertical="center" wrapText="1"/>
    </xf>
    <xf numFmtId="0" fontId="4" fillId="0" borderId="63" xfId="2" applyFont="1" applyBorder="1" applyAlignment="1">
      <alignment horizontal="left" vertical="center" wrapText="1"/>
    </xf>
    <xf numFmtId="0" fontId="4" fillId="0" borderId="3" xfId="2" applyFont="1" applyBorder="1" applyAlignment="1">
      <alignment horizontal="left" vertical="center" wrapText="1"/>
    </xf>
    <xf numFmtId="0" fontId="4" fillId="0" borderId="42" xfId="2" applyFont="1" applyBorder="1" applyAlignment="1">
      <alignment horizontal="left" vertical="center" wrapText="1"/>
    </xf>
    <xf numFmtId="0" fontId="4" fillId="0" borderId="17" xfId="2" applyFont="1" applyBorder="1" applyAlignment="1">
      <alignment horizontal="left" vertical="center" wrapText="1"/>
    </xf>
    <xf numFmtId="0" fontId="4" fillId="0" borderId="54" xfId="2" applyFont="1" applyBorder="1" applyAlignment="1">
      <alignment horizontal="left" vertical="center" wrapText="1"/>
    </xf>
    <xf numFmtId="0" fontId="4" fillId="0" borderId="33" xfId="2" applyFont="1" applyBorder="1" applyAlignment="1">
      <alignment horizontal="left" vertical="center" wrapText="1"/>
    </xf>
    <xf numFmtId="0" fontId="4" fillId="0" borderId="64" xfId="2" applyFont="1" applyBorder="1" applyAlignment="1">
      <alignment horizontal="left" vertical="center" wrapText="1"/>
    </xf>
    <xf numFmtId="0" fontId="3" fillId="5" borderId="93" xfId="2" applyFont="1" applyFill="1" applyBorder="1" applyAlignment="1">
      <alignment horizontal="left" vertical="center" wrapText="1"/>
    </xf>
    <xf numFmtId="0" fontId="3" fillId="5" borderId="94" xfId="2" applyFont="1" applyFill="1" applyBorder="1" applyAlignment="1">
      <alignment horizontal="left" vertical="center" wrapText="1"/>
    </xf>
    <xf numFmtId="0" fontId="4" fillId="0" borderId="37" xfId="2" applyFont="1" applyBorder="1" applyAlignment="1">
      <alignment horizontal="left" vertical="center" wrapText="1"/>
    </xf>
    <xf numFmtId="0" fontId="4" fillId="0" borderId="19" xfId="2" applyFont="1" applyBorder="1" applyAlignment="1">
      <alignment horizontal="left" vertical="center" wrapText="1"/>
    </xf>
    <xf numFmtId="0" fontId="20" fillId="4" borderId="14" xfId="1" applyFont="1" applyFill="1" applyBorder="1" applyAlignment="1">
      <alignment horizontal="left" vertical="center" wrapText="1"/>
    </xf>
    <xf numFmtId="0" fontId="20" fillId="4" borderId="61" xfId="1" applyFont="1" applyFill="1" applyBorder="1" applyAlignment="1">
      <alignment horizontal="left" vertical="center" wrapText="1"/>
    </xf>
    <xf numFmtId="0" fontId="20" fillId="4" borderId="7" xfId="1" applyFont="1" applyFill="1" applyBorder="1" applyAlignment="1">
      <alignment horizontal="left" vertical="center" wrapText="1"/>
    </xf>
    <xf numFmtId="0" fontId="20" fillId="4" borderId="5" xfId="1" applyFont="1" applyFill="1" applyBorder="1" applyAlignment="1">
      <alignment horizontal="left" vertical="center" wrapText="1"/>
    </xf>
    <xf numFmtId="0" fontId="20" fillId="4" borderId="6" xfId="1" applyFont="1" applyFill="1" applyBorder="1" applyAlignment="1">
      <alignment horizontal="left" vertical="center" wrapText="1"/>
    </xf>
    <xf numFmtId="0" fontId="20" fillId="4" borderId="10" xfId="1" applyFont="1" applyFill="1" applyBorder="1" applyAlignment="1">
      <alignment horizontal="left" vertical="center" wrapText="1"/>
    </xf>
    <xf numFmtId="0" fontId="20" fillId="4" borderId="11" xfId="1" applyFont="1" applyFill="1" applyBorder="1" applyAlignment="1">
      <alignment horizontal="left" vertical="center" wrapText="1"/>
    </xf>
    <xf numFmtId="0" fontId="4" fillId="0" borderId="69" xfId="2" applyFont="1" applyBorder="1" applyAlignment="1">
      <alignment horizontal="left" vertical="center" wrapText="1"/>
    </xf>
    <xf numFmtId="0" fontId="4" fillId="0" borderId="16" xfId="2" applyFont="1" applyBorder="1" applyAlignment="1">
      <alignment horizontal="left" vertical="center" wrapText="1"/>
    </xf>
    <xf numFmtId="0" fontId="4" fillId="0" borderId="66" xfId="2" applyFont="1" applyBorder="1" applyAlignment="1">
      <alignment horizontal="left" vertical="center" wrapText="1"/>
    </xf>
    <xf numFmtId="0" fontId="4" fillId="0" borderId="55" xfId="2" applyFont="1" applyBorder="1" applyAlignment="1">
      <alignment horizontal="left" vertical="center" wrapText="1"/>
    </xf>
    <xf numFmtId="0" fontId="4" fillId="0" borderId="67" xfId="2" applyFont="1" applyBorder="1" applyAlignment="1">
      <alignment horizontal="left" vertical="center" wrapText="1"/>
    </xf>
    <xf numFmtId="0" fontId="3" fillId="5" borderId="5" xfId="2" applyFont="1" applyFill="1" applyBorder="1" applyAlignment="1">
      <alignment horizontal="left" vertical="center"/>
    </xf>
    <xf numFmtId="0" fontId="3" fillId="5" borderId="8" xfId="2" applyFont="1" applyFill="1" applyBorder="1" applyAlignment="1">
      <alignment horizontal="left" vertical="center"/>
    </xf>
    <xf numFmtId="0" fontId="3" fillId="5" borderId="10" xfId="2" applyFont="1" applyFill="1" applyBorder="1" applyAlignment="1">
      <alignment horizontal="left" vertical="center"/>
    </xf>
    <xf numFmtId="0" fontId="4" fillId="0" borderId="47" xfId="2" applyFont="1" applyBorder="1" applyAlignment="1">
      <alignment horizontal="left" vertical="center" wrapText="1"/>
    </xf>
    <xf numFmtId="0" fontId="4" fillId="0" borderId="65" xfId="2" applyFont="1" applyBorder="1" applyAlignment="1">
      <alignment horizontal="left" vertical="center" wrapText="1"/>
    </xf>
    <xf numFmtId="0" fontId="3" fillId="5" borderId="44" xfId="2" applyFont="1" applyFill="1" applyBorder="1" applyAlignment="1">
      <alignment horizontal="left" vertical="center"/>
    </xf>
    <xf numFmtId="0" fontId="3" fillId="5" borderId="45" xfId="2" applyFont="1" applyFill="1" applyBorder="1" applyAlignment="1">
      <alignment horizontal="left" vertical="center"/>
    </xf>
    <xf numFmtId="0" fontId="3" fillId="5" borderId="51" xfId="2" applyFont="1" applyFill="1" applyBorder="1" applyAlignment="1">
      <alignment horizontal="left" vertical="center"/>
    </xf>
    <xf numFmtId="0" fontId="3" fillId="5" borderId="36" xfId="2" applyFont="1" applyFill="1" applyBorder="1" applyAlignment="1">
      <alignment horizontal="left" vertical="center"/>
    </xf>
    <xf numFmtId="0" fontId="3" fillId="5" borderId="5" xfId="2" applyFont="1" applyFill="1" applyBorder="1" applyAlignment="1">
      <alignment horizontal="left" vertical="center" wrapText="1"/>
    </xf>
    <xf numFmtId="0" fontId="3" fillId="5" borderId="44" xfId="2" applyFont="1" applyFill="1" applyBorder="1" applyAlignment="1">
      <alignment horizontal="left" vertical="center" wrapText="1"/>
    </xf>
    <xf numFmtId="0" fontId="3" fillId="5" borderId="45" xfId="2" applyFont="1" applyFill="1" applyBorder="1" applyAlignment="1">
      <alignment horizontal="left" vertical="center" wrapText="1"/>
    </xf>
    <xf numFmtId="0" fontId="3" fillId="5" borderId="51" xfId="2" applyFont="1" applyFill="1" applyBorder="1" applyAlignment="1">
      <alignment horizontal="left" vertical="center" wrapText="1"/>
    </xf>
    <xf numFmtId="0" fontId="3" fillId="5" borderId="36" xfId="2" applyFont="1" applyFill="1" applyBorder="1" applyAlignment="1">
      <alignment horizontal="left" vertical="center" wrapText="1"/>
    </xf>
    <xf numFmtId="0" fontId="3" fillId="5" borderId="8" xfId="2" applyFont="1" applyFill="1" applyBorder="1" applyAlignment="1">
      <alignment horizontal="left" vertical="center" wrapText="1"/>
    </xf>
    <xf numFmtId="0" fontId="3" fillId="5" borderId="26" xfId="2"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5" borderId="30" xfId="0" applyFont="1" applyFill="1" applyBorder="1" applyAlignment="1">
      <alignment horizontal="left" vertical="center" wrapText="1"/>
    </xf>
    <xf numFmtId="0" fontId="7" fillId="5" borderId="29" xfId="0" applyFont="1" applyFill="1" applyBorder="1" applyAlignment="1">
      <alignment horizontal="left" vertical="center" wrapText="1"/>
    </xf>
    <xf numFmtId="0" fontId="4" fillId="0" borderId="31" xfId="2" applyFont="1" applyBorder="1" applyAlignment="1">
      <alignment horizontal="left" vertical="center" wrapText="1"/>
    </xf>
    <xf numFmtId="0" fontId="4" fillId="0" borderId="53" xfId="2" applyFont="1" applyBorder="1" applyAlignment="1">
      <alignment horizontal="left" vertical="center" wrapText="1"/>
    </xf>
    <xf numFmtId="0" fontId="4" fillId="0" borderId="56" xfId="2" applyFont="1" applyBorder="1" applyAlignment="1">
      <alignment horizontal="left" vertical="center" wrapText="1"/>
    </xf>
    <xf numFmtId="0" fontId="4" fillId="0" borderId="57" xfId="2" applyFont="1" applyBorder="1" applyAlignment="1">
      <alignment horizontal="left" vertical="center" wrapText="1"/>
    </xf>
    <xf numFmtId="0" fontId="4" fillId="0" borderId="20" xfId="2" applyFont="1" applyBorder="1" applyAlignment="1">
      <alignment horizontal="left" vertical="center" wrapText="1"/>
    </xf>
    <xf numFmtId="0" fontId="4" fillId="0" borderId="40" xfId="2" applyFont="1" applyBorder="1" applyAlignment="1">
      <alignment horizontal="left" vertical="center" wrapText="1"/>
    </xf>
    <xf numFmtId="0" fontId="4" fillId="3" borderId="71" xfId="2" applyFont="1" applyFill="1" applyBorder="1" applyAlignment="1">
      <alignment horizontal="left" vertical="center" wrapText="1"/>
    </xf>
    <xf numFmtId="0" fontId="4" fillId="3" borderId="7" xfId="2" applyFont="1" applyFill="1" applyBorder="1" applyAlignment="1">
      <alignment horizontal="left" vertical="center" wrapText="1"/>
    </xf>
    <xf numFmtId="0" fontId="4" fillId="0" borderId="68" xfId="2" applyFont="1" applyBorder="1" applyAlignment="1">
      <alignment horizontal="left" vertical="center" wrapText="1"/>
    </xf>
    <xf numFmtId="0" fontId="4" fillId="0" borderId="52" xfId="2" applyFont="1" applyBorder="1" applyAlignment="1">
      <alignment horizontal="left" vertical="center" wrapText="1"/>
    </xf>
    <xf numFmtId="0" fontId="4" fillId="3" borderId="39" xfId="2" applyFont="1" applyFill="1" applyBorder="1" applyAlignment="1">
      <alignment horizontal="left" vertical="center" wrapText="1"/>
    </xf>
    <xf numFmtId="0" fontId="4" fillId="3" borderId="37" xfId="2" applyFont="1" applyFill="1" applyBorder="1" applyAlignment="1">
      <alignment horizontal="left" vertical="center" wrapText="1"/>
    </xf>
    <xf numFmtId="0" fontId="4" fillId="3" borderId="3" xfId="2" applyFont="1" applyFill="1" applyBorder="1" applyAlignment="1">
      <alignment horizontal="left" vertical="center" wrapText="1"/>
    </xf>
    <xf numFmtId="0" fontId="4" fillId="3" borderId="19" xfId="2" applyFont="1" applyFill="1" applyBorder="1" applyAlignment="1">
      <alignment horizontal="left" vertical="center" wrapText="1"/>
    </xf>
    <xf numFmtId="0" fontId="4" fillId="3" borderId="2" xfId="2" applyFont="1" applyFill="1" applyBorder="1" applyAlignment="1">
      <alignment horizontal="left" vertical="center" wrapText="1"/>
    </xf>
    <xf numFmtId="0" fontId="4" fillId="3" borderId="18" xfId="2" applyFont="1" applyFill="1" applyBorder="1" applyAlignment="1">
      <alignment horizontal="left" vertical="center" wrapText="1"/>
    </xf>
    <xf numFmtId="0" fontId="4" fillId="3" borderId="16" xfId="2" applyFont="1" applyFill="1" applyBorder="1" applyAlignment="1">
      <alignment horizontal="left" vertical="center" wrapText="1"/>
    </xf>
    <xf numFmtId="0" fontId="4" fillId="3" borderId="66" xfId="2" applyFont="1" applyFill="1" applyBorder="1" applyAlignment="1">
      <alignment horizontal="left" vertical="center" wrapText="1"/>
    </xf>
    <xf numFmtId="0" fontId="4" fillId="3" borderId="33" xfId="2" applyFont="1" applyFill="1" applyBorder="1" applyAlignment="1">
      <alignment horizontal="left" vertical="center" wrapText="1"/>
    </xf>
    <xf numFmtId="0" fontId="4" fillId="3" borderId="64" xfId="2" applyFont="1" applyFill="1" applyBorder="1" applyAlignment="1">
      <alignment horizontal="left" vertical="center" wrapText="1"/>
    </xf>
    <xf numFmtId="0" fontId="20" fillId="7" borderId="5" xfId="2" applyFont="1" applyFill="1" applyBorder="1" applyAlignment="1">
      <alignment horizontal="left" vertical="center"/>
    </xf>
    <xf numFmtId="0" fontId="20" fillId="7" borderId="6" xfId="2" applyFont="1" applyFill="1" applyBorder="1" applyAlignment="1">
      <alignment horizontal="left" vertical="center"/>
    </xf>
    <xf numFmtId="0" fontId="20" fillId="7" borderId="7" xfId="2" applyFont="1" applyFill="1" applyBorder="1" applyAlignment="1">
      <alignment horizontal="left" vertical="center"/>
    </xf>
    <xf numFmtId="0" fontId="3" fillId="5" borderId="33" xfId="2" applyFont="1" applyFill="1" applyBorder="1" applyAlignment="1">
      <alignment horizontal="left" vertical="center" wrapText="1"/>
    </xf>
    <xf numFmtId="0" fontId="4" fillId="3" borderId="57" xfId="2" applyFont="1" applyFill="1" applyBorder="1" applyAlignment="1">
      <alignment horizontal="left" vertical="center" wrapText="1"/>
    </xf>
    <xf numFmtId="0" fontId="4" fillId="0" borderId="27" xfId="2" applyFont="1" applyBorder="1" applyAlignment="1">
      <alignment horizontal="left" vertical="center" wrapText="1"/>
    </xf>
    <xf numFmtId="0" fontId="4" fillId="0" borderId="12" xfId="2" applyFont="1" applyBorder="1" applyAlignment="1">
      <alignment horizontal="left" vertical="center" wrapText="1"/>
    </xf>
    <xf numFmtId="0" fontId="4" fillId="3" borderId="41" xfId="2" applyFont="1" applyFill="1" applyBorder="1" applyAlignment="1">
      <alignment horizontal="left" vertical="center" wrapText="1"/>
    </xf>
    <xf numFmtId="0" fontId="4" fillId="0" borderId="58" xfId="2" applyFont="1" applyBorder="1" applyAlignment="1">
      <alignment horizontal="left" vertical="center" wrapText="1"/>
    </xf>
    <xf numFmtId="0" fontId="4" fillId="0" borderId="59" xfId="2" applyFont="1" applyBorder="1" applyAlignment="1">
      <alignment horizontal="left" vertical="center" wrapText="1"/>
    </xf>
    <xf numFmtId="0" fontId="4" fillId="3" borderId="17" xfId="2" applyFont="1" applyFill="1" applyBorder="1" applyAlignment="1">
      <alignment horizontal="left" vertical="center" wrapText="1"/>
    </xf>
    <xf numFmtId="0" fontId="4" fillId="3" borderId="54" xfId="2" applyFont="1" applyFill="1" applyBorder="1" applyAlignment="1">
      <alignment horizontal="left" vertical="center" wrapText="1"/>
    </xf>
    <xf numFmtId="0" fontId="4" fillId="0" borderId="70" xfId="2" applyFont="1" applyBorder="1" applyAlignment="1">
      <alignment horizontal="left" vertical="center" wrapText="1"/>
    </xf>
    <xf numFmtId="0" fontId="3" fillId="5" borderId="1" xfId="2" applyFont="1" applyFill="1" applyBorder="1" applyAlignment="1">
      <alignment horizontal="left" vertical="center" wrapText="1"/>
    </xf>
    <xf numFmtId="0" fontId="3" fillId="5" borderId="46" xfId="2" applyFont="1" applyFill="1" applyBorder="1" applyAlignment="1">
      <alignment horizontal="left" vertical="center" wrapText="1"/>
    </xf>
    <xf numFmtId="0" fontId="3" fillId="5" borderId="43" xfId="2" applyFont="1" applyFill="1" applyBorder="1" applyAlignment="1">
      <alignment horizontal="left" vertical="center" wrapText="1"/>
    </xf>
    <xf numFmtId="0" fontId="3" fillId="5" borderId="16" xfId="2" applyFont="1" applyFill="1" applyBorder="1" applyAlignment="1">
      <alignment horizontal="left" vertical="center" wrapText="1"/>
    </xf>
    <xf numFmtId="0" fontId="3" fillId="5" borderId="50" xfId="2" applyFont="1" applyFill="1" applyBorder="1" applyAlignment="1">
      <alignment horizontal="left" vertical="center" wrapText="1"/>
    </xf>
    <xf numFmtId="0" fontId="4" fillId="3" borderId="47" xfId="2" applyFont="1" applyFill="1" applyBorder="1" applyAlignment="1">
      <alignment horizontal="left" vertical="center" wrapText="1"/>
    </xf>
    <xf numFmtId="0" fontId="4" fillId="3" borderId="52" xfId="2" applyFont="1" applyFill="1" applyBorder="1" applyAlignment="1">
      <alignment horizontal="left" vertical="center" wrapText="1"/>
    </xf>
    <xf numFmtId="0" fontId="3" fillId="8" borderId="50" xfId="2" applyFont="1" applyFill="1" applyBorder="1" applyAlignment="1">
      <alignment horizontal="left" vertical="center" wrapText="1"/>
    </xf>
    <xf numFmtId="0" fontId="3" fillId="8" borderId="30" xfId="2" applyFont="1" applyFill="1" applyBorder="1" applyAlignment="1">
      <alignment horizontal="left" vertical="center" wrapText="1"/>
    </xf>
    <xf numFmtId="0" fontId="20" fillId="7" borderId="4" xfId="2" applyFont="1" applyFill="1" applyBorder="1" applyAlignment="1">
      <alignment horizontal="left" vertical="center"/>
    </xf>
    <xf numFmtId="0" fontId="4" fillId="0" borderId="34" xfId="2" applyFont="1" applyBorder="1" applyAlignment="1">
      <alignment horizontal="left" vertical="center" wrapText="1"/>
    </xf>
    <xf numFmtId="0" fontId="4" fillId="0" borderId="28" xfId="2" applyFont="1" applyBorder="1" applyAlignment="1">
      <alignment horizontal="left" vertical="center" wrapText="1"/>
    </xf>
    <xf numFmtId="0" fontId="7" fillId="5" borderId="25" xfId="0" applyFont="1" applyFill="1" applyBorder="1" applyAlignment="1">
      <alignment horizontal="left" vertical="center" wrapText="1"/>
    </xf>
    <xf numFmtId="0" fontId="7" fillId="5" borderId="50" xfId="0" applyFont="1" applyFill="1" applyBorder="1" applyAlignment="1">
      <alignment horizontal="left" vertical="center" wrapText="1"/>
    </xf>
    <xf numFmtId="0" fontId="7" fillId="5" borderId="43" xfId="0" applyFont="1" applyFill="1" applyBorder="1" applyAlignment="1">
      <alignment horizontal="left" vertical="center" wrapText="1"/>
    </xf>
    <xf numFmtId="0" fontId="19" fillId="5" borderId="5" xfId="0" applyFont="1" applyFill="1" applyBorder="1" applyAlignment="1">
      <alignment horizontal="left" vertical="center"/>
    </xf>
    <xf numFmtId="0" fontId="19" fillId="5" borderId="44" xfId="0" applyFont="1" applyFill="1" applyBorder="1" applyAlignment="1">
      <alignment horizontal="left" vertical="center"/>
    </xf>
    <xf numFmtId="0" fontId="19" fillId="5" borderId="45" xfId="0" applyFont="1" applyFill="1" applyBorder="1" applyAlignment="1">
      <alignment horizontal="left" vertical="center"/>
    </xf>
    <xf numFmtId="0" fontId="4" fillId="0" borderId="62" xfId="2" applyFont="1" applyBorder="1" applyAlignment="1">
      <alignment horizontal="left" vertical="center" wrapText="1"/>
    </xf>
    <xf numFmtId="0" fontId="4" fillId="0" borderId="0" xfId="2" applyFont="1" applyAlignment="1">
      <alignment horizontal="left" vertical="center" wrapText="1"/>
    </xf>
    <xf numFmtId="0" fontId="3" fillId="6" borderId="5" xfId="2" applyFont="1" applyFill="1" applyBorder="1" applyAlignment="1">
      <alignment horizontal="left" vertical="center" wrapText="1"/>
    </xf>
    <xf numFmtId="0" fontId="3" fillId="6" borderId="44" xfId="2" applyFont="1" applyFill="1" applyBorder="1" applyAlignment="1">
      <alignment horizontal="left" vertical="center" wrapText="1"/>
    </xf>
    <xf numFmtId="0" fontId="3" fillId="6" borderId="45" xfId="2" applyFont="1" applyFill="1" applyBorder="1" applyAlignment="1">
      <alignment horizontal="left" vertical="center" wrapText="1"/>
    </xf>
    <xf numFmtId="0" fontId="3" fillId="8" borderId="1" xfId="2" applyFont="1" applyFill="1" applyBorder="1" applyAlignment="1">
      <alignment horizontal="left" vertical="center" wrapText="1"/>
    </xf>
    <xf numFmtId="0" fontId="3" fillId="8" borderId="29" xfId="2" applyFont="1" applyFill="1" applyBorder="1" applyAlignment="1">
      <alignment horizontal="left" vertical="center" wrapText="1"/>
    </xf>
    <xf numFmtId="0" fontId="7" fillId="6" borderId="5" xfId="2" applyFont="1" applyFill="1" applyBorder="1" applyAlignment="1">
      <alignment horizontal="left" vertical="center" wrapText="1"/>
    </xf>
    <xf numFmtId="0" fontId="7" fillId="6" borderId="8" xfId="2" applyFont="1" applyFill="1" applyBorder="1" applyAlignment="1">
      <alignment horizontal="left" vertical="center" wrapText="1"/>
    </xf>
    <xf numFmtId="0" fontId="7" fillId="6" borderId="10" xfId="2" applyFont="1" applyFill="1" applyBorder="1" applyAlignment="1">
      <alignment horizontal="left" vertical="center" wrapText="1"/>
    </xf>
    <xf numFmtId="0" fontId="7" fillId="6" borderId="51" xfId="2" applyFont="1" applyFill="1" applyBorder="1" applyAlignment="1">
      <alignment horizontal="left" vertical="center" wrapText="1"/>
    </xf>
    <xf numFmtId="0" fontId="7" fillId="6" borderId="36" xfId="2" applyFont="1" applyFill="1" applyBorder="1" applyAlignment="1">
      <alignment horizontal="left" vertical="center" wrapText="1"/>
    </xf>
    <xf numFmtId="0" fontId="7" fillId="6" borderId="26" xfId="2" applyFont="1" applyFill="1" applyBorder="1" applyAlignment="1">
      <alignment horizontal="left" vertical="center" wrapText="1"/>
    </xf>
    <xf numFmtId="0" fontId="7" fillId="5" borderId="46" xfId="0" applyFont="1" applyFill="1" applyBorder="1" applyAlignment="1">
      <alignment horizontal="left" vertical="center" wrapText="1"/>
    </xf>
    <xf numFmtId="0" fontId="3" fillId="5" borderId="32" xfId="2" applyFont="1" applyFill="1" applyBorder="1" applyAlignment="1">
      <alignment horizontal="left" vertical="center" wrapText="1"/>
    </xf>
    <xf numFmtId="0" fontId="0" fillId="0" borderId="119" xfId="0" applyBorder="1" applyAlignment="1">
      <alignment horizontal="center" vertical="center" wrapText="1"/>
    </xf>
    <xf numFmtId="0" fontId="0" fillId="0" borderId="120" xfId="0" applyBorder="1" applyAlignment="1">
      <alignment horizontal="center" vertical="center"/>
    </xf>
    <xf numFmtId="0" fontId="6" fillId="0" borderId="80" xfId="0" applyFont="1" applyBorder="1" applyAlignment="1">
      <alignment horizontal="left" vertical="center" wrapText="1"/>
    </xf>
    <xf numFmtId="0" fontId="6" fillId="0" borderId="83" xfId="0" applyFont="1" applyBorder="1" applyAlignment="1">
      <alignment horizontal="left" vertical="center" wrapText="1"/>
    </xf>
    <xf numFmtId="0" fontId="6" fillId="0" borderId="88" xfId="0" applyFont="1" applyBorder="1" applyAlignment="1">
      <alignment horizontal="left" vertical="center" wrapText="1"/>
    </xf>
    <xf numFmtId="0" fontId="6" fillId="0" borderId="82" xfId="0" applyFont="1" applyBorder="1" applyAlignment="1">
      <alignment horizontal="left" vertical="center" wrapText="1"/>
    </xf>
    <xf numFmtId="0" fontId="6" fillId="0" borderId="81" xfId="0" applyFont="1" applyBorder="1" applyAlignment="1">
      <alignment horizontal="left" vertical="center" wrapText="1"/>
    </xf>
    <xf numFmtId="0" fontId="6" fillId="0" borderId="86" xfId="0" applyFont="1" applyBorder="1" applyAlignment="1">
      <alignment horizontal="left" vertical="center" wrapText="1"/>
    </xf>
    <xf numFmtId="0" fontId="20" fillId="4" borderId="5" xfId="1" applyFont="1" applyFill="1" applyBorder="1" applyAlignment="1">
      <alignment vertical="center" wrapText="1"/>
    </xf>
    <xf numFmtId="0" fontId="20" fillId="4" borderId="6" xfId="1" applyFont="1" applyFill="1" applyBorder="1" applyAlignment="1">
      <alignment vertical="center" wrapText="1"/>
    </xf>
    <xf numFmtId="0" fontId="6" fillId="0" borderId="87" xfId="0" applyFont="1" applyBorder="1" applyAlignment="1">
      <alignment horizontal="left" vertical="center" wrapText="1"/>
    </xf>
    <xf numFmtId="0" fontId="6" fillId="0" borderId="84" xfId="0" applyFont="1" applyBorder="1" applyAlignment="1">
      <alignment horizontal="left" vertical="center" wrapText="1"/>
    </xf>
    <xf numFmtId="0" fontId="6" fillId="0" borderId="85" xfId="0" applyFont="1" applyBorder="1" applyAlignment="1">
      <alignment horizontal="left" vertical="center" wrapText="1"/>
    </xf>
    <xf numFmtId="0" fontId="6"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36" xfId="0" applyFont="1" applyBorder="1" applyAlignment="1">
      <alignment horizontal="left" vertical="center" wrapText="1"/>
    </xf>
    <xf numFmtId="0" fontId="6" fillId="0" borderId="26" xfId="0" applyFont="1" applyBorder="1" applyAlignment="1">
      <alignment horizontal="left" vertical="center" wrapText="1"/>
    </xf>
    <xf numFmtId="0" fontId="6" fillId="0" borderId="58" xfId="0" applyFont="1" applyBorder="1" applyAlignment="1">
      <alignment horizontal="left" vertical="center" wrapText="1"/>
    </xf>
    <xf numFmtId="0" fontId="6" fillId="0" borderId="16" xfId="0" applyFont="1" applyBorder="1" applyAlignment="1">
      <alignment horizontal="left" vertical="center" wrapText="1"/>
    </xf>
    <xf numFmtId="0" fontId="29" fillId="4" borderId="114" xfId="0" applyFont="1" applyFill="1" applyBorder="1" applyAlignment="1">
      <alignment horizontal="left" vertical="center"/>
    </xf>
    <xf numFmtId="0" fontId="29" fillId="4" borderId="70" xfId="0" applyFont="1" applyFill="1" applyBorder="1" applyAlignment="1">
      <alignment horizontal="left" vertical="center"/>
    </xf>
    <xf numFmtId="0" fontId="6" fillId="0" borderId="10" xfId="0" applyFont="1" applyBorder="1" applyAlignment="1">
      <alignment horizontal="left" vertical="center" wrapText="1"/>
    </xf>
    <xf numFmtId="0" fontId="29" fillId="4" borderId="115" xfId="0" applyFont="1" applyFill="1" applyBorder="1" applyAlignment="1">
      <alignment horizontal="left" vertical="center"/>
    </xf>
    <xf numFmtId="0" fontId="6" fillId="0" borderId="113" xfId="0" applyFont="1" applyBorder="1" applyAlignment="1">
      <alignment horizontal="left" vertical="center" wrapText="1"/>
    </xf>
    <xf numFmtId="0" fontId="6" fillId="0" borderId="112" xfId="0" applyFont="1" applyBorder="1" applyAlignment="1">
      <alignment horizontal="left" vertical="center" wrapText="1"/>
    </xf>
    <xf numFmtId="0" fontId="5" fillId="4" borderId="5" xfId="2" applyFont="1" applyFill="1" applyBorder="1" applyAlignment="1">
      <alignment horizontal="left" vertical="center"/>
    </xf>
    <xf numFmtId="0" fontId="5" fillId="4" borderId="6" xfId="2" applyFont="1" applyFill="1" applyBorder="1" applyAlignment="1">
      <alignment horizontal="left" vertical="center"/>
    </xf>
    <xf numFmtId="0" fontId="6" fillId="0" borderId="82" xfId="0" applyFont="1" applyBorder="1" applyAlignment="1">
      <alignment horizontal="center" vertical="center" wrapText="1"/>
    </xf>
    <xf numFmtId="0" fontId="6" fillId="0" borderId="86" xfId="0" applyFont="1" applyBorder="1" applyAlignment="1">
      <alignment horizontal="center" vertical="center" wrapText="1"/>
    </xf>
    <xf numFmtId="0" fontId="6" fillId="0" borderId="89" xfId="0" applyFont="1" applyBorder="1" applyAlignment="1">
      <alignment horizontal="center" vertical="center"/>
    </xf>
    <xf numFmtId="0" fontId="6" fillId="0" borderId="81" xfId="0" applyFont="1" applyBorder="1" applyAlignment="1">
      <alignment horizontal="center" vertical="center"/>
    </xf>
    <xf numFmtId="0" fontId="6" fillId="0" borderId="86" xfId="0" applyFont="1" applyBorder="1" applyAlignment="1">
      <alignment horizontal="center" vertical="center"/>
    </xf>
    <xf numFmtId="0" fontId="6" fillId="0" borderId="85" xfId="0" applyFont="1" applyBorder="1" applyAlignment="1">
      <alignment horizontal="center" vertical="center"/>
    </xf>
    <xf numFmtId="0" fontId="6" fillId="0" borderId="83" xfId="0" applyFont="1" applyBorder="1" applyAlignment="1">
      <alignment horizontal="center" vertical="center"/>
    </xf>
    <xf numFmtId="0" fontId="6" fillId="0" borderId="84" xfId="0" applyFont="1" applyBorder="1" applyAlignment="1">
      <alignment horizontal="center" vertical="center"/>
    </xf>
    <xf numFmtId="0" fontId="6" fillId="0" borderId="80" xfId="0" applyFont="1" applyBorder="1" applyAlignment="1">
      <alignment horizontal="center" vertical="center"/>
    </xf>
    <xf numFmtId="0" fontId="6" fillId="0" borderId="79" xfId="0" applyFont="1" applyBorder="1" applyAlignment="1">
      <alignment horizontal="center" vertical="center"/>
    </xf>
    <xf numFmtId="0" fontId="6" fillId="0" borderId="88" xfId="0" applyFont="1" applyBorder="1" applyAlignment="1">
      <alignment horizontal="center" vertical="center"/>
    </xf>
    <xf numFmtId="0" fontId="6" fillId="0" borderId="87" xfId="0" applyFont="1" applyBorder="1" applyAlignment="1">
      <alignment horizontal="center" vertical="center" wrapText="1"/>
    </xf>
    <xf numFmtId="0" fontId="6" fillId="0" borderId="88" xfId="0" applyFont="1" applyBorder="1" applyAlignment="1">
      <alignment horizontal="center" vertical="center" wrapText="1"/>
    </xf>
    <xf numFmtId="0" fontId="6" fillId="0" borderId="80" xfId="0" applyFont="1" applyBorder="1" applyAlignment="1">
      <alignment horizontal="center" vertical="center" wrapText="1"/>
    </xf>
    <xf numFmtId="0" fontId="6" fillId="0" borderId="79" xfId="0" applyFont="1" applyBorder="1" applyAlignment="1">
      <alignment horizontal="center" vertical="center" wrapText="1"/>
    </xf>
    <xf numFmtId="0" fontId="5" fillId="4" borderId="1" xfId="2" applyFont="1" applyFill="1" applyBorder="1" applyAlignment="1">
      <alignment horizontal="center" vertical="center" wrapText="1"/>
    </xf>
    <xf numFmtId="0" fontId="17" fillId="4" borderId="1" xfId="0" applyFont="1" applyFill="1" applyBorder="1" applyAlignment="1">
      <alignment horizontal="center" vertical="center" wrapText="1"/>
    </xf>
    <xf numFmtId="0" fontId="5" fillId="4" borderId="114" xfId="2" applyFont="1" applyFill="1" applyBorder="1" applyAlignment="1">
      <alignment horizontal="left" vertical="center"/>
    </xf>
    <xf numFmtId="0" fontId="16" fillId="0" borderId="51" xfId="0" applyFont="1" applyBorder="1" applyAlignment="1">
      <alignment horizontal="left" vertical="center" wrapText="1"/>
    </xf>
    <xf numFmtId="0" fontId="16" fillId="0" borderId="26" xfId="0" applyFont="1" applyBorder="1" applyAlignment="1">
      <alignment horizontal="left" vertical="center" wrapText="1"/>
    </xf>
    <xf numFmtId="0" fontId="16" fillId="0" borderId="36" xfId="0" applyFont="1" applyBorder="1" applyAlignment="1">
      <alignment horizontal="left" vertical="center" wrapText="1"/>
    </xf>
    <xf numFmtId="0" fontId="20" fillId="7" borderId="4" xfId="2" applyFont="1" applyFill="1" applyBorder="1" applyAlignment="1">
      <alignment horizontal="center" vertical="center"/>
    </xf>
    <xf numFmtId="0" fontId="20" fillId="7" borderId="75" xfId="2" applyFont="1" applyFill="1" applyBorder="1" applyAlignment="1">
      <alignment horizontal="center" vertical="center"/>
    </xf>
    <xf numFmtId="0" fontId="31" fillId="10" borderId="4" xfId="0" applyFont="1" applyFill="1" applyBorder="1" applyAlignment="1">
      <alignment horizontal="left" vertical="center" wrapText="1"/>
    </xf>
    <xf numFmtId="0" fontId="31" fillId="10" borderId="75" xfId="0" applyFont="1" applyFill="1" applyBorder="1" applyAlignment="1">
      <alignment horizontal="left" vertical="center" wrapText="1"/>
    </xf>
    <xf numFmtId="0" fontId="0" fillId="0" borderId="73" xfId="0" applyBorder="1" applyAlignment="1">
      <alignment horizontal="left" vertical="center" wrapText="1"/>
    </xf>
    <xf numFmtId="0" fontId="0" fillId="0" borderId="77" xfId="0" applyBorder="1" applyAlignment="1">
      <alignment horizontal="left" vertical="center" wrapText="1"/>
    </xf>
    <xf numFmtId="0" fontId="0" fillId="0" borderId="76" xfId="0" applyBorder="1" applyAlignment="1">
      <alignment horizontal="left" vertical="center" wrapText="1"/>
    </xf>
    <xf numFmtId="0" fontId="0" fillId="0" borderId="51" xfId="0" applyBorder="1" applyAlignment="1">
      <alignment horizontal="left" vertical="center" wrapText="1"/>
    </xf>
    <xf numFmtId="0" fontId="0" fillId="0" borderId="36" xfId="0" applyBorder="1" applyAlignment="1">
      <alignment horizontal="left" vertical="center" wrapText="1"/>
    </xf>
    <xf numFmtId="0" fontId="0" fillId="0" borderId="26" xfId="0" applyBorder="1" applyAlignment="1">
      <alignment horizontal="left" vertical="center" wrapText="1"/>
    </xf>
    <xf numFmtId="164" fontId="0" fillId="0" borderId="0" xfId="0" applyNumberFormat="1" applyAlignment="1">
      <alignment vertical="center"/>
    </xf>
  </cellXfs>
  <cellStyles count="4">
    <cellStyle name="Accent1 2" xfId="1" xr:uid="{BDF72055-8F36-470A-9759-3B6DCD721D65}"/>
    <cellStyle name="Hyperlink" xfId="3" xr:uid="{00000000-000B-0000-0000-000008000000}"/>
    <cellStyle name="Normal" xfId="0" builtinId="0"/>
    <cellStyle name="Normal 3" xfId="2" xr:uid="{DD4AAD13-C191-474C-8B98-7D6FAF846302}"/>
  </cellStyles>
  <dxfs count="0"/>
  <tableStyles count="0" defaultTableStyle="TableStyleMedium2" defaultPivotStyle="PivotStyleLight16"/>
  <colors>
    <mruColors>
      <color rgb="FFFFFFCC"/>
      <color rgb="FFB8D3EF"/>
      <color rgb="FF6E8DFF"/>
      <color rgb="FFFF7C80"/>
      <color rgb="FF4EA7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111125</xdr:colOff>
      <xdr:row>2</xdr:row>
      <xdr:rowOff>9525</xdr:rowOff>
    </xdr:from>
    <xdr:to>
      <xdr:col>1</xdr:col>
      <xdr:colOff>1626336</xdr:colOff>
      <xdr:row>5</xdr:row>
      <xdr:rowOff>134208</xdr:rowOff>
    </xdr:to>
    <xdr:pic>
      <xdr:nvPicPr>
        <xdr:cNvPr id="300" name="Image 2">
          <a:extLst>
            <a:ext uri="{FF2B5EF4-FFF2-40B4-BE49-F238E27FC236}">
              <a16:creationId xmlns:a16="http://schemas.microsoft.com/office/drawing/2014/main" id="{D92B174A-A17C-43F1-B525-2AD3930D677D}"/>
            </a:ext>
          </a:extLst>
        </xdr:cNvPr>
        <xdr:cNvPicPr>
          <a:picLocks noChangeAspect="1"/>
        </xdr:cNvPicPr>
      </xdr:nvPicPr>
      <xdr:blipFill>
        <a:blip xmlns:r="http://schemas.openxmlformats.org/officeDocument/2006/relationships" r:embed="rId1"/>
        <a:stretch>
          <a:fillRect/>
        </a:stretch>
      </xdr:blipFill>
      <xdr:spPr>
        <a:xfrm>
          <a:off x="863600" y="371475"/>
          <a:ext cx="1518386" cy="667608"/>
        </a:xfrm>
        <a:prstGeom prst="rect">
          <a:avLst/>
        </a:prstGeom>
      </xdr:spPr>
    </xdr:pic>
    <xdr:clientData/>
  </xdr:twoCellAnchor>
  <xdr:oneCellAnchor>
    <xdr:from>
      <xdr:col>1</xdr:col>
      <xdr:colOff>1705909</xdr:colOff>
      <xdr:row>1</xdr:row>
      <xdr:rowOff>171450</xdr:rowOff>
    </xdr:from>
    <xdr:ext cx="2266376" cy="530412"/>
    <xdr:pic>
      <xdr:nvPicPr>
        <xdr:cNvPr id="301" name="Image 3">
          <a:extLst>
            <a:ext uri="{FF2B5EF4-FFF2-40B4-BE49-F238E27FC236}">
              <a16:creationId xmlns:a16="http://schemas.microsoft.com/office/drawing/2014/main" id="{121E712C-2818-41BD-AACF-917DD4AB28CC}"/>
            </a:ext>
          </a:extLst>
        </xdr:cNvPr>
        <xdr:cNvPicPr>
          <a:picLocks noChangeAspect="1"/>
        </xdr:cNvPicPr>
      </xdr:nvPicPr>
      <xdr:blipFill>
        <a:blip xmlns:r="http://schemas.openxmlformats.org/officeDocument/2006/relationships" r:embed="rId2"/>
        <a:stretch>
          <a:fillRect/>
        </a:stretch>
      </xdr:blipFill>
      <xdr:spPr>
        <a:xfrm>
          <a:off x="2458384" y="352425"/>
          <a:ext cx="2266376" cy="530412"/>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James DOWSE" id="{62076CFD-C207-4F93-9196-0C72595EAC85}" userId="S::jdowse@synvance.com::f054f132-4d05-4a6d-9e19-00dbab841131"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23" dT="2025-05-22T13:20:43.68" personId="{62076CFD-C207-4F93-9196-0C72595EAC85}" id="{D99C9F8F-6660-40CC-9DB6-1ABE0ABE2F7C}">
    <text xml:space="preserve">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ext>
  </threadedComment>
  <threadedComment ref="B125" dT="2025-05-22T13:20:47.67" personId="{62076CFD-C207-4F93-9196-0C72595EAC85}" id="{7FCCBA33-362D-4ECB-83AF-EC8101C6E4A2}">
    <text xml:space="preserve">Note sur les permanents : 
les deux modes de gestion surlignés ici semblent a priori «incompatibles».
- Le premier décrit un mode de fonctionnement s’affranchissant de la dimension Saison (décrite plus haut) pour certains articles, ce qui impacterait le fonctionnement de toutes les transactions utilisant cet article.
- Le second prend pour hypothèse l’existence d’une Saison « permanente » assortie de critères et de règles de paramétrage spécifiques, gérée de façon comparable aux saisons classiques dans le système.
N’hésitez pas à décrire comment les Saisons de gestion et de vente sont gérées dans votre solution, et comment les données référentielles comme les transactions y sont liées.
</text>
  </threadedComment>
  <threadedComment ref="B170" dT="2025-05-22T14:05:02.03" personId="{62076CFD-C207-4F93-9196-0C72595EAC85}" id="{FE2C6539-DBC3-47FA-9904-D433504DF6CF}">
    <text>Note sur le pilotage hebdomadaire des capacités fournisseurs :
Il s’agit d’un besoin transverse de pilotage exploitant les données et plannings des commandes de ventes et d’achats, les capacités fournisseurs (théoriques, avec possibilité d’ajustement) et lead times, et les éléments de planification amont. 
Ce besoin hors scope relève plutôt d’une approche Planning et S&amp;OP 
Vous êtes toutefois invité à faire part de vos solutions éventuelles.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learn.microsoft.com/en-us/dynamics365/business-central/dev-itpro/compliance/apptest-countries-and-translations" TargetMode="External"/><Relationship Id="rId1" Type="http://schemas.openxmlformats.org/officeDocument/2006/relationships/hyperlink" Target="https://learn.microsoft.com/en-us/compliance/regulatory/offering-hom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microsoft.com/licensing/docs/view/Microsoft-Dynamics-365?lang=1"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www.microsoft.com/en/customers/story/1658280067649725407-sportisimo-retailers-power-apps-en-czech-republic" TargetMode="External"/><Relationship Id="rId7" Type="http://schemas.openxmlformats.org/officeDocument/2006/relationships/hyperlink" Target="https://www.microsoft.com/en/customers/story/1708163472667013902-aditya-birla-fashion-retailers-dynamics365-india" TargetMode="External"/><Relationship Id="rId2" Type="http://schemas.openxmlformats.org/officeDocument/2006/relationships/hyperlink" Target="https://www.microsoft.com/en/customers/story/1333890335927415070-lids-retailers-dynamics365-en-united-states" TargetMode="External"/><Relationship Id="rId1" Type="http://schemas.openxmlformats.org/officeDocument/2006/relationships/hyperlink" Target="https://www.microsoft.com/en/customers/story/861653-columbia-sportswear-retailers-dynamics-365" TargetMode="External"/><Relationship Id="rId6" Type="http://schemas.openxmlformats.org/officeDocument/2006/relationships/hyperlink" Target="https://www.microsoft.com/en/customers/story/775579-dr-martens-retailers-dynamics-365" TargetMode="External"/><Relationship Id="rId5" Type="http://schemas.openxmlformats.org/officeDocument/2006/relationships/hyperlink" Target="https://www.microsoft.com/en/customers/story/770821-bestseller-retailers-dynamics-365" TargetMode="External"/><Relationship Id="rId4" Type="http://schemas.openxmlformats.org/officeDocument/2006/relationships/hyperlink" Target="https://www.microsoft.com/en/customers/story/1627395150795454842-manor-retailers-azure-en-switzerland"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8F16-5D57-450B-9FEB-994DD612D247}">
  <sheetPr>
    <tabColor rgb="FF6E8DFF"/>
  </sheetPr>
  <dimension ref="A3:G126"/>
  <sheetViews>
    <sheetView zoomScaleNormal="100" workbookViewId="0">
      <selection activeCell="B22" sqref="B22"/>
    </sheetView>
  </sheetViews>
  <sheetFormatPr baseColWidth="10" defaultColWidth="10.88671875" defaultRowHeight="14.4"/>
  <cols>
    <col min="1" max="1" width="10.88671875" style="70"/>
    <col min="2" max="2" width="151.88671875" style="70" customWidth="1"/>
    <col min="3" max="16384" width="10.88671875" style="70"/>
  </cols>
  <sheetData>
    <row r="3" spans="1:7">
      <c r="A3" s="69"/>
      <c r="B3" s="69"/>
    </row>
    <row r="6" spans="1:7">
      <c r="B6" s="184">
        <v>45805</v>
      </c>
    </row>
    <row r="7" spans="1:7">
      <c r="A7" s="69"/>
      <c r="B7" s="183"/>
    </row>
    <row r="8" spans="1:7" ht="36.6">
      <c r="A8" s="69"/>
      <c r="B8" s="71" t="s">
        <v>0</v>
      </c>
    </row>
    <row r="9" spans="1:7" ht="18">
      <c r="A9" s="69"/>
      <c r="B9" s="72" t="s">
        <v>1</v>
      </c>
    </row>
    <row r="10" spans="1:7">
      <c r="A10" s="80"/>
      <c r="B10" s="228" t="s">
        <v>2</v>
      </c>
      <c r="C10" s="228"/>
      <c r="D10" s="228"/>
      <c r="E10" s="228"/>
      <c r="F10" s="228"/>
      <c r="G10" s="228"/>
    </row>
    <row r="11" spans="1:7">
      <c r="A11" s="81"/>
      <c r="B11" s="228"/>
      <c r="C11" s="228"/>
      <c r="D11" s="228"/>
      <c r="E11" s="228"/>
      <c r="F11" s="228"/>
      <c r="G11" s="228"/>
    </row>
    <row r="12" spans="1:7">
      <c r="A12" s="81"/>
      <c r="B12" s="228"/>
      <c r="C12" s="228"/>
      <c r="D12" s="228"/>
      <c r="E12" s="228"/>
      <c r="F12" s="228"/>
      <c r="G12" s="228"/>
    </row>
    <row r="13" spans="1:7">
      <c r="A13" s="81"/>
      <c r="B13" s="228"/>
      <c r="C13" s="228"/>
      <c r="D13" s="228"/>
      <c r="E13" s="228"/>
      <c r="F13" s="228"/>
      <c r="G13" s="228"/>
    </row>
    <row r="14" spans="1:7">
      <c r="A14" s="81"/>
      <c r="B14" s="228"/>
      <c r="C14" s="228"/>
      <c r="D14" s="228"/>
      <c r="E14" s="228"/>
      <c r="F14" s="228"/>
      <c r="G14" s="228"/>
    </row>
    <row r="15" spans="1:7">
      <c r="A15" s="81"/>
      <c r="B15" s="228"/>
      <c r="C15" s="228"/>
      <c r="D15" s="228"/>
      <c r="E15" s="228"/>
      <c r="F15" s="228"/>
      <c r="G15" s="228"/>
    </row>
    <row r="16" spans="1:7">
      <c r="A16" s="81"/>
      <c r="B16" s="228"/>
      <c r="C16" s="228"/>
      <c r="D16" s="228"/>
      <c r="E16" s="228"/>
      <c r="F16" s="228"/>
      <c r="G16" s="228"/>
    </row>
    <row r="17" spans="1:7">
      <c r="A17" s="81"/>
      <c r="B17" s="228"/>
      <c r="C17" s="228"/>
      <c r="D17" s="228"/>
      <c r="E17" s="228"/>
      <c r="F17" s="228"/>
      <c r="G17" s="228"/>
    </row>
    <row r="18" spans="1:7" ht="18">
      <c r="A18" s="69"/>
      <c r="B18" s="72" t="s">
        <v>3</v>
      </c>
    </row>
    <row r="19" spans="1:7">
      <c r="A19" s="80"/>
      <c r="B19" s="229" t="s">
        <v>4</v>
      </c>
      <c r="C19" s="229"/>
      <c r="D19" s="229"/>
      <c r="E19" s="229"/>
      <c r="F19" s="229"/>
      <c r="G19" s="229"/>
    </row>
    <row r="20" spans="1:7">
      <c r="A20" s="81"/>
      <c r="B20" s="229"/>
      <c r="C20" s="229"/>
      <c r="D20" s="229"/>
      <c r="E20" s="229"/>
      <c r="F20" s="229"/>
      <c r="G20" s="229"/>
    </row>
    <row r="21" spans="1:7">
      <c r="A21" s="81"/>
      <c r="B21" s="229"/>
      <c r="C21" s="229"/>
      <c r="D21" s="229"/>
      <c r="E21" s="229"/>
      <c r="F21" s="229"/>
      <c r="G21" s="229"/>
    </row>
    <row r="22" spans="1:7">
      <c r="A22" s="69"/>
      <c r="B22" s="86"/>
      <c r="C22" s="85"/>
      <c r="D22" s="85"/>
      <c r="E22" s="85"/>
      <c r="F22" s="85"/>
      <c r="G22" s="85"/>
    </row>
    <row r="23" spans="1:7">
      <c r="A23" s="69"/>
      <c r="B23" s="86"/>
      <c r="C23" s="85"/>
      <c r="D23" s="85"/>
      <c r="E23" s="85"/>
      <c r="F23" s="85"/>
      <c r="G23" s="85"/>
    </row>
    <row r="24" spans="1:7" ht="18">
      <c r="A24" s="69"/>
      <c r="B24" s="72" t="s">
        <v>5</v>
      </c>
    </row>
    <row r="25" spans="1:7">
      <c r="A25" s="80"/>
      <c r="B25" s="229" t="s">
        <v>6</v>
      </c>
      <c r="C25" s="229"/>
      <c r="D25" s="229"/>
      <c r="E25" s="229"/>
      <c r="F25" s="229"/>
      <c r="G25" s="229"/>
    </row>
    <row r="26" spans="1:7">
      <c r="A26" s="81"/>
      <c r="B26" s="229"/>
      <c r="C26" s="229"/>
      <c r="D26" s="229"/>
      <c r="E26" s="229"/>
      <c r="F26" s="229"/>
      <c r="G26" s="229"/>
    </row>
    <row r="27" spans="1:7">
      <c r="A27" s="81"/>
      <c r="B27" s="229"/>
      <c r="C27" s="229"/>
      <c r="D27" s="229"/>
      <c r="E27" s="229"/>
      <c r="F27" s="229"/>
      <c r="G27" s="229"/>
    </row>
    <row r="28" spans="1:7">
      <c r="A28" s="81"/>
      <c r="B28" s="229"/>
      <c r="C28" s="229"/>
      <c r="D28" s="229"/>
      <c r="E28" s="229"/>
      <c r="F28" s="229"/>
      <c r="G28" s="229"/>
    </row>
    <row r="29" spans="1:7">
      <c r="A29" s="81"/>
      <c r="B29" s="229"/>
      <c r="C29" s="229"/>
      <c r="D29" s="229"/>
      <c r="E29" s="229"/>
      <c r="F29" s="229"/>
      <c r="G29" s="229"/>
    </row>
    <row r="30" spans="1:7">
      <c r="A30" s="81"/>
      <c r="B30" s="229"/>
      <c r="C30" s="229"/>
      <c r="D30" s="229"/>
      <c r="E30" s="229"/>
      <c r="F30" s="229"/>
      <c r="G30" s="229"/>
    </row>
    <row r="31" spans="1:7">
      <c r="A31" s="81"/>
      <c r="B31" s="229"/>
      <c r="C31" s="229"/>
      <c r="D31" s="229"/>
      <c r="E31" s="229"/>
      <c r="F31" s="229"/>
      <c r="G31" s="229"/>
    </row>
    <row r="32" spans="1:7">
      <c r="A32" s="81"/>
      <c r="B32" s="229"/>
      <c r="C32" s="229"/>
      <c r="D32" s="229"/>
      <c r="E32" s="229"/>
      <c r="F32" s="229"/>
      <c r="G32" s="229"/>
    </row>
    <row r="33" spans="1:7">
      <c r="A33" s="81"/>
      <c r="B33" s="229"/>
      <c r="C33" s="229"/>
      <c r="D33" s="229"/>
      <c r="E33" s="229"/>
      <c r="F33" s="229"/>
      <c r="G33" s="229"/>
    </row>
    <row r="34" spans="1:7">
      <c r="A34" s="81"/>
      <c r="B34" s="229"/>
      <c r="C34" s="229"/>
      <c r="D34" s="229"/>
      <c r="E34" s="229"/>
      <c r="F34" s="229"/>
      <c r="G34" s="229"/>
    </row>
    <row r="35" spans="1:7">
      <c r="A35" s="81"/>
      <c r="B35" s="229"/>
      <c r="C35" s="229"/>
      <c r="D35" s="229"/>
      <c r="E35" s="229"/>
      <c r="F35" s="229"/>
      <c r="G35" s="229"/>
    </row>
    <row r="36" spans="1:7">
      <c r="A36" s="81"/>
      <c r="B36" s="229"/>
      <c r="C36" s="229"/>
      <c r="D36" s="229"/>
      <c r="E36" s="229"/>
      <c r="F36" s="229"/>
      <c r="G36" s="229"/>
    </row>
    <row r="37" spans="1:7">
      <c r="A37" s="81"/>
      <c r="B37" s="229"/>
      <c r="C37" s="229"/>
      <c r="D37" s="229"/>
      <c r="E37" s="229"/>
      <c r="F37" s="229"/>
      <c r="G37" s="229"/>
    </row>
    <row r="38" spans="1:7">
      <c r="A38" s="81"/>
      <c r="B38" s="229"/>
      <c r="C38" s="229"/>
      <c r="D38" s="229"/>
      <c r="E38" s="229"/>
      <c r="F38" s="229"/>
      <c r="G38" s="229"/>
    </row>
    <row r="39" spans="1:7">
      <c r="A39" s="81"/>
      <c r="B39" s="229"/>
      <c r="C39" s="229"/>
      <c r="D39" s="229"/>
      <c r="E39" s="229"/>
      <c r="F39" s="229"/>
      <c r="G39" s="229"/>
    </row>
    <row r="40" spans="1:7">
      <c r="A40" s="81"/>
      <c r="B40" s="229"/>
      <c r="C40" s="229"/>
      <c r="D40" s="229"/>
      <c r="E40" s="229"/>
      <c r="F40" s="229"/>
      <c r="G40" s="229"/>
    </row>
    <row r="41" spans="1:7" ht="27.6" customHeight="1">
      <c r="A41" s="81"/>
      <c r="B41" s="229"/>
      <c r="C41" s="229"/>
      <c r="D41" s="229"/>
      <c r="E41" s="229"/>
      <c r="F41" s="229"/>
      <c r="G41" s="229"/>
    </row>
    <row r="42" spans="1:7">
      <c r="A42" s="81"/>
      <c r="B42" s="229"/>
      <c r="C42" s="229"/>
      <c r="D42" s="229"/>
      <c r="E42" s="229"/>
      <c r="F42" s="229"/>
      <c r="G42" s="229"/>
    </row>
    <row r="43" spans="1:7">
      <c r="A43" s="81"/>
      <c r="B43" s="229"/>
      <c r="C43" s="229"/>
      <c r="D43" s="229"/>
      <c r="E43" s="229"/>
      <c r="F43" s="229"/>
      <c r="G43" s="229"/>
    </row>
    <row r="44" spans="1:7">
      <c r="A44" s="81"/>
      <c r="B44" s="229"/>
      <c r="C44" s="229"/>
      <c r="D44" s="229"/>
      <c r="E44" s="229"/>
      <c r="F44" s="229"/>
      <c r="G44" s="229"/>
    </row>
    <row r="45" spans="1:7">
      <c r="A45" s="81"/>
      <c r="B45" s="229"/>
      <c r="C45" s="229"/>
      <c r="D45" s="229"/>
      <c r="E45" s="229"/>
      <c r="F45" s="229"/>
      <c r="G45" s="229"/>
    </row>
    <row r="46" spans="1:7">
      <c r="A46" s="81"/>
      <c r="B46" s="229"/>
      <c r="C46" s="229"/>
      <c r="D46" s="229"/>
      <c r="E46" s="229"/>
      <c r="F46" s="229"/>
      <c r="G46" s="229"/>
    </row>
    <row r="47" spans="1:7">
      <c r="A47" s="81"/>
      <c r="B47" s="229"/>
      <c r="C47" s="229"/>
      <c r="D47" s="229"/>
      <c r="E47" s="229"/>
      <c r="F47" s="229"/>
      <c r="G47" s="229"/>
    </row>
    <row r="48" spans="1:7">
      <c r="A48" s="81"/>
      <c r="B48" s="229"/>
      <c r="C48" s="229"/>
      <c r="D48" s="229"/>
      <c r="E48" s="229"/>
      <c r="F48" s="229"/>
      <c r="G48" s="229"/>
    </row>
    <row r="49" spans="1:7">
      <c r="A49" s="81"/>
      <c r="B49" s="229"/>
      <c r="C49" s="229"/>
      <c r="D49" s="229"/>
      <c r="E49" s="229"/>
      <c r="F49" s="229"/>
      <c r="G49" s="229"/>
    </row>
    <row r="50" spans="1:7">
      <c r="A50" s="81"/>
      <c r="B50" s="229"/>
      <c r="C50" s="229"/>
      <c r="D50" s="229"/>
      <c r="E50" s="229"/>
      <c r="F50" s="229"/>
      <c r="G50" s="229"/>
    </row>
    <row r="51" spans="1:7">
      <c r="A51" s="81"/>
      <c r="B51" s="229"/>
      <c r="C51" s="229"/>
      <c r="D51" s="229"/>
      <c r="E51" s="229"/>
      <c r="F51" s="229"/>
      <c r="G51" s="229"/>
    </row>
    <row r="52" spans="1:7">
      <c r="A52" s="81"/>
      <c r="B52" s="229"/>
      <c r="C52" s="229"/>
      <c r="D52" s="229"/>
      <c r="E52" s="229"/>
      <c r="F52" s="229"/>
      <c r="G52" s="229"/>
    </row>
    <row r="53" spans="1:7">
      <c r="A53" s="82"/>
      <c r="B53" s="229"/>
      <c r="C53" s="229"/>
      <c r="D53" s="229"/>
      <c r="E53" s="229"/>
      <c r="F53" s="229"/>
      <c r="G53" s="229"/>
    </row>
    <row r="54" spans="1:7">
      <c r="A54" s="82"/>
      <c r="B54" s="77"/>
      <c r="C54" s="78"/>
      <c r="D54" s="78"/>
      <c r="E54" s="78"/>
      <c r="F54" s="78"/>
      <c r="G54" s="79"/>
    </row>
    <row r="55" spans="1:7" ht="18">
      <c r="A55" s="69"/>
      <c r="B55" s="72" t="s">
        <v>7</v>
      </c>
    </row>
    <row r="56" spans="1:7" ht="15.6" customHeight="1">
      <c r="A56" s="80"/>
      <c r="B56" s="229" t="s">
        <v>8</v>
      </c>
      <c r="C56" s="229"/>
      <c r="D56" s="229"/>
      <c r="E56" s="229"/>
      <c r="F56" s="229"/>
      <c r="G56" s="229"/>
    </row>
    <row r="57" spans="1:7">
      <c r="B57" s="229"/>
      <c r="C57" s="229"/>
      <c r="D57" s="229"/>
      <c r="E57" s="229"/>
      <c r="F57" s="229"/>
      <c r="G57" s="229"/>
    </row>
    <row r="58" spans="1:7">
      <c r="A58" s="81"/>
      <c r="B58" s="229"/>
      <c r="C58" s="229"/>
      <c r="D58" s="229"/>
      <c r="E58" s="229"/>
      <c r="F58" s="229"/>
      <c r="G58" s="229"/>
    </row>
    <row r="59" spans="1:7">
      <c r="A59" s="81"/>
      <c r="B59" s="229"/>
      <c r="C59" s="229"/>
      <c r="D59" s="229"/>
      <c r="E59" s="229"/>
      <c r="F59" s="229"/>
      <c r="G59" s="229"/>
    </row>
    <row r="60" spans="1:7">
      <c r="A60" s="81"/>
      <c r="B60" s="229"/>
      <c r="C60" s="229"/>
      <c r="D60" s="229"/>
      <c r="E60" s="229"/>
      <c r="F60" s="229"/>
      <c r="G60" s="229"/>
    </row>
    <row r="61" spans="1:7">
      <c r="A61" s="81"/>
      <c r="B61" s="229"/>
      <c r="C61" s="229"/>
      <c r="D61" s="229"/>
      <c r="E61" s="229"/>
      <c r="F61" s="229"/>
      <c r="G61" s="229"/>
    </row>
    <row r="62" spans="1:7">
      <c r="A62" s="81"/>
      <c r="B62" s="229"/>
      <c r="C62" s="229"/>
      <c r="D62" s="229"/>
      <c r="E62" s="229"/>
      <c r="F62" s="229"/>
      <c r="G62" s="229"/>
    </row>
    <row r="63" spans="1:7">
      <c r="A63" s="81"/>
      <c r="B63" s="229"/>
      <c r="C63" s="229"/>
      <c r="D63" s="229"/>
      <c r="E63" s="229"/>
      <c r="F63" s="229"/>
      <c r="G63" s="229"/>
    </row>
    <row r="64" spans="1:7">
      <c r="A64" s="81"/>
      <c r="B64" s="229"/>
      <c r="C64" s="229"/>
      <c r="D64" s="229"/>
      <c r="E64" s="229"/>
      <c r="F64" s="229"/>
      <c r="G64" s="229"/>
    </row>
    <row r="65" spans="1:7">
      <c r="A65" s="81"/>
      <c r="B65" s="229"/>
      <c r="C65" s="229"/>
      <c r="D65" s="229"/>
      <c r="E65" s="229"/>
      <c r="F65" s="229"/>
      <c r="G65" s="229"/>
    </row>
    <row r="66" spans="1:7">
      <c r="A66" s="81"/>
      <c r="B66" s="229"/>
      <c r="C66" s="229"/>
      <c r="D66" s="229"/>
      <c r="E66" s="229"/>
      <c r="F66" s="229"/>
      <c r="G66" s="229"/>
    </row>
    <row r="67" spans="1:7">
      <c r="A67" s="81"/>
      <c r="B67" s="229"/>
      <c r="C67" s="229"/>
      <c r="D67" s="229"/>
      <c r="E67" s="229"/>
      <c r="F67" s="229"/>
      <c r="G67" s="229"/>
    </row>
    <row r="68" spans="1:7">
      <c r="A68" s="81"/>
      <c r="B68" s="229"/>
      <c r="C68" s="229"/>
      <c r="D68" s="229"/>
      <c r="E68" s="229"/>
      <c r="F68" s="229"/>
      <c r="G68" s="229"/>
    </row>
    <row r="69" spans="1:7">
      <c r="A69" s="81"/>
      <c r="B69" s="229"/>
      <c r="C69" s="229"/>
      <c r="D69" s="229"/>
      <c r="E69" s="229"/>
      <c r="F69" s="229"/>
      <c r="G69" s="229"/>
    </row>
    <row r="70" spans="1:7">
      <c r="A70" s="81"/>
      <c r="B70" s="229"/>
      <c r="C70" s="229"/>
      <c r="D70" s="229"/>
      <c r="E70" s="229"/>
      <c r="F70" s="229"/>
      <c r="G70" s="229"/>
    </row>
    <row r="71" spans="1:7">
      <c r="A71" s="81"/>
      <c r="B71" s="229"/>
      <c r="C71" s="229"/>
      <c r="D71" s="229"/>
      <c r="E71" s="229"/>
      <c r="F71" s="229"/>
      <c r="G71" s="229"/>
    </row>
    <row r="72" spans="1:7">
      <c r="A72" s="81"/>
      <c r="B72" s="229"/>
      <c r="C72" s="229"/>
      <c r="D72" s="229"/>
      <c r="E72" s="229"/>
      <c r="F72" s="229"/>
      <c r="G72" s="229"/>
    </row>
    <row r="73" spans="1:7">
      <c r="A73" s="81"/>
      <c r="B73" s="229"/>
      <c r="C73" s="229"/>
      <c r="D73" s="229"/>
      <c r="E73" s="229"/>
      <c r="F73" s="229"/>
      <c r="G73" s="229"/>
    </row>
    <row r="74" spans="1:7">
      <c r="A74" s="81"/>
      <c r="B74" s="229"/>
      <c r="C74" s="229"/>
      <c r="D74" s="229"/>
      <c r="E74" s="229"/>
      <c r="F74" s="229"/>
      <c r="G74" s="229"/>
    </row>
    <row r="75" spans="1:7">
      <c r="A75" s="81"/>
      <c r="B75" s="229"/>
      <c r="C75" s="229"/>
      <c r="D75" s="229"/>
      <c r="E75" s="229"/>
      <c r="F75" s="229"/>
      <c r="G75" s="229"/>
    </row>
    <row r="76" spans="1:7">
      <c r="A76" s="81"/>
      <c r="B76" s="229"/>
      <c r="C76" s="229"/>
      <c r="D76" s="229"/>
      <c r="E76" s="229"/>
      <c r="F76" s="229"/>
      <c r="G76" s="229"/>
    </row>
    <row r="77" spans="1:7">
      <c r="A77" s="81"/>
      <c r="B77" s="229"/>
      <c r="C77" s="229"/>
      <c r="D77" s="229"/>
      <c r="E77" s="229"/>
      <c r="F77" s="229"/>
      <c r="G77" s="229"/>
    </row>
    <row r="78" spans="1:7">
      <c r="A78" s="81"/>
      <c r="B78" s="229"/>
      <c r="C78" s="229"/>
      <c r="D78" s="229"/>
      <c r="E78" s="229"/>
      <c r="F78" s="229"/>
      <c r="G78" s="229"/>
    </row>
    <row r="79" spans="1:7">
      <c r="A79" s="69"/>
      <c r="B79" s="86"/>
      <c r="C79" s="85"/>
      <c r="D79" s="85"/>
      <c r="E79" s="85"/>
      <c r="F79" s="85"/>
      <c r="G79" s="85"/>
    </row>
    <row r="80" spans="1:7">
      <c r="A80" s="69"/>
      <c r="B80" s="73"/>
    </row>
    <row r="81" spans="1:7" ht="18">
      <c r="A81" s="69"/>
      <c r="B81" s="72" t="s">
        <v>9</v>
      </c>
    </row>
    <row r="82" spans="1:7">
      <c r="A82" s="81"/>
      <c r="B82" s="230" t="s">
        <v>10</v>
      </c>
      <c r="C82" s="230"/>
      <c r="D82" s="230"/>
      <c r="E82" s="230"/>
      <c r="F82" s="230"/>
      <c r="G82" s="230"/>
    </row>
    <row r="83" spans="1:7">
      <c r="A83" s="81"/>
      <c r="B83" s="230"/>
      <c r="C83" s="230"/>
      <c r="D83" s="230"/>
      <c r="E83" s="230"/>
      <c r="F83" s="230"/>
      <c r="G83" s="230"/>
    </row>
    <row r="84" spans="1:7">
      <c r="A84" s="81"/>
      <c r="B84" s="230"/>
      <c r="C84" s="230"/>
      <c r="D84" s="230"/>
      <c r="E84" s="230"/>
      <c r="F84" s="230"/>
      <c r="G84" s="230"/>
    </row>
    <row r="85" spans="1:7">
      <c r="A85" s="81"/>
      <c r="B85" s="230"/>
      <c r="C85" s="230"/>
      <c r="D85" s="230"/>
      <c r="E85" s="230"/>
      <c r="F85" s="230"/>
      <c r="G85" s="230"/>
    </row>
    <row r="86" spans="1:7">
      <c r="A86" s="81"/>
      <c r="B86" s="230"/>
      <c r="C86" s="230"/>
      <c r="D86" s="230"/>
      <c r="E86" s="230"/>
      <c r="F86" s="230"/>
      <c r="G86" s="230"/>
    </row>
    <row r="87" spans="1:7">
      <c r="A87" s="69"/>
      <c r="B87" s="73"/>
      <c r="C87" s="76"/>
      <c r="D87" s="76"/>
      <c r="E87" s="76"/>
      <c r="F87" s="76"/>
      <c r="G87" s="76"/>
    </row>
    <row r="88" spans="1:7">
      <c r="A88" s="69"/>
      <c r="B88" s="73"/>
      <c r="C88" s="76"/>
      <c r="D88" s="76"/>
      <c r="E88" s="76"/>
      <c r="F88" s="76"/>
      <c r="G88" s="76"/>
    </row>
    <row r="89" spans="1:7" ht="18">
      <c r="A89" s="69"/>
      <c r="B89" s="72" t="s">
        <v>11</v>
      </c>
    </row>
    <row r="90" spans="1:7" ht="35.4" customHeight="1">
      <c r="A90" s="80"/>
      <c r="B90" s="229" t="s">
        <v>12</v>
      </c>
      <c r="C90" s="229"/>
      <c r="D90" s="229"/>
      <c r="E90" s="229"/>
      <c r="F90" s="229"/>
      <c r="G90" s="229"/>
    </row>
    <row r="91" spans="1:7" ht="35.4" customHeight="1">
      <c r="A91" s="81"/>
      <c r="B91" s="229"/>
      <c r="C91" s="229"/>
      <c r="D91" s="229"/>
      <c r="E91" s="229"/>
      <c r="F91" s="229"/>
      <c r="G91" s="229"/>
    </row>
    <row r="92" spans="1:7" ht="35.4" customHeight="1">
      <c r="A92" s="81"/>
      <c r="B92" s="229"/>
      <c r="C92" s="229"/>
      <c r="D92" s="229"/>
      <c r="E92" s="229"/>
      <c r="F92" s="229"/>
      <c r="G92" s="229"/>
    </row>
    <row r="93" spans="1:7" ht="35.4" customHeight="1">
      <c r="A93" s="81"/>
      <c r="B93" s="229"/>
      <c r="C93" s="229"/>
      <c r="D93" s="229"/>
      <c r="E93" s="229"/>
      <c r="F93" s="229"/>
      <c r="G93" s="229"/>
    </row>
    <row r="94" spans="1:7" ht="23.1" customHeight="1">
      <c r="A94" s="81"/>
      <c r="B94" s="229"/>
      <c r="C94" s="229"/>
      <c r="D94" s="229"/>
      <c r="E94" s="229"/>
      <c r="F94" s="229"/>
      <c r="G94" s="229"/>
    </row>
    <row r="95" spans="1:7">
      <c r="A95" s="69"/>
      <c r="B95" s="86"/>
      <c r="C95" s="85"/>
      <c r="D95" s="85"/>
      <c r="E95" s="85"/>
      <c r="F95" s="85"/>
      <c r="G95" s="85"/>
    </row>
    <row r="96" spans="1:7">
      <c r="A96" s="69"/>
      <c r="B96" s="86"/>
      <c r="C96" s="85"/>
      <c r="D96" s="85"/>
      <c r="E96" s="85"/>
      <c r="F96" s="85"/>
      <c r="G96" s="85"/>
    </row>
    <row r="97" spans="1:7" ht="17.399999999999999" customHeight="1">
      <c r="A97" s="69"/>
      <c r="B97" s="72" t="s">
        <v>13</v>
      </c>
    </row>
    <row r="98" spans="1:7" ht="17.399999999999999" customHeight="1">
      <c r="A98" s="80"/>
      <c r="B98" s="229" t="s">
        <v>14</v>
      </c>
      <c r="C98" s="229"/>
      <c r="D98" s="229"/>
      <c r="E98" s="229"/>
      <c r="F98" s="229"/>
      <c r="G98" s="229"/>
    </row>
    <row r="99" spans="1:7" ht="17.399999999999999" customHeight="1">
      <c r="A99" s="81"/>
      <c r="B99" s="229"/>
      <c r="C99" s="229"/>
      <c r="D99" s="229"/>
      <c r="E99" s="229"/>
      <c r="F99" s="229"/>
      <c r="G99" s="229"/>
    </row>
    <row r="100" spans="1:7" ht="17.399999999999999" customHeight="1">
      <c r="A100" s="81"/>
      <c r="B100" s="229"/>
      <c r="C100" s="229"/>
      <c r="D100" s="229"/>
      <c r="E100" s="229"/>
      <c r="F100" s="229"/>
      <c r="G100" s="229"/>
    </row>
    <row r="101" spans="1:7" ht="17.399999999999999" customHeight="1">
      <c r="A101" s="81"/>
      <c r="B101" s="229"/>
      <c r="C101" s="229"/>
      <c r="D101" s="229"/>
      <c r="E101" s="229"/>
      <c r="F101" s="229"/>
      <c r="G101" s="229"/>
    </row>
    <row r="102" spans="1:7">
      <c r="A102" s="81"/>
      <c r="B102" s="229"/>
      <c r="C102" s="229"/>
      <c r="D102" s="229"/>
      <c r="E102" s="229"/>
      <c r="F102" s="229"/>
      <c r="G102" s="229"/>
    </row>
    <row r="103" spans="1:7">
      <c r="A103" s="82"/>
      <c r="B103" s="229"/>
      <c r="C103" s="229"/>
      <c r="D103" s="229"/>
      <c r="E103" s="229"/>
      <c r="F103" s="229"/>
      <c r="G103" s="229"/>
    </row>
    <row r="104" spans="1:7" ht="18">
      <c r="A104" s="69"/>
      <c r="B104" s="72" t="s">
        <v>15</v>
      </c>
    </row>
    <row r="105" spans="1:7" ht="81.900000000000006" customHeight="1">
      <c r="A105" s="80"/>
      <c r="B105" s="235" t="s">
        <v>16</v>
      </c>
      <c r="C105" s="235"/>
      <c r="D105" s="235"/>
      <c r="E105" s="235"/>
      <c r="F105" s="235"/>
      <c r="G105" s="235"/>
    </row>
    <row r="106" spans="1:7">
      <c r="A106" s="82"/>
      <c r="B106" s="86"/>
      <c r="C106" s="179"/>
      <c r="D106" s="179"/>
      <c r="E106" s="179"/>
      <c r="F106" s="179"/>
      <c r="G106" s="179"/>
    </row>
    <row r="107" spans="1:7">
      <c r="A107" s="69"/>
      <c r="B107" s="73"/>
      <c r="C107" s="74"/>
      <c r="D107" s="74"/>
      <c r="E107" s="74"/>
      <c r="F107" s="74"/>
      <c r="G107" s="75"/>
    </row>
    <row r="108" spans="1:7" ht="18">
      <c r="A108" s="69"/>
      <c r="B108" s="72" t="s">
        <v>17</v>
      </c>
    </row>
    <row r="109" spans="1:7" ht="48.9" customHeight="1">
      <c r="B109" s="231" t="s">
        <v>18</v>
      </c>
    </row>
    <row r="110" spans="1:7" ht="11.1" customHeight="1">
      <c r="B110" s="231"/>
    </row>
    <row r="111" spans="1:7">
      <c r="B111" s="231"/>
    </row>
    <row r="112" spans="1:7">
      <c r="B112" s="231"/>
    </row>
    <row r="113" spans="2:2" ht="18">
      <c r="B113" s="72" t="s">
        <v>19</v>
      </c>
    </row>
    <row r="114" spans="2:2" ht="203.1" customHeight="1">
      <c r="B114" s="232" t="s">
        <v>20</v>
      </c>
    </row>
    <row r="115" spans="2:2">
      <c r="B115" s="233"/>
    </row>
    <row r="116" spans="2:2">
      <c r="B116" s="233"/>
    </row>
    <row r="117" spans="2:2">
      <c r="B117" s="233"/>
    </row>
    <row r="118" spans="2:2">
      <c r="B118" s="233"/>
    </row>
    <row r="119" spans="2:2">
      <c r="B119" s="233"/>
    </row>
    <row r="120" spans="2:2">
      <c r="B120" s="233"/>
    </row>
    <row r="121" spans="2:2">
      <c r="B121" s="233"/>
    </row>
    <row r="122" spans="2:2">
      <c r="B122" s="233"/>
    </row>
    <row r="123" spans="2:2">
      <c r="B123" s="233"/>
    </row>
    <row r="124" spans="2:2">
      <c r="B124" s="233"/>
    </row>
    <row r="125" spans="2:2">
      <c r="B125" s="233"/>
    </row>
    <row r="126" spans="2:2">
      <c r="B126" s="234"/>
    </row>
  </sheetData>
  <mergeCells count="10">
    <mergeCell ref="B109:B112"/>
    <mergeCell ref="B114:B126"/>
    <mergeCell ref="B90:G94"/>
    <mergeCell ref="B98:G103"/>
    <mergeCell ref="B105:G105"/>
    <mergeCell ref="B10:G17"/>
    <mergeCell ref="B19:G21"/>
    <mergeCell ref="B56:G78"/>
    <mergeCell ref="B82:G86"/>
    <mergeCell ref="B25:G5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902A-91E0-434D-9BF8-FC6C1F7197B9}">
  <sheetPr>
    <tabColor theme="9" tint="0.79998168889431442"/>
  </sheetPr>
  <dimension ref="A1:F28"/>
  <sheetViews>
    <sheetView zoomScale="70" zoomScaleNormal="70" zoomScaleSheetLayoutView="70" workbookViewId="0">
      <selection activeCell="B43" sqref="B43"/>
    </sheetView>
  </sheetViews>
  <sheetFormatPr baseColWidth="10" defaultColWidth="11.44140625" defaultRowHeight="14.4"/>
  <cols>
    <col min="1" max="1" width="44.88671875" customWidth="1"/>
    <col min="2" max="2" width="43.44140625" customWidth="1"/>
    <col min="3" max="4" width="33" customWidth="1"/>
  </cols>
  <sheetData>
    <row r="1" spans="1:6" s="41" customFormat="1" ht="23.4" customHeight="1" thickBot="1">
      <c r="A1" s="40" t="s">
        <v>21</v>
      </c>
      <c r="B1" s="44" t="s">
        <v>22</v>
      </c>
      <c r="C1" s="45" t="s">
        <v>23</v>
      </c>
      <c r="D1" s="45" t="s">
        <v>24</v>
      </c>
    </row>
    <row r="2" spans="1:6" ht="14.4" customHeight="1">
      <c r="A2" s="236" t="s">
        <v>25</v>
      </c>
      <c r="B2" s="52" t="s">
        <v>26</v>
      </c>
      <c r="C2" s="48"/>
      <c r="D2" s="51"/>
      <c r="E2" s="22"/>
    </row>
    <row r="3" spans="1:6">
      <c r="A3" s="237"/>
      <c r="B3" s="43" t="s">
        <v>27</v>
      </c>
      <c r="C3" s="46"/>
      <c r="D3" s="49"/>
      <c r="E3" s="22"/>
    </row>
    <row r="4" spans="1:6">
      <c r="A4" s="237"/>
      <c r="B4" s="43" t="s">
        <v>28</v>
      </c>
      <c r="C4" s="46"/>
      <c r="D4" s="49"/>
      <c r="E4" s="22"/>
    </row>
    <row r="5" spans="1:6">
      <c r="A5" s="237"/>
      <c r="B5" s="43" t="s">
        <v>29</v>
      </c>
      <c r="C5" s="46"/>
      <c r="D5" s="49"/>
      <c r="E5" s="22"/>
    </row>
    <row r="6" spans="1:6">
      <c r="A6" s="237"/>
      <c r="B6" s="43" t="s">
        <v>30</v>
      </c>
      <c r="C6" s="46"/>
      <c r="D6" s="49"/>
      <c r="E6" s="22"/>
    </row>
    <row r="7" spans="1:6">
      <c r="A7" s="237"/>
      <c r="B7" s="43" t="s">
        <v>31</v>
      </c>
      <c r="C7" s="46"/>
      <c r="D7" s="49"/>
      <c r="E7" s="22"/>
    </row>
    <row r="8" spans="1:6">
      <c r="A8" s="237"/>
      <c r="B8" s="43" t="s">
        <v>32</v>
      </c>
      <c r="C8" s="46"/>
      <c r="D8" s="49"/>
      <c r="E8" s="22"/>
    </row>
    <row r="9" spans="1:6" ht="15" thickBot="1">
      <c r="A9" s="238"/>
      <c r="B9" s="53" t="s">
        <v>33</v>
      </c>
      <c r="C9" s="47"/>
      <c r="D9" s="50"/>
      <c r="E9" s="22"/>
    </row>
    <row r="10" spans="1:6" s="3" customFormat="1" ht="10.5" customHeight="1" thickBot="1">
      <c r="A10" s="42"/>
      <c r="B10" s="16"/>
      <c r="C10" s="42"/>
      <c r="D10" s="42"/>
      <c r="E10" s="1"/>
      <c r="F10" s="1"/>
    </row>
    <row r="11" spans="1:6" ht="14.4" customHeight="1">
      <c r="A11" s="236" t="s">
        <v>34</v>
      </c>
      <c r="B11" s="52" t="s">
        <v>35</v>
      </c>
      <c r="C11" s="48"/>
      <c r="D11" s="51"/>
    </row>
    <row r="12" spans="1:6">
      <c r="A12" s="237"/>
      <c r="B12" s="43" t="s">
        <v>36</v>
      </c>
      <c r="C12" s="46"/>
      <c r="D12" s="49"/>
      <c r="E12" s="22"/>
    </row>
    <row r="13" spans="1:6" ht="15" thickBot="1">
      <c r="A13" s="238"/>
      <c r="B13" s="53" t="s">
        <v>37</v>
      </c>
      <c r="C13" s="47"/>
      <c r="D13" s="50"/>
      <c r="E13" s="22"/>
    </row>
    <row r="14" spans="1:6" s="3" customFormat="1" ht="10.5" customHeight="1" thickBot="1">
      <c r="A14" s="42"/>
      <c r="B14" s="16"/>
      <c r="C14" s="42"/>
      <c r="D14" s="42"/>
      <c r="E14" s="1"/>
      <c r="F14" s="1"/>
    </row>
    <row r="15" spans="1:6">
      <c r="A15" s="236" t="s">
        <v>38</v>
      </c>
      <c r="B15" s="52" t="s">
        <v>39</v>
      </c>
      <c r="C15" s="48"/>
      <c r="D15" s="51"/>
      <c r="E15" s="22"/>
    </row>
    <row r="16" spans="1:6">
      <c r="A16" s="237"/>
      <c r="B16" s="43" t="s">
        <v>40</v>
      </c>
      <c r="C16" s="46"/>
      <c r="D16" s="49"/>
      <c r="E16" s="22"/>
    </row>
    <row r="17" spans="1:6" ht="15" thickBot="1">
      <c r="A17" s="238"/>
      <c r="B17" s="53" t="s">
        <v>41</v>
      </c>
      <c r="C17" s="47"/>
      <c r="D17" s="50"/>
      <c r="E17" s="22"/>
    </row>
    <row r="18" spans="1:6" s="3" customFormat="1" ht="10.5" customHeight="1">
      <c r="A18" s="42"/>
      <c r="B18" s="16"/>
      <c r="C18" s="42"/>
      <c r="D18" s="42"/>
      <c r="E18" s="1"/>
      <c r="F18" s="1"/>
    </row>
    <row r="19" spans="1:6">
      <c r="E19" s="22"/>
    </row>
    <row r="20" spans="1:6">
      <c r="E20" s="22"/>
    </row>
    <row r="21" spans="1:6">
      <c r="E21" s="23"/>
    </row>
    <row r="22" spans="1:6">
      <c r="E22" s="23"/>
    </row>
    <row r="23" spans="1:6">
      <c r="E23" s="24"/>
    </row>
    <row r="24" spans="1:6">
      <c r="E24" s="22"/>
    </row>
    <row r="25" spans="1:6">
      <c r="E25" s="22"/>
    </row>
    <row r="26" spans="1:6">
      <c r="E26" s="22"/>
    </row>
    <row r="27" spans="1:6">
      <c r="E27" s="22"/>
    </row>
    <row r="28" spans="1:6">
      <c r="E28" s="22"/>
    </row>
  </sheetData>
  <mergeCells count="3">
    <mergeCell ref="A11:A13"/>
    <mergeCell ref="A15:A17"/>
    <mergeCell ref="A2:A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223B6EA-64E0-4A79-9779-C853C1F1206E}">
          <x14:formula1>
            <xm:f>LISTES!$A$7:$A$10</xm:f>
          </x14:formula1>
          <xm:sqref>C15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7613-E100-41D6-A85C-77634B75D04C}">
  <sheetPr>
    <tabColor theme="9" tint="0.79998168889431442"/>
  </sheetPr>
  <dimension ref="A1:G453"/>
  <sheetViews>
    <sheetView topLeftCell="A151" zoomScale="85" zoomScaleNormal="85" workbookViewId="0">
      <selection activeCell="F151" sqref="F151"/>
    </sheetView>
  </sheetViews>
  <sheetFormatPr baseColWidth="10" defaultColWidth="11.44140625" defaultRowHeight="14.4"/>
  <cols>
    <col min="1" max="1" width="24.5546875" style="30" customWidth="1"/>
    <col min="2" max="2" width="56.88671875" style="16" customWidth="1"/>
    <col min="3" max="3" width="11.44140625" style="38" bestFit="1"/>
    <col min="4" max="4" width="77.6640625" style="38" customWidth="1"/>
    <col min="5" max="5" width="30.5546875" style="37" bestFit="1" customWidth="1"/>
    <col min="6" max="6" width="19.44140625" style="37" customWidth="1"/>
    <col min="7" max="7" width="71" style="38" customWidth="1"/>
    <col min="8" max="16384" width="11.44140625" style="30"/>
  </cols>
  <sheetData>
    <row r="1" spans="1:7" s="39" customFormat="1" ht="36" customHeight="1" thickBot="1">
      <c r="A1" s="265" t="s">
        <v>42</v>
      </c>
      <c r="B1" s="266"/>
      <c r="C1" s="266"/>
      <c r="D1" s="266"/>
      <c r="E1" s="262" t="s">
        <v>23</v>
      </c>
      <c r="F1" s="264" t="s">
        <v>43</v>
      </c>
      <c r="G1" s="264" t="s">
        <v>44</v>
      </c>
    </row>
    <row r="2" spans="1:7" s="39" customFormat="1" ht="19.5" customHeight="1" thickBot="1">
      <c r="A2" s="267"/>
      <c r="B2" s="268"/>
      <c r="C2" s="268"/>
      <c r="D2" s="268"/>
      <c r="E2" s="263"/>
      <c r="F2" s="264"/>
      <c r="G2" s="264"/>
    </row>
    <row r="3" spans="1:7" s="39" customFormat="1" ht="16.2" thickBot="1">
      <c r="A3" s="171" t="s">
        <v>45</v>
      </c>
      <c r="B3" s="172"/>
      <c r="C3" s="172"/>
      <c r="D3" s="172"/>
      <c r="E3" s="172"/>
      <c r="F3" s="172"/>
      <c r="G3" s="192"/>
    </row>
    <row r="4" spans="1:7" ht="14.4" customHeight="1">
      <c r="A4" s="274" t="s">
        <v>46</v>
      </c>
      <c r="B4" s="327" t="s">
        <v>47</v>
      </c>
      <c r="C4" s="277" t="s">
        <v>48</v>
      </c>
      <c r="D4" s="278"/>
      <c r="E4" s="196" t="s">
        <v>49</v>
      </c>
      <c r="F4" s="196"/>
      <c r="G4" s="197" t="s">
        <v>50</v>
      </c>
    </row>
    <row r="5" spans="1:7">
      <c r="A5" s="279"/>
      <c r="B5" s="326"/>
      <c r="C5" s="252" t="s">
        <v>51</v>
      </c>
      <c r="D5" s="261"/>
      <c r="E5" s="198" t="s">
        <v>49</v>
      </c>
      <c r="F5" s="198"/>
      <c r="G5" s="199" t="s">
        <v>52</v>
      </c>
    </row>
    <row r="6" spans="1:7" ht="15" thickBot="1">
      <c r="A6" s="280"/>
      <c r="B6" s="328"/>
      <c r="C6" s="297" t="s">
        <v>53</v>
      </c>
      <c r="D6" s="301"/>
      <c r="E6" s="200" t="s">
        <v>49</v>
      </c>
      <c r="F6" s="200"/>
      <c r="G6" s="201"/>
    </row>
    <row r="7" spans="1:7" ht="55.2">
      <c r="A7" s="274" t="s">
        <v>54</v>
      </c>
      <c r="B7" s="327" t="s">
        <v>55</v>
      </c>
      <c r="C7" s="277" t="s">
        <v>56</v>
      </c>
      <c r="D7" s="278"/>
      <c r="E7" s="196" t="s">
        <v>49</v>
      </c>
      <c r="F7" s="196"/>
      <c r="G7" s="197" t="s">
        <v>57</v>
      </c>
    </row>
    <row r="8" spans="1:7" ht="27.6">
      <c r="A8" s="279"/>
      <c r="B8" s="326"/>
      <c r="C8" s="248" t="s">
        <v>58</v>
      </c>
      <c r="D8" s="260"/>
      <c r="E8" s="198" t="s">
        <v>49</v>
      </c>
      <c r="F8" s="198"/>
      <c r="G8" s="199" t="s">
        <v>59</v>
      </c>
    </row>
    <row r="9" spans="1:7" ht="96.6">
      <c r="A9" s="279"/>
      <c r="B9" s="326" t="s">
        <v>60</v>
      </c>
      <c r="C9" s="246" t="s">
        <v>61</v>
      </c>
      <c r="D9" s="247"/>
      <c r="E9" s="198" t="s">
        <v>49</v>
      </c>
      <c r="F9" s="198"/>
      <c r="G9" s="199" t="s">
        <v>62</v>
      </c>
    </row>
    <row r="10" spans="1:7" ht="27.6">
      <c r="A10" s="279"/>
      <c r="B10" s="326"/>
      <c r="C10" s="252" t="s">
        <v>63</v>
      </c>
      <c r="D10" s="261"/>
      <c r="E10" s="198" t="s">
        <v>49</v>
      </c>
      <c r="F10" s="198"/>
      <c r="G10" s="199" t="s">
        <v>64</v>
      </c>
    </row>
    <row r="11" spans="1:7" ht="14.4" customHeight="1" thickBot="1">
      <c r="A11" s="280"/>
      <c r="B11" s="328"/>
      <c r="C11" s="297" t="s">
        <v>65</v>
      </c>
      <c r="D11" s="301"/>
      <c r="E11" s="200" t="s">
        <v>66</v>
      </c>
      <c r="F11" s="201" t="s">
        <v>67</v>
      </c>
      <c r="G11" s="201" t="s">
        <v>68</v>
      </c>
    </row>
    <row r="12" spans="1:7" ht="14.4" customHeight="1">
      <c r="A12" s="274" t="s">
        <v>69</v>
      </c>
      <c r="B12" s="327" t="s">
        <v>70</v>
      </c>
      <c r="C12" s="277" t="s">
        <v>71</v>
      </c>
      <c r="D12" s="278"/>
      <c r="E12" s="196" t="s">
        <v>49</v>
      </c>
      <c r="F12" s="196"/>
      <c r="G12" s="197" t="s">
        <v>72</v>
      </c>
    </row>
    <row r="13" spans="1:7" ht="14.4" customHeight="1">
      <c r="A13" s="275"/>
      <c r="B13" s="326"/>
      <c r="C13" s="252" t="s">
        <v>73</v>
      </c>
      <c r="D13" s="261"/>
      <c r="E13" s="198" t="s">
        <v>49</v>
      </c>
      <c r="F13" s="198"/>
      <c r="G13" s="199" t="s">
        <v>74</v>
      </c>
    </row>
    <row r="14" spans="1:7" ht="13.5" customHeight="1">
      <c r="A14" s="275"/>
      <c r="B14" s="243"/>
      <c r="C14" s="254" t="s">
        <v>75</v>
      </c>
      <c r="D14" s="269"/>
      <c r="E14" s="198" t="s">
        <v>49</v>
      </c>
      <c r="F14" s="198"/>
      <c r="G14" s="199" t="s">
        <v>76</v>
      </c>
    </row>
    <row r="15" spans="1:7" ht="27.6">
      <c r="A15" s="275"/>
      <c r="B15" s="326" t="s">
        <v>77</v>
      </c>
      <c r="C15" s="246" t="s">
        <v>78</v>
      </c>
      <c r="D15" s="247"/>
      <c r="E15" s="198" t="s">
        <v>49</v>
      </c>
      <c r="F15" s="198"/>
      <c r="G15" s="199" t="s">
        <v>79</v>
      </c>
    </row>
    <row r="16" spans="1:7">
      <c r="A16" s="275"/>
      <c r="B16" s="326"/>
      <c r="C16" s="252" t="s">
        <v>80</v>
      </c>
      <c r="D16" s="261"/>
      <c r="E16" s="198" t="s">
        <v>49</v>
      </c>
      <c r="F16" s="198"/>
      <c r="G16" s="199" t="s">
        <v>81</v>
      </c>
    </row>
    <row r="17" spans="1:7" ht="26.1" customHeight="1">
      <c r="A17" s="275"/>
      <c r="B17" s="326"/>
      <c r="C17" s="248" t="s">
        <v>82</v>
      </c>
      <c r="D17" s="260"/>
      <c r="E17" s="198" t="s">
        <v>49</v>
      </c>
      <c r="F17" s="198"/>
      <c r="G17" s="199" t="s">
        <v>83</v>
      </c>
    </row>
    <row r="18" spans="1:7" ht="43.5" customHeight="1">
      <c r="A18" s="275"/>
      <c r="B18" s="6" t="s">
        <v>84</v>
      </c>
      <c r="C18" s="270" t="s">
        <v>85</v>
      </c>
      <c r="D18" s="271"/>
      <c r="E18" s="198" t="s">
        <v>49</v>
      </c>
      <c r="F18" s="198"/>
      <c r="G18" s="199" t="s">
        <v>86</v>
      </c>
    </row>
    <row r="19" spans="1:7" ht="27.6">
      <c r="A19" s="275"/>
      <c r="B19" s="245" t="s">
        <v>87</v>
      </c>
      <c r="C19" s="250" t="s">
        <v>88</v>
      </c>
      <c r="D19" s="251"/>
      <c r="E19" s="198" t="s">
        <v>49</v>
      </c>
      <c r="F19" s="198"/>
      <c r="G19" s="199" t="s">
        <v>89</v>
      </c>
    </row>
    <row r="20" spans="1:7" ht="27.6">
      <c r="A20" s="275"/>
      <c r="B20" s="326"/>
      <c r="C20" s="252" t="s">
        <v>90</v>
      </c>
      <c r="D20" s="261"/>
      <c r="E20" s="198" t="s">
        <v>49</v>
      </c>
      <c r="F20" s="198"/>
      <c r="G20" s="199" t="s">
        <v>91</v>
      </c>
    </row>
    <row r="21" spans="1:7">
      <c r="A21" s="275"/>
      <c r="B21" s="326"/>
      <c r="C21" s="254" t="s">
        <v>92</v>
      </c>
      <c r="D21" s="269"/>
      <c r="E21" s="198" t="s">
        <v>49</v>
      </c>
      <c r="F21" s="198"/>
      <c r="G21" s="199" t="s">
        <v>93</v>
      </c>
    </row>
    <row r="22" spans="1:7" ht="27.6">
      <c r="A22" s="275"/>
      <c r="B22" s="6" t="s">
        <v>94</v>
      </c>
      <c r="C22" s="270" t="s">
        <v>95</v>
      </c>
      <c r="D22" s="271"/>
      <c r="E22" s="198" t="s">
        <v>66</v>
      </c>
      <c r="F22" s="199" t="s">
        <v>67</v>
      </c>
      <c r="G22" s="199" t="s">
        <v>96</v>
      </c>
    </row>
    <row r="23" spans="1:7">
      <c r="A23" s="275"/>
      <c r="B23" s="326" t="s">
        <v>97</v>
      </c>
      <c r="C23" s="246" t="s">
        <v>98</v>
      </c>
      <c r="D23" s="247"/>
      <c r="E23" s="198" t="s">
        <v>49</v>
      </c>
      <c r="F23" s="198"/>
      <c r="G23" s="199" t="s">
        <v>99</v>
      </c>
    </row>
    <row r="24" spans="1:7" ht="27.6">
      <c r="A24" s="275"/>
      <c r="B24" s="326"/>
      <c r="C24" s="252" t="s">
        <v>100</v>
      </c>
      <c r="D24" s="261"/>
      <c r="E24" s="198" t="s">
        <v>49</v>
      </c>
      <c r="F24" s="198"/>
      <c r="G24" s="199" t="s">
        <v>101</v>
      </c>
    </row>
    <row r="25" spans="1:7" ht="27.6">
      <c r="A25" s="275"/>
      <c r="B25" s="326"/>
      <c r="C25" s="252" t="s">
        <v>102</v>
      </c>
      <c r="D25" s="261"/>
      <c r="E25" s="198" t="s">
        <v>49</v>
      </c>
      <c r="F25" s="198"/>
      <c r="G25" s="199" t="s">
        <v>103</v>
      </c>
    </row>
    <row r="26" spans="1:7" ht="69">
      <c r="A26" s="275"/>
      <c r="B26" s="326"/>
      <c r="C26" s="248" t="s">
        <v>104</v>
      </c>
      <c r="D26" s="260"/>
      <c r="E26" s="198" t="s">
        <v>49</v>
      </c>
      <c r="F26" s="198"/>
      <c r="G26" s="199" t="s">
        <v>105</v>
      </c>
    </row>
    <row r="27" spans="1:7" ht="14.1" customHeight="1">
      <c r="A27" s="275"/>
      <c r="B27" s="326" t="s">
        <v>106</v>
      </c>
      <c r="C27" s="246" t="s">
        <v>107</v>
      </c>
      <c r="D27" s="247"/>
      <c r="E27" s="198" t="s">
        <v>49</v>
      </c>
      <c r="F27" s="198"/>
      <c r="G27" s="199" t="s">
        <v>108</v>
      </c>
    </row>
    <row r="28" spans="1:7" ht="41.4">
      <c r="A28" s="275"/>
      <c r="B28" s="326"/>
      <c r="C28" s="252" t="s">
        <v>109</v>
      </c>
      <c r="D28" s="261"/>
      <c r="E28" s="198" t="s">
        <v>49</v>
      </c>
      <c r="F28" s="198"/>
      <c r="G28" s="199" t="s">
        <v>110</v>
      </c>
    </row>
    <row r="29" spans="1:7" ht="27.6">
      <c r="A29" s="275"/>
      <c r="B29" s="326"/>
      <c r="C29" s="252" t="s">
        <v>111</v>
      </c>
      <c r="D29" s="261"/>
      <c r="E29" s="198" t="s">
        <v>49</v>
      </c>
      <c r="F29" s="198"/>
      <c r="G29" s="199" t="s">
        <v>112</v>
      </c>
    </row>
    <row r="30" spans="1:7">
      <c r="A30" s="275"/>
      <c r="B30" s="326"/>
      <c r="C30" s="248" t="s">
        <v>113</v>
      </c>
      <c r="D30" s="260"/>
      <c r="E30" s="198" t="s">
        <v>49</v>
      </c>
      <c r="F30" s="198"/>
      <c r="G30" s="202" t="s">
        <v>114</v>
      </c>
    </row>
    <row r="31" spans="1:7" ht="27.6">
      <c r="A31" s="275"/>
      <c r="B31" s="326" t="s">
        <v>115</v>
      </c>
      <c r="C31" s="246" t="s">
        <v>116</v>
      </c>
      <c r="D31" s="247"/>
      <c r="E31" s="198" t="s">
        <v>49</v>
      </c>
      <c r="F31" s="198"/>
      <c r="G31" s="199" t="s">
        <v>117</v>
      </c>
    </row>
    <row r="32" spans="1:7" ht="27.6">
      <c r="A32" s="275"/>
      <c r="B32" s="326"/>
      <c r="C32" s="252" t="s">
        <v>118</v>
      </c>
      <c r="D32" s="261"/>
      <c r="E32" s="198" t="s">
        <v>49</v>
      </c>
      <c r="F32" s="198"/>
      <c r="G32" s="199" t="s">
        <v>119</v>
      </c>
    </row>
    <row r="33" spans="1:7">
      <c r="A33" s="275"/>
      <c r="B33" s="326"/>
      <c r="C33" s="248" t="s">
        <v>113</v>
      </c>
      <c r="D33" s="260"/>
      <c r="E33" s="198" t="s">
        <v>49</v>
      </c>
      <c r="F33" s="198"/>
      <c r="G33" s="199" t="s">
        <v>114</v>
      </c>
    </row>
    <row r="34" spans="1:7" ht="27.6">
      <c r="A34" s="275"/>
      <c r="B34" s="326" t="s">
        <v>120</v>
      </c>
      <c r="C34" s="246" t="s">
        <v>121</v>
      </c>
      <c r="D34" s="247"/>
      <c r="E34" s="198" t="s">
        <v>49</v>
      </c>
      <c r="F34" s="198"/>
      <c r="G34" s="199" t="s">
        <v>122</v>
      </c>
    </row>
    <row r="35" spans="1:7">
      <c r="A35" s="275"/>
      <c r="B35" s="326"/>
      <c r="C35" s="252" t="s">
        <v>123</v>
      </c>
      <c r="D35" s="261"/>
      <c r="E35" s="198" t="s">
        <v>49</v>
      </c>
      <c r="F35" s="198"/>
      <c r="G35" s="199" t="s">
        <v>124</v>
      </c>
    </row>
    <row r="36" spans="1:7" ht="27.6">
      <c r="A36" s="275"/>
      <c r="B36" s="326"/>
      <c r="C36" s="252" t="s">
        <v>125</v>
      </c>
      <c r="D36" s="261"/>
      <c r="E36" s="198" t="s">
        <v>49</v>
      </c>
      <c r="F36" s="198"/>
      <c r="G36" s="199" t="s">
        <v>126</v>
      </c>
    </row>
    <row r="37" spans="1:7" ht="27.6">
      <c r="A37" s="275"/>
      <c r="B37" s="326"/>
      <c r="C37" s="252" t="s">
        <v>127</v>
      </c>
      <c r="D37" s="261"/>
      <c r="E37" s="198" t="s">
        <v>49</v>
      </c>
      <c r="F37" s="198"/>
      <c r="G37" s="199" t="s">
        <v>128</v>
      </c>
    </row>
    <row r="38" spans="1:7">
      <c r="A38" s="275"/>
      <c r="B38" s="326"/>
      <c r="C38" s="252" t="s">
        <v>129</v>
      </c>
      <c r="D38" s="261"/>
      <c r="E38" s="198" t="s">
        <v>49</v>
      </c>
      <c r="F38" s="198"/>
      <c r="G38" s="199" t="s">
        <v>130</v>
      </c>
    </row>
    <row r="39" spans="1:7">
      <c r="A39" s="275"/>
      <c r="B39" s="326"/>
      <c r="C39" s="248" t="s">
        <v>131</v>
      </c>
      <c r="D39" s="260"/>
      <c r="E39" s="198" t="s">
        <v>49</v>
      </c>
      <c r="F39" s="198"/>
      <c r="G39" s="199" t="s">
        <v>130</v>
      </c>
    </row>
    <row r="40" spans="1:7" ht="41.4">
      <c r="A40" s="275"/>
      <c r="B40" s="326" t="s">
        <v>132</v>
      </c>
      <c r="C40" s="246" t="s">
        <v>133</v>
      </c>
      <c r="D40" s="247"/>
      <c r="E40" s="198" t="s">
        <v>66</v>
      </c>
      <c r="F40" s="199" t="s">
        <v>67</v>
      </c>
      <c r="G40" s="199" t="s">
        <v>134</v>
      </c>
    </row>
    <row r="41" spans="1:7" ht="15" thickBot="1">
      <c r="A41" s="276"/>
      <c r="B41" s="328"/>
      <c r="C41" s="297" t="s">
        <v>135</v>
      </c>
      <c r="D41" s="301"/>
      <c r="E41" s="200" t="s">
        <v>66</v>
      </c>
      <c r="F41" s="201" t="s">
        <v>67</v>
      </c>
      <c r="G41" s="201" t="s">
        <v>136</v>
      </c>
    </row>
    <row r="42" spans="1:7">
      <c r="A42" s="274" t="s">
        <v>137</v>
      </c>
      <c r="B42" s="327" t="s">
        <v>138</v>
      </c>
      <c r="C42" s="277" t="s">
        <v>139</v>
      </c>
      <c r="D42" s="278"/>
      <c r="E42" s="196" t="s">
        <v>49</v>
      </c>
      <c r="F42" s="196"/>
      <c r="G42" s="197" t="s">
        <v>140</v>
      </c>
    </row>
    <row r="43" spans="1:7" ht="27.6">
      <c r="A43" s="279"/>
      <c r="B43" s="326"/>
      <c r="C43" s="252" t="s">
        <v>141</v>
      </c>
      <c r="D43" s="261"/>
      <c r="E43" s="198" t="s">
        <v>49</v>
      </c>
      <c r="F43" s="198"/>
      <c r="G43" s="199" t="s">
        <v>142</v>
      </c>
    </row>
    <row r="44" spans="1:7">
      <c r="A44" s="279"/>
      <c r="B44" s="326"/>
      <c r="C44" s="252" t="s">
        <v>143</v>
      </c>
      <c r="D44" s="261"/>
      <c r="E44" s="198" t="s">
        <v>49</v>
      </c>
      <c r="F44" s="198"/>
      <c r="G44" s="199" t="s">
        <v>144</v>
      </c>
    </row>
    <row r="45" spans="1:7" ht="27.6">
      <c r="A45" s="279"/>
      <c r="B45" s="326"/>
      <c r="C45" s="252" t="s">
        <v>145</v>
      </c>
      <c r="D45" s="261"/>
      <c r="E45" s="198" t="s">
        <v>49</v>
      </c>
      <c r="F45" s="198"/>
      <c r="G45" s="199" t="s">
        <v>146</v>
      </c>
    </row>
    <row r="46" spans="1:7">
      <c r="A46" s="279"/>
      <c r="B46" s="326"/>
      <c r="C46" s="252" t="s">
        <v>147</v>
      </c>
      <c r="D46" s="261"/>
      <c r="E46" s="198" t="s">
        <v>49</v>
      </c>
      <c r="F46" s="198"/>
      <c r="G46" s="199" t="s">
        <v>148</v>
      </c>
    </row>
    <row r="47" spans="1:7" ht="27.6">
      <c r="A47" s="279"/>
      <c r="B47" s="326"/>
      <c r="C47" s="252" t="s">
        <v>149</v>
      </c>
      <c r="D47" s="261"/>
      <c r="E47" s="198" t="s">
        <v>49</v>
      </c>
      <c r="F47" s="198"/>
      <c r="G47" s="199" t="s">
        <v>150</v>
      </c>
    </row>
    <row r="48" spans="1:7" ht="27.6">
      <c r="A48" s="279"/>
      <c r="B48" s="326"/>
      <c r="C48" s="252" t="s">
        <v>151</v>
      </c>
      <c r="D48" s="261"/>
      <c r="E48" s="198" t="s">
        <v>49</v>
      </c>
      <c r="F48" s="198"/>
      <c r="G48" s="199" t="s">
        <v>152</v>
      </c>
    </row>
    <row r="49" spans="1:7">
      <c r="A49" s="279"/>
      <c r="B49" s="326"/>
      <c r="C49" s="252" t="s">
        <v>153</v>
      </c>
      <c r="D49" s="261"/>
      <c r="E49" s="198" t="s">
        <v>49</v>
      </c>
      <c r="F49" s="198"/>
      <c r="G49" s="199" t="s">
        <v>154</v>
      </c>
    </row>
    <row r="50" spans="1:7">
      <c r="A50" s="279"/>
      <c r="B50" s="326"/>
      <c r="C50" s="252" t="s">
        <v>155</v>
      </c>
      <c r="D50" s="261"/>
      <c r="E50" s="198" t="s">
        <v>49</v>
      </c>
      <c r="F50" s="198"/>
      <c r="G50" s="199" t="s">
        <v>156</v>
      </c>
    </row>
    <row r="51" spans="1:7" ht="55.2">
      <c r="A51" s="279"/>
      <c r="B51" s="326"/>
      <c r="C51" s="252" t="s">
        <v>157</v>
      </c>
      <c r="D51" s="261"/>
      <c r="E51" s="198" t="s">
        <v>49</v>
      </c>
      <c r="F51" s="198"/>
      <c r="G51" s="199" t="s">
        <v>158</v>
      </c>
    </row>
    <row r="52" spans="1:7">
      <c r="A52" s="279"/>
      <c r="B52" s="326"/>
      <c r="C52" s="252" t="s">
        <v>159</v>
      </c>
      <c r="D52" s="261"/>
      <c r="E52" s="198" t="s">
        <v>49</v>
      </c>
      <c r="F52" s="198"/>
      <c r="G52" s="199" t="s">
        <v>160</v>
      </c>
    </row>
    <row r="53" spans="1:7" ht="41.4" customHeight="1">
      <c r="A53" s="279"/>
      <c r="B53" s="326"/>
      <c r="C53" s="252" t="s">
        <v>161</v>
      </c>
      <c r="D53" s="261"/>
      <c r="E53" s="198" t="s">
        <v>49</v>
      </c>
      <c r="F53" s="198"/>
      <c r="G53" s="199" t="s">
        <v>162</v>
      </c>
    </row>
    <row r="54" spans="1:7">
      <c r="A54" s="279"/>
      <c r="B54" s="326"/>
      <c r="C54" s="252" t="s">
        <v>163</v>
      </c>
      <c r="D54" s="261"/>
      <c r="E54" s="198" t="s">
        <v>49</v>
      </c>
      <c r="F54" s="198"/>
      <c r="G54" s="199" t="s">
        <v>164</v>
      </c>
    </row>
    <row r="55" spans="1:7" ht="23.4" customHeight="1">
      <c r="A55" s="279"/>
      <c r="B55" s="326"/>
      <c r="C55" s="252" t="s">
        <v>165</v>
      </c>
      <c r="D55" s="261"/>
      <c r="E55" s="198" t="s">
        <v>49</v>
      </c>
      <c r="F55" s="198"/>
      <c r="G55" s="199" t="s">
        <v>166</v>
      </c>
    </row>
    <row r="56" spans="1:7">
      <c r="A56" s="279"/>
      <c r="B56" s="326"/>
      <c r="C56" s="248" t="s">
        <v>167</v>
      </c>
      <c r="D56" s="260"/>
      <c r="E56" s="198" t="s">
        <v>49</v>
      </c>
      <c r="F56" s="198"/>
      <c r="G56" s="199" t="s">
        <v>168</v>
      </c>
    </row>
    <row r="57" spans="1:7">
      <c r="A57" s="279"/>
      <c r="B57" s="329" t="s">
        <v>169</v>
      </c>
      <c r="C57" s="246" t="s">
        <v>170</v>
      </c>
      <c r="D57" s="247"/>
      <c r="E57" s="198" t="s">
        <v>49</v>
      </c>
      <c r="F57" s="198"/>
      <c r="G57" s="199" t="s">
        <v>171</v>
      </c>
    </row>
    <row r="58" spans="1:7">
      <c r="A58" s="279"/>
      <c r="B58" s="329"/>
      <c r="C58" s="252" t="s">
        <v>172</v>
      </c>
      <c r="D58" s="261"/>
      <c r="E58" s="198" t="s">
        <v>49</v>
      </c>
      <c r="F58" s="198"/>
      <c r="G58" s="199" t="s">
        <v>171</v>
      </c>
    </row>
    <row r="59" spans="1:7" ht="27.6">
      <c r="A59" s="279"/>
      <c r="B59" s="329"/>
      <c r="C59" s="252" t="s">
        <v>143</v>
      </c>
      <c r="D59" s="261"/>
      <c r="E59" s="198" t="s">
        <v>49</v>
      </c>
      <c r="F59" s="198"/>
      <c r="G59" s="199" t="s">
        <v>173</v>
      </c>
    </row>
    <row r="60" spans="1:7" ht="27.6">
      <c r="A60" s="279"/>
      <c r="B60" s="329"/>
      <c r="C60" s="252" t="s">
        <v>145</v>
      </c>
      <c r="D60" s="261"/>
      <c r="E60" s="198" t="s">
        <v>49</v>
      </c>
      <c r="F60" s="198"/>
      <c r="G60" s="199" t="s">
        <v>173</v>
      </c>
    </row>
    <row r="61" spans="1:7" ht="27.6">
      <c r="A61" s="279"/>
      <c r="B61" s="329"/>
      <c r="C61" s="252" t="s">
        <v>174</v>
      </c>
      <c r="D61" s="261"/>
      <c r="E61" s="198" t="s">
        <v>49</v>
      </c>
      <c r="F61" s="198"/>
      <c r="G61" s="199" t="s">
        <v>175</v>
      </c>
    </row>
    <row r="62" spans="1:7">
      <c r="A62" s="279"/>
      <c r="B62" s="329"/>
      <c r="C62" s="252" t="s">
        <v>176</v>
      </c>
      <c r="D62" s="261"/>
      <c r="E62" s="198" t="s">
        <v>49</v>
      </c>
      <c r="F62" s="198"/>
      <c r="G62" s="199" t="s">
        <v>171</v>
      </c>
    </row>
    <row r="63" spans="1:7">
      <c r="A63" s="279"/>
      <c r="B63" s="329"/>
      <c r="C63" s="248" t="s">
        <v>177</v>
      </c>
      <c r="D63" s="260"/>
      <c r="E63" s="198" t="s">
        <v>49</v>
      </c>
      <c r="F63" s="198"/>
      <c r="G63" s="199" t="s">
        <v>171</v>
      </c>
    </row>
    <row r="64" spans="1:7">
      <c r="A64" s="279"/>
      <c r="B64" s="245" t="s">
        <v>178</v>
      </c>
      <c r="C64" s="250" t="s">
        <v>179</v>
      </c>
      <c r="D64" s="251"/>
      <c r="E64" s="198" t="s">
        <v>49</v>
      </c>
      <c r="F64" s="198"/>
      <c r="G64" s="199" t="s">
        <v>180</v>
      </c>
    </row>
    <row r="65" spans="1:7">
      <c r="A65" s="279"/>
      <c r="B65" s="326"/>
      <c r="C65" s="252" t="s">
        <v>172</v>
      </c>
      <c r="D65" s="261"/>
      <c r="E65" s="198" t="s">
        <v>49</v>
      </c>
      <c r="F65" s="198"/>
      <c r="G65" s="199" t="s">
        <v>181</v>
      </c>
    </row>
    <row r="66" spans="1:7">
      <c r="A66" s="279"/>
      <c r="B66" s="326"/>
      <c r="C66" s="252" t="s">
        <v>143</v>
      </c>
      <c r="D66" s="261"/>
      <c r="E66" s="198" t="s">
        <v>49</v>
      </c>
      <c r="F66" s="198"/>
      <c r="G66" s="199" t="s">
        <v>182</v>
      </c>
    </row>
    <row r="67" spans="1:7">
      <c r="A67" s="279"/>
      <c r="B67" s="326"/>
      <c r="C67" s="252" t="s">
        <v>183</v>
      </c>
      <c r="D67" s="261"/>
      <c r="E67" s="198" t="s">
        <v>49</v>
      </c>
      <c r="F67" s="198"/>
      <c r="G67" s="199" t="s">
        <v>184</v>
      </c>
    </row>
    <row r="68" spans="1:7" ht="9.9" customHeight="1" thickBot="1">
      <c r="A68" s="280"/>
      <c r="B68" s="328"/>
      <c r="C68" s="297" t="s">
        <v>185</v>
      </c>
      <c r="D68" s="301"/>
      <c r="E68" s="200" t="s">
        <v>66</v>
      </c>
      <c r="F68" s="201" t="s">
        <v>67</v>
      </c>
      <c r="G68" s="201" t="s">
        <v>186</v>
      </c>
    </row>
    <row r="69" spans="1:7" ht="14.4" hidden="1" customHeight="1">
      <c r="A69" s="274" t="s">
        <v>187</v>
      </c>
      <c r="B69" s="327" t="s">
        <v>188</v>
      </c>
      <c r="C69" s="277" t="s">
        <v>189</v>
      </c>
      <c r="D69" s="278"/>
      <c r="E69" s="196" t="s">
        <v>49</v>
      </c>
      <c r="F69" s="196"/>
      <c r="G69" s="197" t="s">
        <v>171</v>
      </c>
    </row>
    <row r="70" spans="1:7" ht="195" hidden="1" customHeight="1">
      <c r="A70" s="279"/>
      <c r="B70" s="326"/>
      <c r="C70" s="252" t="s">
        <v>190</v>
      </c>
      <c r="D70" s="261"/>
      <c r="E70" s="198" t="s">
        <v>49</v>
      </c>
      <c r="F70" s="198" t="s">
        <v>49</v>
      </c>
      <c r="G70" s="199" t="s">
        <v>191</v>
      </c>
    </row>
    <row r="71" spans="1:7" ht="14.4" hidden="1" customHeight="1">
      <c r="A71" s="279"/>
      <c r="B71" s="326"/>
      <c r="C71" s="248" t="s">
        <v>192</v>
      </c>
      <c r="D71" s="260"/>
      <c r="E71" s="198" t="s">
        <v>49</v>
      </c>
      <c r="F71" s="198" t="s">
        <v>49</v>
      </c>
      <c r="G71" s="199" t="s">
        <v>193</v>
      </c>
    </row>
    <row r="72" spans="1:7" ht="14.4" hidden="1" customHeight="1">
      <c r="A72" s="279"/>
      <c r="B72" s="326" t="s">
        <v>194</v>
      </c>
      <c r="C72" s="246" t="s">
        <v>195</v>
      </c>
      <c r="D72" s="247"/>
      <c r="E72" s="198" t="s">
        <v>49</v>
      </c>
      <c r="F72" s="198"/>
      <c r="G72" s="199" t="s">
        <v>196</v>
      </c>
    </row>
    <row r="73" spans="1:7" ht="168.9" hidden="1" customHeight="1">
      <c r="A73" s="279"/>
      <c r="B73" s="326"/>
      <c r="C73" s="252" t="s">
        <v>197</v>
      </c>
      <c r="D73" s="261"/>
      <c r="E73" s="198" t="s">
        <v>49</v>
      </c>
      <c r="F73" s="198" t="s">
        <v>49</v>
      </c>
      <c r="G73" s="199" t="s">
        <v>198</v>
      </c>
    </row>
    <row r="74" spans="1:7" ht="27.6">
      <c r="A74" s="279"/>
      <c r="B74" s="326"/>
      <c r="C74" s="248" t="s">
        <v>199</v>
      </c>
      <c r="D74" s="260"/>
      <c r="E74" s="198" t="s">
        <v>66</v>
      </c>
      <c r="F74" s="199" t="s">
        <v>67</v>
      </c>
      <c r="G74" s="199" t="s">
        <v>200</v>
      </c>
    </row>
    <row r="75" spans="1:7" ht="27.6">
      <c r="A75" s="279"/>
      <c r="B75" s="326" t="s">
        <v>201</v>
      </c>
      <c r="C75" s="246" t="s">
        <v>202</v>
      </c>
      <c r="D75" s="247"/>
      <c r="E75" s="198" t="s">
        <v>49</v>
      </c>
      <c r="F75" s="198"/>
      <c r="G75" s="199" t="s">
        <v>203</v>
      </c>
    </row>
    <row r="76" spans="1:7">
      <c r="A76" s="279"/>
      <c r="B76" s="326"/>
      <c r="C76" s="252" t="s">
        <v>204</v>
      </c>
      <c r="D76" s="261"/>
      <c r="E76" s="198" t="s">
        <v>49</v>
      </c>
      <c r="F76" s="198"/>
      <c r="G76" s="199" t="s">
        <v>205</v>
      </c>
    </row>
    <row r="77" spans="1:7" ht="41.4">
      <c r="A77" s="279"/>
      <c r="B77" s="326"/>
      <c r="C77" s="252" t="s">
        <v>206</v>
      </c>
      <c r="D77" s="261"/>
      <c r="E77" s="198" t="s">
        <v>49</v>
      </c>
      <c r="F77" s="198"/>
      <c r="G77" s="199" t="s">
        <v>207</v>
      </c>
    </row>
    <row r="78" spans="1:7" ht="41.4">
      <c r="A78" s="279"/>
      <c r="B78" s="326"/>
      <c r="C78" s="252" t="s">
        <v>208</v>
      </c>
      <c r="D78" s="261"/>
      <c r="E78" s="198" t="s">
        <v>49</v>
      </c>
      <c r="F78" s="198"/>
      <c r="G78" s="199" t="s">
        <v>209</v>
      </c>
    </row>
    <row r="79" spans="1:7" ht="27.6">
      <c r="A79" s="279"/>
      <c r="B79" s="326"/>
      <c r="C79" s="248" t="s">
        <v>210</v>
      </c>
      <c r="D79" s="260"/>
      <c r="E79" s="198" t="s">
        <v>49</v>
      </c>
      <c r="F79" s="198"/>
      <c r="G79" s="199" t="s">
        <v>211</v>
      </c>
    </row>
    <row r="80" spans="1:7" ht="55.2">
      <c r="A80" s="279"/>
      <c r="B80" s="326" t="s">
        <v>212</v>
      </c>
      <c r="C80" s="246" t="s">
        <v>213</v>
      </c>
      <c r="D80" s="247"/>
      <c r="E80" s="198" t="s">
        <v>66</v>
      </c>
      <c r="F80" s="199" t="s">
        <v>67</v>
      </c>
      <c r="G80" s="199" t="s">
        <v>214</v>
      </c>
    </row>
    <row r="81" spans="1:7">
      <c r="A81" s="279"/>
      <c r="B81" s="326"/>
      <c r="C81" s="252" t="s">
        <v>215</v>
      </c>
      <c r="D81" s="261"/>
      <c r="E81" s="198" t="s">
        <v>49</v>
      </c>
      <c r="F81" s="198"/>
      <c r="G81" s="199" t="s">
        <v>216</v>
      </c>
    </row>
    <row r="82" spans="1:7" ht="41.4">
      <c r="A82" s="279"/>
      <c r="B82" s="326"/>
      <c r="C82" s="252" t="s">
        <v>217</v>
      </c>
      <c r="D82" s="261"/>
      <c r="E82" s="198" t="s">
        <v>49</v>
      </c>
      <c r="F82" s="198"/>
      <c r="G82" s="199" t="s">
        <v>218</v>
      </c>
    </row>
    <row r="83" spans="1:7" ht="42" thickBot="1">
      <c r="A83" s="280"/>
      <c r="B83" s="328"/>
      <c r="C83" s="297" t="s">
        <v>219</v>
      </c>
      <c r="D83" s="301"/>
      <c r="E83" s="200" t="s">
        <v>49</v>
      </c>
      <c r="F83" s="200"/>
      <c r="G83" s="201" t="s">
        <v>220</v>
      </c>
    </row>
    <row r="84" spans="1:7" ht="27.6">
      <c r="A84" s="274" t="s">
        <v>221</v>
      </c>
      <c r="B84" s="327" t="s">
        <v>222</v>
      </c>
      <c r="C84" s="277" t="s">
        <v>223</v>
      </c>
      <c r="D84" s="278"/>
      <c r="E84" s="196" t="s">
        <v>49</v>
      </c>
      <c r="F84" s="196"/>
      <c r="G84" s="197" t="s">
        <v>224</v>
      </c>
    </row>
    <row r="85" spans="1:7" ht="27.6">
      <c r="A85" s="279"/>
      <c r="B85" s="326"/>
      <c r="C85" s="252" t="s">
        <v>225</v>
      </c>
      <c r="D85" s="261"/>
      <c r="E85" s="198" t="s">
        <v>49</v>
      </c>
      <c r="F85" s="198"/>
      <c r="G85" s="199" t="s">
        <v>226</v>
      </c>
    </row>
    <row r="86" spans="1:7" ht="27.6">
      <c r="A86" s="279"/>
      <c r="B86" s="326"/>
      <c r="C86" s="252" t="s">
        <v>227</v>
      </c>
      <c r="D86" s="261"/>
      <c r="E86" s="198" t="s">
        <v>49</v>
      </c>
      <c r="F86" s="198"/>
      <c r="G86" s="199" t="s">
        <v>228</v>
      </c>
    </row>
    <row r="87" spans="1:7" ht="28.2" thickBot="1">
      <c r="A87" s="279"/>
      <c r="B87" s="243"/>
      <c r="C87" s="254" t="s">
        <v>229</v>
      </c>
      <c r="D87" s="269"/>
      <c r="E87" s="200" t="s">
        <v>66</v>
      </c>
      <c r="F87" s="201" t="s">
        <v>67</v>
      </c>
      <c r="G87" s="201" t="s">
        <v>230</v>
      </c>
    </row>
    <row r="88" spans="1:7" ht="41.4">
      <c r="A88" s="274" t="s">
        <v>231</v>
      </c>
      <c r="B88" s="8" t="s">
        <v>232</v>
      </c>
      <c r="C88" s="321" t="s">
        <v>233</v>
      </c>
      <c r="D88" s="325"/>
      <c r="E88" s="196" t="s">
        <v>49</v>
      </c>
      <c r="F88" s="196"/>
      <c r="G88" s="197" t="s">
        <v>234</v>
      </c>
    </row>
    <row r="89" spans="1:7" ht="24.6" customHeight="1">
      <c r="A89" s="279"/>
      <c r="B89" s="292" t="s">
        <v>235</v>
      </c>
      <c r="C89" s="250" t="s">
        <v>236</v>
      </c>
      <c r="D89" s="251"/>
      <c r="E89" s="198" t="s">
        <v>237</v>
      </c>
      <c r="F89" s="203" t="s">
        <v>238</v>
      </c>
      <c r="G89" s="199" t="s">
        <v>239</v>
      </c>
    </row>
    <row r="90" spans="1:7" ht="12.9" customHeight="1">
      <c r="A90" s="279"/>
      <c r="B90" s="326"/>
      <c r="C90" s="252" t="s">
        <v>240</v>
      </c>
      <c r="D90" s="261"/>
      <c r="E90" s="198" t="s">
        <v>237</v>
      </c>
      <c r="F90" s="203" t="s">
        <v>238</v>
      </c>
      <c r="G90" s="199" t="s">
        <v>239</v>
      </c>
    </row>
    <row r="91" spans="1:7" ht="42" thickBot="1">
      <c r="A91" s="280"/>
      <c r="B91" s="328"/>
      <c r="C91" s="297" t="s">
        <v>241</v>
      </c>
      <c r="D91" s="301"/>
      <c r="E91" s="200" t="s">
        <v>237</v>
      </c>
      <c r="F91" s="204" t="s">
        <v>238</v>
      </c>
      <c r="G91" s="201" t="s">
        <v>239</v>
      </c>
    </row>
    <row r="92" spans="1:7" ht="15" thickBot="1">
      <c r="C92" s="30"/>
      <c r="D92" s="30"/>
    </row>
    <row r="93" spans="1:7" s="39" customFormat="1" ht="16.2" thickBot="1">
      <c r="A93" s="313" t="s">
        <v>242</v>
      </c>
      <c r="B93" s="314"/>
      <c r="C93" s="314"/>
      <c r="D93" s="314"/>
      <c r="E93" s="314"/>
      <c r="F93" s="314"/>
      <c r="G93" s="315"/>
    </row>
    <row r="94" spans="1:7">
      <c r="A94" s="274" t="s">
        <v>243</v>
      </c>
      <c r="B94" s="327" t="s">
        <v>244</v>
      </c>
      <c r="C94" s="277" t="s">
        <v>245</v>
      </c>
      <c r="D94" s="278"/>
      <c r="E94" s="196" t="s">
        <v>49</v>
      </c>
      <c r="F94" s="196"/>
      <c r="G94" s="197" t="s">
        <v>246</v>
      </c>
    </row>
    <row r="95" spans="1:7" ht="41.4">
      <c r="A95" s="279"/>
      <c r="B95" s="326"/>
      <c r="C95" s="252" t="s">
        <v>247</v>
      </c>
      <c r="D95" s="261"/>
      <c r="E95" s="198" t="s">
        <v>49</v>
      </c>
      <c r="F95" s="198"/>
      <c r="G95" s="199" t="s">
        <v>248</v>
      </c>
    </row>
    <row r="96" spans="1:7" ht="27.6">
      <c r="A96" s="279"/>
      <c r="B96" s="326"/>
      <c r="C96" s="252" t="s">
        <v>249</v>
      </c>
      <c r="D96" s="261"/>
      <c r="E96" s="198" t="s">
        <v>49</v>
      </c>
      <c r="F96" s="198"/>
      <c r="G96" s="199" t="s">
        <v>250</v>
      </c>
    </row>
    <row r="97" spans="1:7" ht="41.4">
      <c r="A97" s="279"/>
      <c r="B97" s="243"/>
      <c r="C97" s="248" t="s">
        <v>251</v>
      </c>
      <c r="D97" s="260"/>
      <c r="E97" s="198" t="s">
        <v>49</v>
      </c>
      <c r="F97" s="198"/>
      <c r="G97" s="199" t="s">
        <v>252</v>
      </c>
    </row>
    <row r="98" spans="1:7" ht="55.2">
      <c r="A98" s="279"/>
      <c r="B98" s="326" t="s">
        <v>253</v>
      </c>
      <c r="C98" s="246" t="s">
        <v>254</v>
      </c>
      <c r="D98" s="293"/>
      <c r="E98" s="198" t="s">
        <v>49</v>
      </c>
      <c r="F98" s="198"/>
      <c r="G98" s="205" t="s">
        <v>255</v>
      </c>
    </row>
    <row r="99" spans="1:7">
      <c r="A99" s="279"/>
      <c r="B99" s="326"/>
      <c r="C99" s="252" t="s">
        <v>256</v>
      </c>
      <c r="D99" s="253"/>
      <c r="E99" s="198" t="s">
        <v>49</v>
      </c>
      <c r="F99" s="198"/>
      <c r="G99" s="205" t="s">
        <v>257</v>
      </c>
    </row>
    <row r="100" spans="1:7" ht="27.6">
      <c r="A100" s="279"/>
      <c r="B100" s="326"/>
      <c r="C100" s="252" t="s">
        <v>258</v>
      </c>
      <c r="D100" s="253"/>
      <c r="E100" s="198" t="s">
        <v>49</v>
      </c>
      <c r="F100" s="198"/>
      <c r="G100" s="205" t="s">
        <v>259</v>
      </c>
    </row>
    <row r="101" spans="1:7" ht="27.6">
      <c r="A101" s="279"/>
      <c r="B101" s="326"/>
      <c r="C101" s="252" t="s">
        <v>260</v>
      </c>
      <c r="D101" s="253"/>
      <c r="E101" s="198" t="s">
        <v>49</v>
      </c>
      <c r="F101" s="198"/>
      <c r="G101" s="205" t="s">
        <v>261</v>
      </c>
    </row>
    <row r="102" spans="1:7" ht="27.6">
      <c r="A102" s="279"/>
      <c r="B102" s="326"/>
      <c r="C102" s="248" t="s">
        <v>262</v>
      </c>
      <c r="D102" s="249"/>
      <c r="E102" s="198" t="s">
        <v>49</v>
      </c>
      <c r="F102" s="198"/>
      <c r="G102" s="205" t="s">
        <v>263</v>
      </c>
    </row>
    <row r="103" spans="1:7">
      <c r="A103" s="279"/>
      <c r="B103" s="326" t="s">
        <v>264</v>
      </c>
      <c r="C103" s="246" t="s">
        <v>265</v>
      </c>
      <c r="D103" s="293"/>
      <c r="E103" s="198" t="s">
        <v>66</v>
      </c>
      <c r="F103" s="199" t="s">
        <v>67</v>
      </c>
      <c r="G103" s="205" t="s">
        <v>266</v>
      </c>
    </row>
    <row r="104" spans="1:7" ht="27.6">
      <c r="A104" s="279"/>
      <c r="B104" s="326"/>
      <c r="C104" s="252" t="s">
        <v>267</v>
      </c>
      <c r="D104" s="253"/>
      <c r="E104" s="198" t="s">
        <v>66</v>
      </c>
      <c r="F104" s="199" t="s">
        <v>67</v>
      </c>
      <c r="G104" s="205" t="s">
        <v>268</v>
      </c>
    </row>
    <row r="105" spans="1:7" ht="27.6">
      <c r="A105" s="279"/>
      <c r="B105" s="326"/>
      <c r="C105" s="248" t="s">
        <v>269</v>
      </c>
      <c r="D105" s="249"/>
      <c r="E105" s="206" t="s">
        <v>49</v>
      </c>
      <c r="F105" s="198"/>
      <c r="G105" s="205" t="s">
        <v>270</v>
      </c>
    </row>
    <row r="106" spans="1:7">
      <c r="A106" s="279"/>
      <c r="B106" s="326" t="s">
        <v>271</v>
      </c>
      <c r="C106" s="246" t="s">
        <v>272</v>
      </c>
      <c r="D106" s="293"/>
      <c r="E106" s="206" t="s">
        <v>49</v>
      </c>
      <c r="F106" s="198"/>
      <c r="G106" s="199" t="s">
        <v>273</v>
      </c>
    </row>
    <row r="107" spans="1:7">
      <c r="A107" s="279"/>
      <c r="B107" s="326"/>
      <c r="C107" s="252" t="s">
        <v>274</v>
      </c>
      <c r="D107" s="253"/>
      <c r="E107" s="206" t="s">
        <v>49</v>
      </c>
      <c r="F107" s="198"/>
      <c r="G107" s="199" t="s">
        <v>273</v>
      </c>
    </row>
    <row r="108" spans="1:7">
      <c r="A108" s="279"/>
      <c r="B108" s="326"/>
      <c r="C108" s="248" t="s">
        <v>275</v>
      </c>
      <c r="D108" s="249"/>
      <c r="E108" s="206" t="s">
        <v>49</v>
      </c>
      <c r="F108" s="198"/>
      <c r="G108" s="199" t="s">
        <v>273</v>
      </c>
    </row>
    <row r="109" spans="1:7" ht="26.4" customHeight="1">
      <c r="A109" s="279"/>
      <c r="B109" s="326" t="s">
        <v>276</v>
      </c>
      <c r="C109" s="246" t="s">
        <v>277</v>
      </c>
      <c r="D109" s="293"/>
      <c r="E109" s="206" t="s">
        <v>49</v>
      </c>
      <c r="F109" s="198"/>
      <c r="G109" s="205" t="s">
        <v>278</v>
      </c>
    </row>
    <row r="110" spans="1:7" ht="69">
      <c r="A110" s="279"/>
      <c r="B110" s="326"/>
      <c r="C110" s="252" t="s">
        <v>279</v>
      </c>
      <c r="D110" s="253"/>
      <c r="E110" s="198" t="s">
        <v>49</v>
      </c>
      <c r="F110" s="198"/>
      <c r="G110" s="205" t="s">
        <v>280</v>
      </c>
    </row>
    <row r="111" spans="1:7" ht="82.8">
      <c r="A111" s="279"/>
      <c r="B111" s="326"/>
      <c r="C111" s="248" t="s">
        <v>281</v>
      </c>
      <c r="D111" s="249"/>
      <c r="E111" s="198" t="s">
        <v>49</v>
      </c>
      <c r="F111" s="198"/>
      <c r="G111" s="205" t="s">
        <v>282</v>
      </c>
    </row>
    <row r="112" spans="1:7" ht="55.2">
      <c r="A112" s="279"/>
      <c r="B112" s="326" t="s">
        <v>283</v>
      </c>
      <c r="C112" s="246" t="s">
        <v>284</v>
      </c>
      <c r="D112" s="293"/>
      <c r="E112" s="198" t="s">
        <v>49</v>
      </c>
      <c r="F112" s="198"/>
      <c r="G112" s="205" t="s">
        <v>285</v>
      </c>
    </row>
    <row r="113" spans="1:7" ht="55.2">
      <c r="A113" s="279"/>
      <c r="B113" s="326"/>
      <c r="C113" s="252" t="s">
        <v>286</v>
      </c>
      <c r="D113" s="253"/>
      <c r="E113" s="206" t="s">
        <v>49</v>
      </c>
      <c r="F113" s="198"/>
      <c r="G113" s="205" t="s">
        <v>287</v>
      </c>
    </row>
    <row r="114" spans="1:7" ht="55.2">
      <c r="A114" s="279"/>
      <c r="B114" s="326"/>
      <c r="C114" s="248" t="s">
        <v>288</v>
      </c>
      <c r="D114" s="249"/>
      <c r="E114" s="206" t="s">
        <v>49</v>
      </c>
      <c r="F114" s="198"/>
      <c r="G114" s="205" t="s">
        <v>287</v>
      </c>
    </row>
    <row r="115" spans="1:7" ht="15" thickBot="1">
      <c r="A115" s="280"/>
      <c r="B115" s="11" t="s">
        <v>289</v>
      </c>
      <c r="C115" s="318" t="s">
        <v>290</v>
      </c>
      <c r="D115" s="319"/>
      <c r="E115" s="207" t="s">
        <v>49</v>
      </c>
      <c r="F115" s="200"/>
      <c r="G115" s="208" t="s">
        <v>291</v>
      </c>
    </row>
    <row r="116" spans="1:7" ht="41.4">
      <c r="A116" s="274" t="s">
        <v>292</v>
      </c>
      <c r="B116" s="330" t="s">
        <v>293</v>
      </c>
      <c r="C116" s="277" t="s">
        <v>294</v>
      </c>
      <c r="D116" s="302"/>
      <c r="E116" s="209" t="s">
        <v>49</v>
      </c>
      <c r="F116" s="196"/>
      <c r="G116" s="210" t="s">
        <v>295</v>
      </c>
    </row>
    <row r="117" spans="1:7" ht="13.5" customHeight="1">
      <c r="A117" s="279"/>
      <c r="B117" s="245"/>
      <c r="C117" s="248" t="s">
        <v>296</v>
      </c>
      <c r="D117" s="249"/>
      <c r="E117" s="206" t="s">
        <v>49</v>
      </c>
      <c r="F117" s="198"/>
      <c r="G117" s="205" t="s">
        <v>295</v>
      </c>
    </row>
    <row r="118" spans="1:7">
      <c r="A118" s="279"/>
      <c r="B118" s="7" t="s">
        <v>297</v>
      </c>
      <c r="C118" s="270" t="s">
        <v>298</v>
      </c>
      <c r="D118" s="296"/>
      <c r="E118" s="206" t="s">
        <v>49</v>
      </c>
      <c r="F118" s="198"/>
      <c r="G118" s="199" t="s">
        <v>299</v>
      </c>
    </row>
    <row r="119" spans="1:7">
      <c r="A119" s="279"/>
      <c r="B119" s="4" t="s">
        <v>300</v>
      </c>
      <c r="C119" s="270" t="s">
        <v>301</v>
      </c>
      <c r="D119" s="296"/>
      <c r="E119" s="206" t="s">
        <v>49</v>
      </c>
      <c r="F119" s="198"/>
      <c r="G119" s="205" t="s">
        <v>302</v>
      </c>
    </row>
    <row r="120" spans="1:7" ht="27.6">
      <c r="A120" s="279"/>
      <c r="B120" s="243" t="s">
        <v>303</v>
      </c>
      <c r="C120" s="246" t="s">
        <v>304</v>
      </c>
      <c r="D120" s="293"/>
      <c r="E120" s="198" t="s">
        <v>66</v>
      </c>
      <c r="F120" s="199" t="s">
        <v>67</v>
      </c>
      <c r="G120" s="205" t="s">
        <v>305</v>
      </c>
    </row>
    <row r="121" spans="1:7" ht="26.4" customHeight="1">
      <c r="A121" s="279"/>
      <c r="B121" s="245"/>
      <c r="C121" s="248" t="s">
        <v>306</v>
      </c>
      <c r="D121" s="249"/>
      <c r="E121" s="198" t="s">
        <v>66</v>
      </c>
      <c r="F121" s="199" t="s">
        <v>67</v>
      </c>
      <c r="G121" s="205" t="s">
        <v>307</v>
      </c>
    </row>
    <row r="122" spans="1:7" ht="45.9" customHeight="1" thickBot="1">
      <c r="A122" s="280"/>
      <c r="B122" s="11" t="s">
        <v>308</v>
      </c>
      <c r="C122" s="272" t="s">
        <v>309</v>
      </c>
      <c r="D122" s="295"/>
      <c r="E122" s="207" t="s">
        <v>49</v>
      </c>
      <c r="F122" s="200"/>
      <c r="G122" s="208" t="s">
        <v>310</v>
      </c>
    </row>
    <row r="123" spans="1:7" ht="22.5" customHeight="1">
      <c r="A123" s="274" t="s">
        <v>311</v>
      </c>
      <c r="B123" s="333" t="s">
        <v>312</v>
      </c>
      <c r="C123" s="331" t="s">
        <v>313</v>
      </c>
      <c r="D123" s="332"/>
      <c r="E123" s="209" t="s">
        <v>49</v>
      </c>
      <c r="F123" s="196"/>
      <c r="G123" s="210" t="s">
        <v>314</v>
      </c>
    </row>
    <row r="124" spans="1:7" ht="22.5" customHeight="1">
      <c r="A124" s="279"/>
      <c r="B124" s="334"/>
      <c r="C124" s="303" t="s">
        <v>315</v>
      </c>
      <c r="D124" s="320"/>
      <c r="E124" s="206" t="s">
        <v>49</v>
      </c>
      <c r="F124" s="198"/>
      <c r="G124" s="205" t="s">
        <v>316</v>
      </c>
    </row>
    <row r="125" spans="1:7" ht="27.6">
      <c r="A125" s="279"/>
      <c r="B125" s="349" t="s">
        <v>317</v>
      </c>
      <c r="C125" s="250" t="s">
        <v>318</v>
      </c>
      <c r="D125" s="294"/>
      <c r="E125" s="206" t="s">
        <v>49</v>
      </c>
      <c r="F125" s="198"/>
      <c r="G125" s="205" t="s">
        <v>314</v>
      </c>
    </row>
    <row r="126" spans="1:7" ht="69">
      <c r="A126" s="279"/>
      <c r="B126" s="350"/>
      <c r="C126" s="323" t="s">
        <v>319</v>
      </c>
      <c r="D126" s="324"/>
      <c r="E126" s="198" t="s">
        <v>49</v>
      </c>
      <c r="F126" s="198"/>
      <c r="G126" s="205" t="s">
        <v>320</v>
      </c>
    </row>
    <row r="127" spans="1:7" ht="26.1" customHeight="1">
      <c r="A127" s="279"/>
      <c r="B127" s="326" t="s">
        <v>321</v>
      </c>
      <c r="C127" s="246" t="s">
        <v>322</v>
      </c>
      <c r="D127" s="293"/>
      <c r="E127" s="206" t="s">
        <v>49</v>
      </c>
      <c r="F127" s="198"/>
      <c r="G127" s="205" t="s">
        <v>316</v>
      </c>
    </row>
    <row r="128" spans="1:7" ht="14.4" customHeight="1">
      <c r="A128" s="279"/>
      <c r="B128" s="326"/>
      <c r="C128" s="248" t="s">
        <v>323</v>
      </c>
      <c r="D128" s="249"/>
      <c r="E128" s="206" t="s">
        <v>49</v>
      </c>
      <c r="F128" s="198"/>
      <c r="G128" s="205" t="s">
        <v>324</v>
      </c>
    </row>
    <row r="129" spans="1:7" ht="26.1" customHeight="1">
      <c r="A129" s="279"/>
      <c r="B129" s="326" t="s">
        <v>325</v>
      </c>
      <c r="C129" s="246" t="s">
        <v>326</v>
      </c>
      <c r="D129" s="293"/>
      <c r="E129" s="206" t="s">
        <v>49</v>
      </c>
      <c r="F129" s="198"/>
      <c r="G129" s="205" t="s">
        <v>327</v>
      </c>
    </row>
    <row r="130" spans="1:7" ht="27.6">
      <c r="A130" s="279"/>
      <c r="B130" s="326"/>
      <c r="C130" s="252" t="s">
        <v>328</v>
      </c>
      <c r="D130" s="253"/>
      <c r="E130" s="206" t="s">
        <v>49</v>
      </c>
      <c r="F130" s="198"/>
      <c r="G130" s="205" t="s">
        <v>329</v>
      </c>
    </row>
    <row r="131" spans="1:7">
      <c r="A131" s="279"/>
      <c r="B131" s="326"/>
      <c r="C131" s="252" t="s">
        <v>330</v>
      </c>
      <c r="D131" s="253"/>
      <c r="E131" s="198" t="s">
        <v>66</v>
      </c>
      <c r="F131" s="199" t="s">
        <v>67</v>
      </c>
      <c r="G131" s="199" t="s">
        <v>331</v>
      </c>
    </row>
    <row r="132" spans="1:7">
      <c r="A132" s="279"/>
      <c r="B132" s="326"/>
      <c r="C132" s="252" t="s">
        <v>332</v>
      </c>
      <c r="D132" s="253"/>
      <c r="E132" s="198" t="s">
        <v>66</v>
      </c>
      <c r="F132" s="199" t="s">
        <v>67</v>
      </c>
      <c r="G132" s="205" t="s">
        <v>333</v>
      </c>
    </row>
    <row r="133" spans="1:7">
      <c r="A133" s="279"/>
      <c r="B133" s="326"/>
      <c r="C133" s="248" t="s">
        <v>334</v>
      </c>
      <c r="D133" s="249"/>
      <c r="E133" s="198" t="s">
        <v>66</v>
      </c>
      <c r="F133" s="199" t="s">
        <v>67</v>
      </c>
      <c r="G133" s="205" t="s">
        <v>335</v>
      </c>
    </row>
    <row r="134" spans="1:7" ht="14.1" customHeight="1">
      <c r="A134" s="279"/>
      <c r="B134" s="245" t="s">
        <v>336</v>
      </c>
      <c r="C134" s="246" t="s">
        <v>337</v>
      </c>
      <c r="D134" s="293"/>
      <c r="E134" s="206" t="s">
        <v>49</v>
      </c>
      <c r="F134" s="198"/>
      <c r="G134" s="205" t="s">
        <v>338</v>
      </c>
    </row>
    <row r="135" spans="1:7" ht="15" thickBot="1">
      <c r="A135" s="280"/>
      <c r="B135" s="328"/>
      <c r="C135" s="297" t="s">
        <v>339</v>
      </c>
      <c r="D135" s="298"/>
      <c r="E135" s="207" t="s">
        <v>49</v>
      </c>
      <c r="F135" s="200"/>
      <c r="G135" s="208" t="s">
        <v>338</v>
      </c>
    </row>
    <row r="136" spans="1:7" ht="12.9" customHeight="1">
      <c r="A136" s="281" t="s">
        <v>340</v>
      </c>
      <c r="B136" s="327" t="s">
        <v>341</v>
      </c>
      <c r="C136" s="277" t="s">
        <v>342</v>
      </c>
      <c r="D136" s="302"/>
      <c r="E136" s="209" t="s">
        <v>49</v>
      </c>
      <c r="F136" s="196"/>
      <c r="G136" s="210" t="s">
        <v>343</v>
      </c>
    </row>
    <row r="137" spans="1:7" ht="27.6">
      <c r="A137" s="282"/>
      <c r="B137" s="243"/>
      <c r="C137" s="248" t="s">
        <v>344</v>
      </c>
      <c r="D137" s="249"/>
      <c r="E137" s="206" t="s">
        <v>49</v>
      </c>
      <c r="F137" s="198"/>
      <c r="G137" s="205" t="s">
        <v>345</v>
      </c>
    </row>
    <row r="138" spans="1:7" ht="14.1" customHeight="1">
      <c r="A138" s="275"/>
      <c r="B138" s="326" t="s">
        <v>346</v>
      </c>
      <c r="C138" s="246" t="s">
        <v>347</v>
      </c>
      <c r="D138" s="293"/>
      <c r="E138" s="206" t="s">
        <v>49</v>
      </c>
      <c r="F138" s="198"/>
      <c r="G138" s="205" t="s">
        <v>348</v>
      </c>
    </row>
    <row r="139" spans="1:7" ht="15" thickBot="1">
      <c r="A139" s="276"/>
      <c r="B139" s="328"/>
      <c r="C139" s="297" t="s">
        <v>349</v>
      </c>
      <c r="D139" s="298"/>
      <c r="E139" s="207" t="s">
        <v>49</v>
      </c>
      <c r="F139" s="200"/>
      <c r="G139" s="208" t="s">
        <v>350</v>
      </c>
    </row>
    <row r="140" spans="1:7" ht="15" thickBot="1">
      <c r="C140" s="30"/>
      <c r="D140" s="30"/>
    </row>
    <row r="141" spans="1:7" s="39" customFormat="1" ht="16.2" thickBot="1">
      <c r="A141" s="313" t="s">
        <v>351</v>
      </c>
      <c r="B141" s="314"/>
      <c r="C141" s="314"/>
      <c r="D141" s="314"/>
      <c r="E141" s="314">
        <v>0</v>
      </c>
      <c r="F141" s="314"/>
      <c r="G141" s="315"/>
    </row>
    <row r="142" spans="1:7" ht="27.6">
      <c r="A142" s="283" t="s">
        <v>352</v>
      </c>
      <c r="B142" s="10" t="s">
        <v>353</v>
      </c>
      <c r="C142" s="321" t="s">
        <v>354</v>
      </c>
      <c r="D142" s="322"/>
      <c r="E142" s="209" t="s">
        <v>49</v>
      </c>
      <c r="F142" s="196"/>
      <c r="G142" s="210" t="s">
        <v>355</v>
      </c>
    </row>
    <row r="143" spans="1:7" ht="12.9" customHeight="1">
      <c r="A143" s="284"/>
      <c r="B143" s="244" t="s">
        <v>356</v>
      </c>
      <c r="C143" s="246" t="s">
        <v>357</v>
      </c>
      <c r="D143" s="293"/>
      <c r="E143" s="206" t="s">
        <v>49</v>
      </c>
      <c r="F143" s="198"/>
      <c r="G143" s="205" t="s">
        <v>358</v>
      </c>
    </row>
    <row r="144" spans="1:7" ht="26.1" customHeight="1">
      <c r="A144" s="284"/>
      <c r="B144" s="243"/>
      <c r="C144" s="252" t="s">
        <v>359</v>
      </c>
      <c r="D144" s="253"/>
      <c r="E144" s="206" t="s">
        <v>49</v>
      </c>
      <c r="F144" s="198"/>
      <c r="G144" s="205" t="s">
        <v>360</v>
      </c>
    </row>
    <row r="145" spans="1:7" ht="30.6" customHeight="1">
      <c r="A145" s="284"/>
      <c r="B145" s="326"/>
      <c r="C145" s="248" t="s">
        <v>361</v>
      </c>
      <c r="D145" s="249"/>
      <c r="E145" s="206" t="s">
        <v>49</v>
      </c>
      <c r="F145" s="198"/>
      <c r="G145" s="205" t="s">
        <v>362</v>
      </c>
    </row>
    <row r="146" spans="1:7" ht="72.900000000000006" customHeight="1">
      <c r="A146" s="284"/>
      <c r="B146" s="2" t="s">
        <v>363</v>
      </c>
      <c r="C146" s="270" t="s">
        <v>364</v>
      </c>
      <c r="D146" s="296"/>
      <c r="E146" s="206" t="s">
        <v>49</v>
      </c>
      <c r="F146" s="198"/>
      <c r="G146" s="205" t="s">
        <v>365</v>
      </c>
    </row>
    <row r="147" spans="1:7" ht="39.9" customHeight="1">
      <c r="A147" s="284"/>
      <c r="B147" s="6" t="s">
        <v>366</v>
      </c>
      <c r="C147" s="270" t="s">
        <v>367</v>
      </c>
      <c r="D147" s="296"/>
      <c r="E147" s="206" t="s">
        <v>49</v>
      </c>
      <c r="F147" s="198"/>
      <c r="G147" s="205" t="s">
        <v>368</v>
      </c>
    </row>
    <row r="148" spans="1:7" ht="12.9" customHeight="1">
      <c r="A148" s="284"/>
      <c r="B148" s="244" t="s">
        <v>369</v>
      </c>
      <c r="C148" s="246" t="s">
        <v>370</v>
      </c>
      <c r="D148" s="293"/>
      <c r="E148" s="206" t="s">
        <v>49</v>
      </c>
      <c r="F148" s="198"/>
      <c r="G148" s="205" t="s">
        <v>371</v>
      </c>
    </row>
    <row r="149" spans="1:7" ht="41.4">
      <c r="A149" s="284"/>
      <c r="B149" s="243"/>
      <c r="C149" s="252" t="s">
        <v>372</v>
      </c>
      <c r="D149" s="253"/>
      <c r="E149" s="206" t="s">
        <v>49</v>
      </c>
      <c r="F149" s="198"/>
      <c r="G149" s="205" t="s">
        <v>373</v>
      </c>
    </row>
    <row r="150" spans="1:7" ht="41.4">
      <c r="A150" s="284"/>
      <c r="B150" s="243"/>
      <c r="C150" s="248" t="s">
        <v>374</v>
      </c>
      <c r="D150" s="249"/>
      <c r="E150" s="206" t="s">
        <v>49</v>
      </c>
      <c r="F150" s="198"/>
      <c r="G150" s="205" t="s">
        <v>375</v>
      </c>
    </row>
    <row r="151" spans="1:7" ht="57" customHeight="1">
      <c r="A151" s="284"/>
      <c r="B151" s="243" t="s">
        <v>376</v>
      </c>
      <c r="C151" s="270" t="s">
        <v>377</v>
      </c>
      <c r="D151" s="296"/>
      <c r="E151" s="206" t="s">
        <v>49</v>
      </c>
      <c r="F151" s="198"/>
      <c r="G151" s="199" t="s">
        <v>378</v>
      </c>
    </row>
    <row r="152" spans="1:7" ht="44.1" customHeight="1">
      <c r="A152" s="284"/>
      <c r="B152" s="243"/>
      <c r="C152" s="246" t="s">
        <v>379</v>
      </c>
      <c r="D152" s="293"/>
      <c r="E152" s="206" t="s">
        <v>49</v>
      </c>
      <c r="F152" s="198"/>
      <c r="G152" s="205" t="s">
        <v>380</v>
      </c>
    </row>
    <row r="153" spans="1:7">
      <c r="A153" s="284"/>
      <c r="B153" s="326"/>
      <c r="C153" s="248" t="s">
        <v>381</v>
      </c>
      <c r="D153" s="249"/>
      <c r="E153" s="206" t="s">
        <v>49</v>
      </c>
      <c r="F153" s="198"/>
      <c r="G153" s="205" t="s">
        <v>380</v>
      </c>
    </row>
    <row r="154" spans="1:7" ht="12.9" customHeight="1">
      <c r="A154" s="284"/>
      <c r="B154" s="244" t="s">
        <v>382</v>
      </c>
      <c r="C154" s="246" t="s">
        <v>383</v>
      </c>
      <c r="D154" s="293"/>
      <c r="E154" s="206" t="s">
        <v>49</v>
      </c>
      <c r="F154" s="198"/>
      <c r="G154" s="205" t="s">
        <v>384</v>
      </c>
    </row>
    <row r="155" spans="1:7" ht="27.6">
      <c r="A155" s="284"/>
      <c r="B155" s="243"/>
      <c r="C155" s="303" t="s">
        <v>385</v>
      </c>
      <c r="D155" s="320"/>
      <c r="E155" s="206" t="s">
        <v>49</v>
      </c>
      <c r="F155" s="198"/>
      <c r="G155" s="205" t="s">
        <v>386</v>
      </c>
    </row>
    <row r="156" spans="1:7">
      <c r="A156" s="284"/>
      <c r="B156" s="243" t="s">
        <v>387</v>
      </c>
      <c r="C156" s="246" t="s">
        <v>388</v>
      </c>
      <c r="D156" s="293"/>
      <c r="E156" s="206" t="s">
        <v>49</v>
      </c>
      <c r="F156" s="198"/>
      <c r="G156" s="205" t="s">
        <v>389</v>
      </c>
    </row>
    <row r="157" spans="1:7" ht="27.6">
      <c r="A157" s="284"/>
      <c r="B157" s="326"/>
      <c r="C157" s="248" t="s">
        <v>390</v>
      </c>
      <c r="D157" s="249"/>
      <c r="E157" s="198" t="s">
        <v>66</v>
      </c>
      <c r="F157" s="199" t="s">
        <v>67</v>
      </c>
      <c r="G157" s="205" t="s">
        <v>391</v>
      </c>
    </row>
    <row r="158" spans="1:7" ht="12.9" customHeight="1">
      <c r="A158" s="284"/>
      <c r="B158" s="244" t="s">
        <v>392</v>
      </c>
      <c r="C158" s="246" t="s">
        <v>393</v>
      </c>
      <c r="D158" s="293"/>
      <c r="E158" s="206" t="s">
        <v>49</v>
      </c>
      <c r="F158" s="198"/>
      <c r="G158" s="205" t="s">
        <v>394</v>
      </c>
    </row>
    <row r="159" spans="1:7" ht="27.6">
      <c r="A159" s="284"/>
      <c r="B159" s="243"/>
      <c r="C159" s="248" t="s">
        <v>395</v>
      </c>
      <c r="D159" s="249"/>
      <c r="E159" s="206" t="s">
        <v>49</v>
      </c>
      <c r="F159" s="198"/>
      <c r="G159" s="205" t="s">
        <v>396</v>
      </c>
    </row>
    <row r="160" spans="1:7" ht="42" customHeight="1">
      <c r="A160" s="284"/>
      <c r="B160" s="6" t="s">
        <v>397</v>
      </c>
      <c r="C160" s="309" t="s">
        <v>398</v>
      </c>
      <c r="D160" s="317"/>
      <c r="E160" s="206" t="s">
        <v>49</v>
      </c>
      <c r="F160" s="198"/>
      <c r="G160" s="211" t="s">
        <v>399</v>
      </c>
    </row>
    <row r="161" spans="1:7" ht="15" thickBot="1">
      <c r="A161" s="285"/>
      <c r="B161" s="11" t="s">
        <v>400</v>
      </c>
      <c r="C161" s="318" t="s">
        <v>401</v>
      </c>
      <c r="D161" s="319"/>
      <c r="E161" s="207" t="s">
        <v>49</v>
      </c>
      <c r="F161" s="200"/>
      <c r="G161" s="208" t="s">
        <v>402</v>
      </c>
    </row>
    <row r="162" spans="1:7" ht="12.9" customHeight="1">
      <c r="A162" s="286" t="s">
        <v>403</v>
      </c>
      <c r="B162" s="330" t="s">
        <v>404</v>
      </c>
      <c r="C162" s="277" t="s">
        <v>405</v>
      </c>
      <c r="D162" s="302"/>
      <c r="E162" s="209" t="s">
        <v>49</v>
      </c>
      <c r="F162" s="196"/>
      <c r="G162" s="210" t="s">
        <v>406</v>
      </c>
    </row>
    <row r="163" spans="1:7" ht="14.4" customHeight="1">
      <c r="A163" s="287"/>
      <c r="B163" s="244"/>
      <c r="C163" s="252" t="s">
        <v>407</v>
      </c>
      <c r="D163" s="253"/>
      <c r="E163" s="206" t="s">
        <v>49</v>
      </c>
      <c r="F163" s="198"/>
      <c r="G163" s="205" t="s">
        <v>408</v>
      </c>
    </row>
    <row r="164" spans="1:7" ht="14.4" customHeight="1">
      <c r="A164" s="287"/>
      <c r="B164" s="244"/>
      <c r="C164" s="254" t="s">
        <v>409</v>
      </c>
      <c r="D164" s="255"/>
      <c r="E164" s="206" t="s">
        <v>49</v>
      </c>
      <c r="F164" s="198"/>
      <c r="G164" s="205" t="s">
        <v>410</v>
      </c>
    </row>
    <row r="165" spans="1:7" ht="63.6" customHeight="1">
      <c r="A165" s="288"/>
      <c r="B165" s="4" t="s">
        <v>411</v>
      </c>
      <c r="C165" s="270" t="s">
        <v>412</v>
      </c>
      <c r="D165" s="296"/>
      <c r="E165" s="198" t="s">
        <v>66</v>
      </c>
      <c r="F165" s="199" t="s">
        <v>67</v>
      </c>
      <c r="G165" s="205" t="s">
        <v>413</v>
      </c>
    </row>
    <row r="166" spans="1:7" ht="12.9" customHeight="1">
      <c r="A166" s="287"/>
      <c r="B166" s="243" t="s">
        <v>414</v>
      </c>
      <c r="C166" s="246" t="s">
        <v>415</v>
      </c>
      <c r="D166" s="293"/>
      <c r="E166" s="206" t="s">
        <v>49</v>
      </c>
      <c r="F166" s="198"/>
      <c r="G166" s="205" t="s">
        <v>416</v>
      </c>
    </row>
    <row r="167" spans="1:7" ht="14.4" customHeight="1">
      <c r="A167" s="287"/>
      <c r="B167" s="245"/>
      <c r="C167" s="248" t="s">
        <v>417</v>
      </c>
      <c r="D167" s="249"/>
      <c r="E167" s="198" t="s">
        <v>66</v>
      </c>
      <c r="F167" s="199" t="s">
        <v>67</v>
      </c>
      <c r="G167" s="205" t="s">
        <v>418</v>
      </c>
    </row>
    <row r="168" spans="1:7" ht="29.1" customHeight="1">
      <c r="A168" s="288"/>
      <c r="B168" s="243" t="s">
        <v>419</v>
      </c>
      <c r="C168" s="246" t="s">
        <v>420</v>
      </c>
      <c r="D168" s="293"/>
      <c r="E168" s="206" t="s">
        <v>49</v>
      </c>
      <c r="F168" s="198"/>
      <c r="G168" s="205" t="s">
        <v>416</v>
      </c>
    </row>
    <row r="169" spans="1:7" ht="14.4" customHeight="1">
      <c r="A169" s="288"/>
      <c r="B169" s="245"/>
      <c r="C169" s="248" t="s">
        <v>421</v>
      </c>
      <c r="D169" s="249"/>
      <c r="E169" s="198" t="s">
        <v>66</v>
      </c>
      <c r="F169" s="199" t="s">
        <v>67</v>
      </c>
      <c r="G169" s="205" t="s">
        <v>422</v>
      </c>
    </row>
    <row r="170" spans="1:7" ht="69.599999999999994" customHeight="1" thickBot="1">
      <c r="A170" s="289"/>
      <c r="B170" s="14" t="s">
        <v>423</v>
      </c>
      <c r="C170" s="318" t="s">
        <v>424</v>
      </c>
      <c r="D170" s="319"/>
      <c r="E170" s="200" t="s">
        <v>66</v>
      </c>
      <c r="F170" s="201" t="s">
        <v>67</v>
      </c>
      <c r="G170" s="208" t="s">
        <v>425</v>
      </c>
    </row>
    <row r="171" spans="1:7" ht="15" thickBot="1">
      <c r="C171" s="30"/>
      <c r="D171" s="30"/>
    </row>
    <row r="172" spans="1:7" s="39" customFormat="1" ht="16.2" thickBot="1">
      <c r="A172" s="313" t="s">
        <v>426</v>
      </c>
      <c r="B172" s="314"/>
      <c r="C172" s="314"/>
      <c r="D172" s="314"/>
      <c r="E172" s="314">
        <v>0</v>
      </c>
      <c r="F172" s="314"/>
      <c r="G172" s="315"/>
    </row>
    <row r="173" spans="1:7">
      <c r="A173" s="286" t="s">
        <v>427</v>
      </c>
      <c r="B173" s="330" t="s">
        <v>428</v>
      </c>
      <c r="C173" s="277" t="s">
        <v>429</v>
      </c>
      <c r="D173" s="302"/>
      <c r="E173" s="209" t="s">
        <v>49</v>
      </c>
      <c r="F173" s="196"/>
      <c r="G173" s="210" t="s">
        <v>430</v>
      </c>
    </row>
    <row r="174" spans="1:7" ht="27.6">
      <c r="A174" s="287"/>
      <c r="B174" s="243"/>
      <c r="C174" s="248" t="s">
        <v>431</v>
      </c>
      <c r="D174" s="249"/>
      <c r="E174" s="198" t="s">
        <v>66</v>
      </c>
      <c r="F174" s="199" t="s">
        <v>67</v>
      </c>
      <c r="G174" s="205" t="s">
        <v>432</v>
      </c>
    </row>
    <row r="175" spans="1:7">
      <c r="A175" s="288"/>
      <c r="B175" s="243" t="s">
        <v>433</v>
      </c>
      <c r="C175" s="246" t="s">
        <v>434</v>
      </c>
      <c r="D175" s="293"/>
      <c r="E175" s="206" t="s">
        <v>49</v>
      </c>
      <c r="F175" s="198"/>
      <c r="G175" s="205" t="s">
        <v>435</v>
      </c>
    </row>
    <row r="176" spans="1:7">
      <c r="A176" s="288"/>
      <c r="B176" s="326"/>
      <c r="C176" s="248" t="s">
        <v>436</v>
      </c>
      <c r="D176" s="249"/>
      <c r="E176" s="206" t="s">
        <v>49</v>
      </c>
      <c r="F176" s="198"/>
      <c r="G176" s="205" t="s">
        <v>435</v>
      </c>
    </row>
    <row r="177" spans="1:7" ht="65.25" customHeight="1">
      <c r="A177" s="287"/>
      <c r="B177" s="244" t="s">
        <v>437</v>
      </c>
      <c r="C177" s="246" t="s">
        <v>438</v>
      </c>
      <c r="D177" s="293"/>
      <c r="E177" s="198" t="s">
        <v>66</v>
      </c>
      <c r="F177" s="199" t="s">
        <v>67</v>
      </c>
      <c r="G177" s="205" t="s">
        <v>439</v>
      </c>
    </row>
    <row r="178" spans="1:7" ht="51.75" customHeight="1">
      <c r="A178" s="287"/>
      <c r="B178" s="243"/>
      <c r="C178" s="248" t="s">
        <v>440</v>
      </c>
      <c r="D178" s="249"/>
      <c r="E178" s="198" t="s">
        <v>66</v>
      </c>
      <c r="F178" s="199" t="s">
        <v>67</v>
      </c>
      <c r="G178" s="205" t="s">
        <v>441</v>
      </c>
    </row>
    <row r="179" spans="1:7" ht="57.9" customHeight="1">
      <c r="A179" s="288"/>
      <c r="B179" s="4" t="s">
        <v>442</v>
      </c>
      <c r="C179" s="270" t="s">
        <v>443</v>
      </c>
      <c r="D179" s="296"/>
      <c r="E179" s="198" t="s">
        <v>66</v>
      </c>
      <c r="F179" s="199" t="s">
        <v>67</v>
      </c>
      <c r="G179" s="205" t="s">
        <v>441</v>
      </c>
    </row>
    <row r="180" spans="1:7" ht="27.6">
      <c r="A180" s="287"/>
      <c r="B180" s="243" t="s">
        <v>444</v>
      </c>
      <c r="C180" s="246" t="s">
        <v>445</v>
      </c>
      <c r="D180" s="293"/>
      <c r="E180" s="198" t="s">
        <v>49</v>
      </c>
      <c r="F180" s="198"/>
      <c r="G180" s="199" t="s">
        <v>446</v>
      </c>
    </row>
    <row r="181" spans="1:7" ht="27.6">
      <c r="A181" s="287"/>
      <c r="B181" s="243"/>
      <c r="C181" s="252" t="s">
        <v>447</v>
      </c>
      <c r="D181" s="253"/>
      <c r="E181" s="198" t="s">
        <v>49</v>
      </c>
      <c r="F181" s="198"/>
      <c r="G181" s="199" t="s">
        <v>446</v>
      </c>
    </row>
    <row r="182" spans="1:7" ht="69">
      <c r="A182" s="287"/>
      <c r="B182" s="326"/>
      <c r="C182" s="248" t="s">
        <v>448</v>
      </c>
      <c r="D182" s="249"/>
      <c r="E182" s="198" t="s">
        <v>49</v>
      </c>
      <c r="F182" s="198"/>
      <c r="G182" s="199" t="s">
        <v>449</v>
      </c>
    </row>
    <row r="183" spans="1:7">
      <c r="A183" s="288"/>
      <c r="B183" s="243" t="s">
        <v>212</v>
      </c>
      <c r="C183" s="246" t="s">
        <v>450</v>
      </c>
      <c r="D183" s="293"/>
      <c r="E183" s="198" t="s">
        <v>49</v>
      </c>
      <c r="F183" s="198"/>
      <c r="G183" s="199" t="s">
        <v>216</v>
      </c>
    </row>
    <row r="184" spans="1:7">
      <c r="A184" s="288"/>
      <c r="B184" s="243"/>
      <c r="C184" s="248" t="s">
        <v>451</v>
      </c>
      <c r="D184" s="249"/>
      <c r="E184" s="198" t="s">
        <v>49</v>
      </c>
      <c r="F184" s="198"/>
      <c r="G184" s="199" t="s">
        <v>216</v>
      </c>
    </row>
    <row r="185" spans="1:7" ht="51.6" customHeight="1">
      <c r="A185" s="288"/>
      <c r="B185" s="243" t="s">
        <v>452</v>
      </c>
      <c r="C185" s="270" t="s">
        <v>453</v>
      </c>
      <c r="D185" s="296"/>
      <c r="E185" s="198" t="s">
        <v>49</v>
      </c>
      <c r="F185" s="198"/>
      <c r="G185" s="199" t="s">
        <v>454</v>
      </c>
    </row>
    <row r="186" spans="1:7" ht="69.599999999999994" customHeight="1">
      <c r="A186" s="288"/>
      <c r="B186" s="326"/>
      <c r="C186" s="270" t="s">
        <v>455</v>
      </c>
      <c r="D186" s="296"/>
      <c r="E186" s="198" t="s">
        <v>237</v>
      </c>
      <c r="F186" s="203" t="s">
        <v>238</v>
      </c>
      <c r="G186" s="199" t="s">
        <v>456</v>
      </c>
    </row>
    <row r="187" spans="1:7" ht="60" customHeight="1">
      <c r="A187" s="287"/>
      <c r="B187" s="244" t="s">
        <v>457</v>
      </c>
      <c r="C187" s="246" t="s">
        <v>458</v>
      </c>
      <c r="D187" s="293"/>
      <c r="E187" s="198" t="s">
        <v>49</v>
      </c>
      <c r="F187" s="198"/>
      <c r="G187" s="199" t="s">
        <v>459</v>
      </c>
    </row>
    <row r="188" spans="1:7" ht="14.4" customHeight="1">
      <c r="A188" s="287"/>
      <c r="B188" s="243"/>
      <c r="C188" s="248" t="s">
        <v>460</v>
      </c>
      <c r="D188" s="249"/>
      <c r="E188" s="198" t="s">
        <v>66</v>
      </c>
      <c r="F188" s="199" t="s">
        <v>67</v>
      </c>
      <c r="G188" s="199" t="s">
        <v>461</v>
      </c>
    </row>
    <row r="189" spans="1:7" ht="14.4" customHeight="1">
      <c r="A189" s="288"/>
      <c r="B189" s="243" t="s">
        <v>462</v>
      </c>
      <c r="C189" s="246" t="s">
        <v>463</v>
      </c>
      <c r="D189" s="293"/>
      <c r="E189" s="198" t="s">
        <v>49</v>
      </c>
      <c r="F189" s="198"/>
      <c r="G189" s="199" t="s">
        <v>464</v>
      </c>
    </row>
    <row r="190" spans="1:7" ht="24.9" customHeight="1">
      <c r="A190" s="288"/>
      <c r="B190" s="243"/>
      <c r="C190" s="248" t="s">
        <v>465</v>
      </c>
      <c r="D190" s="249"/>
      <c r="E190" s="198" t="s">
        <v>49</v>
      </c>
      <c r="F190" s="198"/>
      <c r="G190" s="199" t="s">
        <v>466</v>
      </c>
    </row>
    <row r="191" spans="1:7" ht="39" customHeight="1">
      <c r="A191" s="288"/>
      <c r="B191" s="243" t="s">
        <v>467</v>
      </c>
      <c r="C191" s="246" t="s">
        <v>468</v>
      </c>
      <c r="D191" s="293"/>
      <c r="E191" s="198" t="s">
        <v>49</v>
      </c>
      <c r="F191" s="198"/>
      <c r="G191" s="199" t="s">
        <v>469</v>
      </c>
    </row>
    <row r="192" spans="1:7">
      <c r="A192" s="288"/>
      <c r="B192" s="245"/>
      <c r="C192" s="248" t="s">
        <v>470</v>
      </c>
      <c r="D192" s="249"/>
      <c r="E192" s="198" t="s">
        <v>49</v>
      </c>
      <c r="F192" s="198"/>
      <c r="G192" s="199" t="s">
        <v>469</v>
      </c>
    </row>
    <row r="193" spans="1:7" ht="41.1" customHeight="1">
      <c r="A193" s="288"/>
      <c r="B193" s="243" t="s">
        <v>471</v>
      </c>
      <c r="C193" s="246" t="s">
        <v>472</v>
      </c>
      <c r="D193" s="293"/>
      <c r="E193" s="198" t="s">
        <v>49</v>
      </c>
      <c r="F193" s="198"/>
      <c r="G193" s="199" t="s">
        <v>473</v>
      </c>
    </row>
    <row r="194" spans="1:7" ht="41.4" customHeight="1">
      <c r="A194" s="288"/>
      <c r="B194" s="326"/>
      <c r="C194" s="248" t="s">
        <v>474</v>
      </c>
      <c r="D194" s="249"/>
      <c r="E194" s="198" t="s">
        <v>66</v>
      </c>
      <c r="F194" s="199" t="s">
        <v>67</v>
      </c>
      <c r="G194" s="199" t="s">
        <v>475</v>
      </c>
    </row>
    <row r="195" spans="1:7" ht="26.1" customHeight="1">
      <c r="A195" s="287"/>
      <c r="B195" s="2" t="s">
        <v>476</v>
      </c>
      <c r="C195" s="270" t="s">
        <v>477</v>
      </c>
      <c r="D195" s="296"/>
      <c r="E195" s="198" t="s">
        <v>66</v>
      </c>
      <c r="F195" s="199" t="s">
        <v>67</v>
      </c>
      <c r="G195" s="199" t="s">
        <v>478</v>
      </c>
    </row>
    <row r="196" spans="1:7" ht="69" customHeight="1">
      <c r="A196" s="288"/>
      <c r="B196" s="292" t="s">
        <v>479</v>
      </c>
      <c r="C196" s="246" t="s">
        <v>480</v>
      </c>
      <c r="D196" s="293"/>
      <c r="E196" s="198" t="s">
        <v>66</v>
      </c>
      <c r="F196" s="199" t="s">
        <v>67</v>
      </c>
      <c r="G196" s="199" t="s">
        <v>461</v>
      </c>
    </row>
    <row r="197" spans="1:7">
      <c r="A197" s="288"/>
      <c r="B197" s="244"/>
      <c r="C197" s="252" t="s">
        <v>481</v>
      </c>
      <c r="D197" s="253"/>
      <c r="E197" s="198" t="s">
        <v>49</v>
      </c>
      <c r="F197" s="198"/>
      <c r="G197" s="199" t="s">
        <v>482</v>
      </c>
    </row>
    <row r="198" spans="1:7">
      <c r="A198" s="288"/>
      <c r="B198" s="245"/>
      <c r="C198" s="248" t="s">
        <v>483</v>
      </c>
      <c r="D198" s="249"/>
      <c r="E198" s="198" t="s">
        <v>49</v>
      </c>
      <c r="F198" s="198"/>
      <c r="G198" s="199" t="s">
        <v>484</v>
      </c>
    </row>
    <row r="199" spans="1:7" ht="12.9" customHeight="1">
      <c r="A199" s="287"/>
      <c r="B199" s="292" t="s">
        <v>485</v>
      </c>
      <c r="C199" s="250" t="s">
        <v>486</v>
      </c>
      <c r="D199" s="294"/>
      <c r="E199" s="198" t="s">
        <v>49</v>
      </c>
      <c r="F199" s="198"/>
      <c r="G199" s="199" t="s">
        <v>487</v>
      </c>
    </row>
    <row r="200" spans="1:7" ht="27.9" customHeight="1" thickBot="1">
      <c r="A200" s="289"/>
      <c r="B200" s="328"/>
      <c r="C200" s="297" t="s">
        <v>488</v>
      </c>
      <c r="D200" s="298"/>
      <c r="E200" s="200" t="s">
        <v>66</v>
      </c>
      <c r="F200" s="201" t="s">
        <v>67</v>
      </c>
      <c r="G200" s="201" t="s">
        <v>489</v>
      </c>
    </row>
    <row r="201" spans="1:7" ht="15" thickBot="1">
      <c r="C201" s="30"/>
      <c r="D201" s="30"/>
    </row>
    <row r="202" spans="1:7" s="39" customFormat="1" ht="16.2" thickBot="1">
      <c r="A202" s="335" t="s">
        <v>490</v>
      </c>
      <c r="B202" s="314"/>
      <c r="C202" s="314"/>
      <c r="D202" s="314"/>
      <c r="E202" s="314">
        <v>0</v>
      </c>
      <c r="F202" s="314"/>
      <c r="G202" s="315"/>
    </row>
    <row r="203" spans="1:7" ht="14.1" customHeight="1">
      <c r="A203" s="288" t="s">
        <v>491</v>
      </c>
      <c r="B203" s="243" t="s">
        <v>492</v>
      </c>
      <c r="C203" s="246" t="s">
        <v>493</v>
      </c>
      <c r="D203" s="247"/>
      <c r="E203" s="196" t="s">
        <v>49</v>
      </c>
      <c r="F203" s="196"/>
      <c r="G203" s="197" t="s">
        <v>494</v>
      </c>
    </row>
    <row r="204" spans="1:7" ht="27.6">
      <c r="A204" s="288"/>
      <c r="B204" s="326"/>
      <c r="C204" s="248" t="s">
        <v>495</v>
      </c>
      <c r="D204" s="260"/>
      <c r="E204" s="198" t="s">
        <v>66</v>
      </c>
      <c r="F204" s="199" t="s">
        <v>67</v>
      </c>
      <c r="G204" s="199" t="s">
        <v>496</v>
      </c>
    </row>
    <row r="205" spans="1:7" ht="41.4">
      <c r="A205" s="284"/>
      <c r="B205" s="243" t="s">
        <v>497</v>
      </c>
      <c r="C205" s="246" t="s">
        <v>498</v>
      </c>
      <c r="D205" s="247"/>
      <c r="E205" s="198" t="s">
        <v>49</v>
      </c>
      <c r="F205" s="198"/>
      <c r="G205" s="199" t="s">
        <v>499</v>
      </c>
    </row>
    <row r="206" spans="1:7" ht="24.9" customHeight="1">
      <c r="A206" s="284"/>
      <c r="B206" s="326"/>
      <c r="C206" s="248" t="s">
        <v>500</v>
      </c>
      <c r="D206" s="260"/>
      <c r="E206" s="198" t="s">
        <v>49</v>
      </c>
      <c r="F206" s="198"/>
      <c r="G206" s="199" t="s">
        <v>499</v>
      </c>
    </row>
    <row r="207" spans="1:7" ht="14.1" customHeight="1">
      <c r="A207" s="284"/>
      <c r="B207" s="243" t="s">
        <v>501</v>
      </c>
      <c r="C207" s="246" t="s">
        <v>502</v>
      </c>
      <c r="D207" s="247"/>
      <c r="E207" s="198" t="s">
        <v>49</v>
      </c>
      <c r="F207" s="198"/>
      <c r="G207" s="199" t="s">
        <v>499</v>
      </c>
    </row>
    <row r="208" spans="1:7" ht="41.4">
      <c r="A208" s="284"/>
      <c r="B208" s="245"/>
      <c r="C208" s="248" t="s">
        <v>503</v>
      </c>
      <c r="D208" s="260"/>
      <c r="E208" s="198" t="s">
        <v>49</v>
      </c>
      <c r="F208" s="198"/>
      <c r="G208" s="199" t="s">
        <v>499</v>
      </c>
    </row>
    <row r="209" spans="1:7" ht="27.6">
      <c r="A209" s="284"/>
      <c r="B209" s="6" t="s">
        <v>504</v>
      </c>
      <c r="C209" s="270" t="s">
        <v>505</v>
      </c>
      <c r="D209" s="271"/>
      <c r="E209" s="198" t="s">
        <v>49</v>
      </c>
      <c r="F209" s="198"/>
      <c r="G209" s="199" t="s">
        <v>506</v>
      </c>
    </row>
    <row r="210" spans="1:7" ht="12.9" customHeight="1">
      <c r="A210" s="284"/>
      <c r="B210" s="244" t="s">
        <v>507</v>
      </c>
      <c r="C210" s="246" t="s">
        <v>508</v>
      </c>
      <c r="D210" s="247"/>
      <c r="E210" s="198" t="s">
        <v>49</v>
      </c>
      <c r="F210" s="198"/>
      <c r="G210" s="199" t="s">
        <v>509</v>
      </c>
    </row>
    <row r="211" spans="1:7">
      <c r="A211" s="284"/>
      <c r="B211" s="243"/>
      <c r="C211" s="248" t="s">
        <v>510</v>
      </c>
      <c r="D211" s="260"/>
      <c r="E211" s="198" t="s">
        <v>49</v>
      </c>
      <c r="F211" s="198"/>
      <c r="G211" s="199" t="s">
        <v>511</v>
      </c>
    </row>
    <row r="212" spans="1:7" ht="12.9" customHeight="1">
      <c r="A212" s="284"/>
      <c r="B212" s="243" t="s">
        <v>512</v>
      </c>
      <c r="C212" s="246" t="s">
        <v>513</v>
      </c>
      <c r="D212" s="247"/>
      <c r="E212" s="198" t="s">
        <v>49</v>
      </c>
      <c r="F212" s="198"/>
      <c r="G212" s="199" t="s">
        <v>514</v>
      </c>
    </row>
    <row r="213" spans="1:7">
      <c r="A213" s="284"/>
      <c r="B213" s="243"/>
      <c r="C213" s="252" t="s">
        <v>515</v>
      </c>
      <c r="D213" s="261"/>
      <c r="E213" s="198" t="s">
        <v>49</v>
      </c>
      <c r="F213" s="198"/>
      <c r="G213" s="199" t="s">
        <v>514</v>
      </c>
    </row>
    <row r="214" spans="1:7" ht="55.2">
      <c r="A214" s="284"/>
      <c r="B214" s="326"/>
      <c r="C214" s="248" t="s">
        <v>516</v>
      </c>
      <c r="D214" s="260"/>
      <c r="E214" s="198" t="s">
        <v>66</v>
      </c>
      <c r="F214" s="199" t="s">
        <v>67</v>
      </c>
      <c r="G214" s="199" t="s">
        <v>517</v>
      </c>
    </row>
    <row r="215" spans="1:7" ht="12.9" customHeight="1">
      <c r="A215" s="284"/>
      <c r="B215" s="2" t="s">
        <v>518</v>
      </c>
      <c r="C215" s="270" t="s">
        <v>519</v>
      </c>
      <c r="D215" s="271"/>
      <c r="E215" s="198" t="s">
        <v>49</v>
      </c>
      <c r="F215" s="198"/>
      <c r="G215" s="199" t="s">
        <v>520</v>
      </c>
    </row>
    <row r="216" spans="1:7" ht="14.1" customHeight="1">
      <c r="A216" s="284"/>
      <c r="B216" s="243" t="s">
        <v>521</v>
      </c>
      <c r="C216" s="246" t="s">
        <v>522</v>
      </c>
      <c r="D216" s="247"/>
      <c r="E216" s="198" t="s">
        <v>49</v>
      </c>
      <c r="F216" s="198"/>
      <c r="G216" s="199" t="s">
        <v>523</v>
      </c>
    </row>
    <row r="217" spans="1:7">
      <c r="A217" s="284"/>
      <c r="B217" s="243"/>
      <c r="C217" s="252" t="s">
        <v>524</v>
      </c>
      <c r="D217" s="261"/>
      <c r="E217" s="198" t="s">
        <v>49</v>
      </c>
      <c r="F217" s="198"/>
      <c r="G217" s="199" t="s">
        <v>525</v>
      </c>
    </row>
    <row r="218" spans="1:7">
      <c r="A218" s="284"/>
      <c r="B218" s="326"/>
      <c r="C218" s="248" t="s">
        <v>526</v>
      </c>
      <c r="D218" s="260"/>
      <c r="E218" s="198" t="s">
        <v>49</v>
      </c>
      <c r="F218" s="198"/>
      <c r="G218" s="199" t="s">
        <v>527</v>
      </c>
    </row>
    <row r="219" spans="1:7" ht="24.9" customHeight="1">
      <c r="A219" s="284"/>
      <c r="B219" s="2" t="s">
        <v>528</v>
      </c>
      <c r="C219" s="270" t="s">
        <v>529</v>
      </c>
      <c r="D219" s="271"/>
      <c r="E219" s="198" t="s">
        <v>66</v>
      </c>
      <c r="F219" s="199" t="s">
        <v>67</v>
      </c>
      <c r="G219" s="199" t="s">
        <v>530</v>
      </c>
    </row>
    <row r="220" spans="1:7" ht="24.9" customHeight="1">
      <c r="A220" s="284"/>
      <c r="B220" s="6" t="s">
        <v>531</v>
      </c>
      <c r="C220" s="309" t="s">
        <v>532</v>
      </c>
      <c r="D220" s="310"/>
      <c r="E220" s="198" t="s">
        <v>49</v>
      </c>
      <c r="F220" s="198"/>
      <c r="G220" s="212" t="s">
        <v>533</v>
      </c>
    </row>
    <row r="221" spans="1:7" ht="12.9" customHeight="1">
      <c r="A221" s="284"/>
      <c r="B221" s="244" t="s">
        <v>534</v>
      </c>
      <c r="C221" s="250" t="s">
        <v>535</v>
      </c>
      <c r="D221" s="251"/>
      <c r="E221" s="198" t="s">
        <v>66</v>
      </c>
      <c r="F221" s="199" t="s">
        <v>67</v>
      </c>
      <c r="G221" s="199" t="s">
        <v>536</v>
      </c>
    </row>
    <row r="222" spans="1:7">
      <c r="A222" s="284"/>
      <c r="B222" s="243"/>
      <c r="C222" s="252" t="s">
        <v>537</v>
      </c>
      <c r="D222" s="261"/>
      <c r="E222" s="198" t="s">
        <v>49</v>
      </c>
      <c r="F222" s="198"/>
      <c r="G222" s="199" t="s">
        <v>538</v>
      </c>
    </row>
    <row r="223" spans="1:7">
      <c r="A223" s="284"/>
      <c r="B223" s="243"/>
      <c r="C223" s="252" t="s">
        <v>539</v>
      </c>
      <c r="D223" s="261"/>
      <c r="E223" s="198" t="s">
        <v>49</v>
      </c>
      <c r="F223" s="198"/>
      <c r="G223" s="199" t="s">
        <v>540</v>
      </c>
    </row>
    <row r="224" spans="1:7" ht="41.4">
      <c r="A224" s="284"/>
      <c r="B224" s="243"/>
      <c r="C224" s="254" t="s">
        <v>541</v>
      </c>
      <c r="D224" s="269"/>
      <c r="E224" s="198" t="s">
        <v>66</v>
      </c>
      <c r="F224" s="199" t="s">
        <v>67</v>
      </c>
      <c r="G224" s="199" t="s">
        <v>542</v>
      </c>
    </row>
    <row r="225" spans="1:7" ht="12.9" customHeight="1">
      <c r="A225" s="284"/>
      <c r="B225" s="243" t="s">
        <v>543</v>
      </c>
      <c r="C225" s="246" t="s">
        <v>544</v>
      </c>
      <c r="D225" s="247"/>
      <c r="E225" s="198" t="s">
        <v>49</v>
      </c>
      <c r="F225" s="198"/>
      <c r="G225" s="199" t="s">
        <v>545</v>
      </c>
    </row>
    <row r="226" spans="1:7" ht="29.1" customHeight="1">
      <c r="A226" s="284"/>
      <c r="B226" s="243"/>
      <c r="C226" s="305" t="s">
        <v>546</v>
      </c>
      <c r="D226" s="306"/>
      <c r="E226" s="198" t="s">
        <v>49</v>
      </c>
      <c r="F226" s="198"/>
      <c r="G226" s="199" t="s">
        <v>547</v>
      </c>
    </row>
    <row r="227" spans="1:7" ht="54.9" customHeight="1">
      <c r="A227" s="284"/>
      <c r="B227" s="243"/>
      <c r="C227" s="252" t="s">
        <v>548</v>
      </c>
      <c r="D227" s="261"/>
      <c r="E227" s="198" t="s">
        <v>49</v>
      </c>
      <c r="F227" s="198"/>
      <c r="G227" s="199" t="s">
        <v>549</v>
      </c>
    </row>
    <row r="228" spans="1:7">
      <c r="A228" s="284"/>
      <c r="B228" s="326"/>
      <c r="C228" s="248" t="s">
        <v>550</v>
      </c>
      <c r="D228" s="260"/>
      <c r="E228" s="198" t="s">
        <v>49</v>
      </c>
      <c r="F228" s="198"/>
      <c r="G228" s="199" t="s">
        <v>551</v>
      </c>
    </row>
    <row r="229" spans="1:7" ht="66" customHeight="1">
      <c r="A229" s="284"/>
      <c r="B229" s="6" t="s">
        <v>552</v>
      </c>
      <c r="C229" s="270" t="s">
        <v>553</v>
      </c>
      <c r="D229" s="271"/>
      <c r="E229" s="198" t="s">
        <v>66</v>
      </c>
      <c r="F229" s="199" t="s">
        <v>67</v>
      </c>
      <c r="G229" s="199" t="s">
        <v>554</v>
      </c>
    </row>
    <row r="230" spans="1:7" ht="44.1" customHeight="1">
      <c r="A230" s="284"/>
      <c r="B230" s="243" t="s">
        <v>555</v>
      </c>
      <c r="C230" s="336" t="s">
        <v>556</v>
      </c>
      <c r="D230" s="337"/>
      <c r="E230" s="198" t="s">
        <v>66</v>
      </c>
      <c r="F230" s="199" t="s">
        <v>67</v>
      </c>
      <c r="G230" s="199" t="s">
        <v>557</v>
      </c>
    </row>
    <row r="231" spans="1:7" ht="44.1" customHeight="1">
      <c r="A231" s="284"/>
      <c r="B231" s="316"/>
      <c r="C231" s="248" t="s">
        <v>558</v>
      </c>
      <c r="D231" s="249"/>
      <c r="E231" s="198" t="s">
        <v>66</v>
      </c>
      <c r="F231" s="199" t="s">
        <v>67</v>
      </c>
      <c r="G231" s="199" t="s">
        <v>559</v>
      </c>
    </row>
    <row r="232" spans="1:7" ht="26.1" customHeight="1">
      <c r="A232" s="284"/>
      <c r="B232" s="6" t="s">
        <v>560</v>
      </c>
      <c r="C232" s="311" t="s">
        <v>561</v>
      </c>
      <c r="D232" s="312"/>
      <c r="E232" s="198" t="s">
        <v>49</v>
      </c>
      <c r="F232" s="198"/>
      <c r="G232" s="212" t="s">
        <v>562</v>
      </c>
    </row>
    <row r="233" spans="1:7" ht="48.6" customHeight="1" thickBot="1">
      <c r="A233" s="285"/>
      <c r="B233" s="9" t="s">
        <v>563</v>
      </c>
      <c r="C233" s="272" t="s">
        <v>564</v>
      </c>
      <c r="D233" s="273"/>
      <c r="E233" s="200" t="s">
        <v>49</v>
      </c>
      <c r="F233" s="200"/>
      <c r="G233" s="201" t="s">
        <v>565</v>
      </c>
    </row>
    <row r="234" spans="1:7" ht="15" thickBot="1">
      <c r="C234" s="30"/>
      <c r="D234" s="30"/>
    </row>
    <row r="235" spans="1:7" s="39" customFormat="1" ht="16.2" thickBot="1">
      <c r="A235" s="313" t="s">
        <v>566</v>
      </c>
      <c r="B235" s="314"/>
      <c r="C235" s="314"/>
      <c r="D235" s="314"/>
      <c r="E235" s="314">
        <v>0</v>
      </c>
      <c r="F235" s="314"/>
      <c r="G235" s="315"/>
    </row>
    <row r="236" spans="1:7" ht="26.4" customHeight="1">
      <c r="A236" s="283" t="s">
        <v>567</v>
      </c>
      <c r="B236" s="339" t="s">
        <v>568</v>
      </c>
      <c r="C236" s="277" t="s">
        <v>569</v>
      </c>
      <c r="D236" s="278"/>
      <c r="E236" s="196" t="s">
        <v>66</v>
      </c>
      <c r="F236" s="197" t="s">
        <v>67</v>
      </c>
      <c r="G236" s="197" t="s">
        <v>570</v>
      </c>
    </row>
    <row r="237" spans="1:7">
      <c r="A237" s="284"/>
      <c r="B237" s="292"/>
      <c r="C237" s="248" t="s">
        <v>571</v>
      </c>
      <c r="D237" s="260"/>
      <c r="E237" s="198" t="s">
        <v>66</v>
      </c>
      <c r="F237" s="199" t="s">
        <v>67</v>
      </c>
      <c r="G237" s="199" t="s">
        <v>572</v>
      </c>
    </row>
    <row r="238" spans="1:7" ht="27.6">
      <c r="A238" s="284"/>
      <c r="B238" s="292" t="s">
        <v>573</v>
      </c>
      <c r="C238" s="246" t="s">
        <v>574</v>
      </c>
      <c r="D238" s="247"/>
      <c r="E238" s="198" t="s">
        <v>49</v>
      </c>
      <c r="F238" s="198"/>
      <c r="G238" s="199" t="s">
        <v>575</v>
      </c>
    </row>
    <row r="239" spans="1:7" ht="27.6">
      <c r="A239" s="284"/>
      <c r="B239" s="292"/>
      <c r="C239" s="252" t="s">
        <v>576</v>
      </c>
      <c r="D239" s="261"/>
      <c r="E239" s="198" t="s">
        <v>49</v>
      </c>
      <c r="F239" s="198"/>
      <c r="G239" s="199" t="s">
        <v>577</v>
      </c>
    </row>
    <row r="240" spans="1:7">
      <c r="A240" s="284"/>
      <c r="B240" s="292"/>
      <c r="C240" s="252" t="s">
        <v>578</v>
      </c>
      <c r="D240" s="261"/>
      <c r="E240" s="198" t="s">
        <v>66</v>
      </c>
      <c r="F240" s="199" t="s">
        <v>67</v>
      </c>
      <c r="G240" s="199" t="s">
        <v>572</v>
      </c>
    </row>
    <row r="241" spans="1:7">
      <c r="A241" s="284"/>
      <c r="B241" s="292"/>
      <c r="C241" s="252" t="s">
        <v>579</v>
      </c>
      <c r="D241" s="261"/>
      <c r="E241" s="198" t="s">
        <v>49</v>
      </c>
      <c r="F241" s="198"/>
      <c r="G241" s="199" t="s">
        <v>580</v>
      </c>
    </row>
    <row r="242" spans="1:7">
      <c r="A242" s="284"/>
      <c r="B242" s="292"/>
      <c r="C242" s="252" t="s">
        <v>581</v>
      </c>
      <c r="D242" s="261"/>
      <c r="E242" s="198" t="s">
        <v>49</v>
      </c>
      <c r="F242" s="198"/>
      <c r="G242" s="199" t="s">
        <v>580</v>
      </c>
    </row>
    <row r="243" spans="1:7" ht="41.4">
      <c r="A243" s="284"/>
      <c r="B243" s="292"/>
      <c r="C243" s="252" t="s">
        <v>582</v>
      </c>
      <c r="D243" s="261"/>
      <c r="E243" s="198" t="s">
        <v>49</v>
      </c>
      <c r="F243" s="198"/>
      <c r="G243" s="199" t="s">
        <v>583</v>
      </c>
    </row>
    <row r="244" spans="1:7">
      <c r="A244" s="284"/>
      <c r="B244" s="290"/>
      <c r="C244" s="248" t="s">
        <v>584</v>
      </c>
      <c r="D244" s="260"/>
      <c r="E244" s="198" t="s">
        <v>66</v>
      </c>
      <c r="F244" s="199" t="s">
        <v>67</v>
      </c>
      <c r="G244" s="199" t="s">
        <v>585</v>
      </c>
    </row>
    <row r="245" spans="1:7">
      <c r="A245" s="284"/>
      <c r="B245" s="292" t="s">
        <v>586</v>
      </c>
      <c r="C245" s="246" t="s">
        <v>587</v>
      </c>
      <c r="D245" s="247"/>
      <c r="E245" s="198" t="s">
        <v>49</v>
      </c>
      <c r="F245" s="198"/>
      <c r="G245" s="199" t="s">
        <v>588</v>
      </c>
    </row>
    <row r="246" spans="1:7">
      <c r="A246" s="284"/>
      <c r="B246" s="290"/>
      <c r="C246" s="248" t="s">
        <v>589</v>
      </c>
      <c r="D246" s="260"/>
      <c r="E246" s="198" t="s">
        <v>49</v>
      </c>
      <c r="F246" s="198"/>
      <c r="G246" s="199" t="s">
        <v>590</v>
      </c>
    </row>
    <row r="247" spans="1:7">
      <c r="A247" s="284"/>
      <c r="B247" s="292" t="s">
        <v>591</v>
      </c>
      <c r="C247" s="247" t="s">
        <v>592</v>
      </c>
      <c r="D247" s="247"/>
      <c r="E247" s="198" t="s">
        <v>49</v>
      </c>
      <c r="F247" s="198"/>
      <c r="G247" s="199" t="s">
        <v>593</v>
      </c>
    </row>
    <row r="248" spans="1:7">
      <c r="A248" s="284"/>
      <c r="B248" s="292"/>
      <c r="C248" s="261" t="s">
        <v>594</v>
      </c>
      <c r="D248" s="261"/>
      <c r="E248" s="198" t="s">
        <v>49</v>
      </c>
      <c r="F248" s="198"/>
      <c r="G248" s="199" t="s">
        <v>595</v>
      </c>
    </row>
    <row r="249" spans="1:7">
      <c r="A249" s="284"/>
      <c r="B249" s="290"/>
      <c r="C249" s="260" t="s">
        <v>596</v>
      </c>
      <c r="D249" s="260"/>
      <c r="E249" s="198" t="s">
        <v>49</v>
      </c>
      <c r="F249" s="198"/>
      <c r="G249" s="199" t="s">
        <v>597</v>
      </c>
    </row>
    <row r="250" spans="1:7">
      <c r="A250" s="284"/>
      <c r="B250" s="338" t="s">
        <v>598</v>
      </c>
      <c r="C250" s="246" t="s">
        <v>599</v>
      </c>
      <c r="D250" s="247"/>
      <c r="E250" s="198" t="s">
        <v>49</v>
      </c>
      <c r="F250" s="198"/>
      <c r="G250" s="199" t="s">
        <v>600</v>
      </c>
    </row>
    <row r="251" spans="1:7">
      <c r="A251" s="284"/>
      <c r="B251" s="292"/>
      <c r="C251" s="252" t="s">
        <v>601</v>
      </c>
      <c r="D251" s="261"/>
      <c r="E251" s="198" t="s">
        <v>66</v>
      </c>
      <c r="F251" s="199" t="s">
        <v>67</v>
      </c>
      <c r="G251" s="199" t="s">
        <v>602</v>
      </c>
    </row>
    <row r="252" spans="1:7">
      <c r="A252" s="284"/>
      <c r="B252" s="292"/>
      <c r="C252" s="248" t="s">
        <v>603</v>
      </c>
      <c r="D252" s="260"/>
      <c r="E252" s="198" t="s">
        <v>49</v>
      </c>
      <c r="F252" s="198"/>
      <c r="G252" s="199" t="s">
        <v>600</v>
      </c>
    </row>
    <row r="253" spans="1:7">
      <c r="A253" s="284"/>
      <c r="B253" s="292" t="s">
        <v>604</v>
      </c>
      <c r="C253" s="246" t="s">
        <v>605</v>
      </c>
      <c r="D253" s="247"/>
      <c r="E253" s="198" t="s">
        <v>66</v>
      </c>
      <c r="F253" s="199" t="s">
        <v>67</v>
      </c>
      <c r="G253" s="199" t="s">
        <v>606</v>
      </c>
    </row>
    <row r="254" spans="1:7">
      <c r="A254" s="284"/>
      <c r="B254" s="290"/>
      <c r="C254" s="248" t="s">
        <v>607</v>
      </c>
      <c r="D254" s="260"/>
      <c r="E254" s="198" t="s">
        <v>66</v>
      </c>
      <c r="F254" s="199" t="s">
        <v>67</v>
      </c>
      <c r="G254" s="199" t="s">
        <v>606</v>
      </c>
    </row>
    <row r="255" spans="1:7">
      <c r="A255" s="284"/>
      <c r="B255" s="292" t="s">
        <v>608</v>
      </c>
      <c r="C255" s="246" t="s">
        <v>609</v>
      </c>
      <c r="D255" s="247"/>
      <c r="E255" s="198" t="s">
        <v>49</v>
      </c>
      <c r="F255" s="198"/>
      <c r="G255" s="199" t="s">
        <v>610</v>
      </c>
    </row>
    <row r="256" spans="1:7">
      <c r="A256" s="284"/>
      <c r="B256" s="292"/>
      <c r="C256" s="252" t="s">
        <v>611</v>
      </c>
      <c r="D256" s="261"/>
      <c r="E256" s="198" t="s">
        <v>49</v>
      </c>
      <c r="F256" s="198"/>
      <c r="G256" s="199" t="s">
        <v>612</v>
      </c>
    </row>
    <row r="257" spans="1:7" ht="27.6">
      <c r="A257" s="284"/>
      <c r="B257" s="292"/>
      <c r="C257" s="252" t="s">
        <v>541</v>
      </c>
      <c r="D257" s="261"/>
      <c r="E257" s="198" t="s">
        <v>49</v>
      </c>
      <c r="F257" s="198"/>
      <c r="G257" s="199" t="s">
        <v>613</v>
      </c>
    </row>
    <row r="258" spans="1:7">
      <c r="A258" s="284"/>
      <c r="B258" s="292"/>
      <c r="C258" s="252" t="s">
        <v>614</v>
      </c>
      <c r="D258" s="261"/>
      <c r="E258" s="198" t="s">
        <v>49</v>
      </c>
      <c r="F258" s="198"/>
      <c r="G258" s="199" t="s">
        <v>610</v>
      </c>
    </row>
    <row r="259" spans="1:7">
      <c r="A259" s="284"/>
      <c r="B259" s="290"/>
      <c r="C259" s="248" t="s">
        <v>615</v>
      </c>
      <c r="D259" s="260"/>
      <c r="E259" s="198" t="s">
        <v>49</v>
      </c>
      <c r="F259" s="198"/>
      <c r="G259" s="199" t="s">
        <v>610</v>
      </c>
    </row>
    <row r="260" spans="1:7">
      <c r="A260" s="284"/>
      <c r="B260" s="338" t="s">
        <v>616</v>
      </c>
      <c r="C260" s="250" t="s">
        <v>617</v>
      </c>
      <c r="D260" s="251"/>
      <c r="E260" s="198" t="s">
        <v>49</v>
      </c>
      <c r="F260" s="198"/>
      <c r="G260" s="199" t="s">
        <v>618</v>
      </c>
    </row>
    <row r="261" spans="1:7">
      <c r="A261" s="284"/>
      <c r="B261" s="290"/>
      <c r="C261" s="248" t="s">
        <v>619</v>
      </c>
      <c r="D261" s="260"/>
      <c r="E261" s="198" t="s">
        <v>49</v>
      </c>
      <c r="F261" s="198"/>
      <c r="G261" s="199" t="s">
        <v>620</v>
      </c>
    </row>
    <row r="262" spans="1:7">
      <c r="A262" s="284"/>
      <c r="B262" s="338" t="s">
        <v>621</v>
      </c>
      <c r="C262" s="246" t="s">
        <v>622</v>
      </c>
      <c r="D262" s="247"/>
      <c r="E262" s="198" t="s">
        <v>49</v>
      </c>
      <c r="F262" s="198"/>
      <c r="G262" s="199" t="s">
        <v>623</v>
      </c>
    </row>
    <row r="263" spans="1:7">
      <c r="A263" s="284"/>
      <c r="B263" s="292"/>
      <c r="C263" s="248" t="s">
        <v>624</v>
      </c>
      <c r="D263" s="260"/>
      <c r="E263" s="198" t="s">
        <v>49</v>
      </c>
      <c r="F263" s="198"/>
      <c r="G263" s="199" t="s">
        <v>612</v>
      </c>
    </row>
    <row r="264" spans="1:7">
      <c r="A264" s="284"/>
      <c r="B264" s="292" t="s">
        <v>625</v>
      </c>
      <c r="C264" s="246" t="s">
        <v>626</v>
      </c>
      <c r="D264" s="247"/>
      <c r="E264" s="198" t="s">
        <v>49</v>
      </c>
      <c r="F264" s="198"/>
      <c r="G264" s="199" t="s">
        <v>627</v>
      </c>
    </row>
    <row r="265" spans="1:7">
      <c r="A265" s="284"/>
      <c r="B265" s="290"/>
      <c r="C265" s="248" t="s">
        <v>614</v>
      </c>
      <c r="D265" s="260"/>
      <c r="E265" s="198" t="s">
        <v>49</v>
      </c>
      <c r="F265" s="198"/>
      <c r="G265" s="199" t="s">
        <v>618</v>
      </c>
    </row>
    <row r="266" spans="1:7">
      <c r="A266" s="284"/>
      <c r="B266" s="338" t="s">
        <v>628</v>
      </c>
      <c r="C266" s="246" t="s">
        <v>629</v>
      </c>
      <c r="D266" s="247"/>
      <c r="E266" s="198" t="s">
        <v>49</v>
      </c>
      <c r="F266" s="198"/>
      <c r="G266" s="199" t="s">
        <v>630</v>
      </c>
    </row>
    <row r="267" spans="1:7">
      <c r="A267" s="284"/>
      <c r="B267" s="292"/>
      <c r="C267" s="248" t="s">
        <v>631</v>
      </c>
      <c r="D267" s="260"/>
      <c r="E267" s="198" t="s">
        <v>49</v>
      </c>
      <c r="F267" s="198"/>
      <c r="G267" s="199" t="s">
        <v>632</v>
      </c>
    </row>
    <row r="268" spans="1:7">
      <c r="A268" s="284"/>
      <c r="B268" s="292" t="s">
        <v>633</v>
      </c>
      <c r="C268" s="246" t="s">
        <v>634</v>
      </c>
      <c r="D268" s="247"/>
      <c r="E268" s="198" t="s">
        <v>49</v>
      </c>
      <c r="F268" s="198"/>
      <c r="G268" s="199" t="s">
        <v>618</v>
      </c>
    </row>
    <row r="269" spans="1:7">
      <c r="A269" s="284"/>
      <c r="B269" s="290"/>
      <c r="C269" s="248" t="s">
        <v>635</v>
      </c>
      <c r="D269" s="260"/>
      <c r="E269" s="198" t="s">
        <v>49</v>
      </c>
      <c r="F269" s="198"/>
      <c r="G269" s="199" t="s">
        <v>636</v>
      </c>
    </row>
    <row r="270" spans="1:7" ht="41.4">
      <c r="A270" s="284"/>
      <c r="B270" s="338" t="s">
        <v>637</v>
      </c>
      <c r="C270" s="246" t="s">
        <v>638</v>
      </c>
      <c r="D270" s="247"/>
      <c r="E270" s="198" t="s">
        <v>49</v>
      </c>
      <c r="F270" s="198"/>
      <c r="G270" s="199" t="s">
        <v>639</v>
      </c>
    </row>
    <row r="271" spans="1:7" ht="27.6">
      <c r="A271" s="284"/>
      <c r="B271" s="292"/>
      <c r="C271" s="252" t="s">
        <v>640</v>
      </c>
      <c r="D271" s="261"/>
      <c r="E271" s="198" t="s">
        <v>237</v>
      </c>
      <c r="F271" s="203" t="s">
        <v>238</v>
      </c>
      <c r="G271" s="199" t="s">
        <v>641</v>
      </c>
    </row>
    <row r="272" spans="1:7" ht="27.6">
      <c r="A272" s="284"/>
      <c r="B272" s="292"/>
      <c r="C272" s="248" t="s">
        <v>642</v>
      </c>
      <c r="D272" s="260"/>
      <c r="E272" s="198" t="s">
        <v>49</v>
      </c>
      <c r="F272" s="198"/>
      <c r="G272" s="199" t="s">
        <v>643</v>
      </c>
    </row>
    <row r="273" spans="1:7">
      <c r="A273" s="284"/>
      <c r="B273" s="292" t="s">
        <v>644</v>
      </c>
      <c r="C273" s="246" t="s">
        <v>645</v>
      </c>
      <c r="D273" s="247"/>
      <c r="E273" s="198" t="s">
        <v>49</v>
      </c>
      <c r="F273" s="198"/>
      <c r="G273" s="199" t="s">
        <v>646</v>
      </c>
    </row>
    <row r="274" spans="1:7">
      <c r="A274" s="284"/>
      <c r="B274" s="292"/>
      <c r="C274" s="252" t="s">
        <v>647</v>
      </c>
      <c r="D274" s="261"/>
      <c r="E274" s="198" t="s">
        <v>49</v>
      </c>
      <c r="F274" s="198"/>
      <c r="G274" s="199" t="s">
        <v>646</v>
      </c>
    </row>
    <row r="275" spans="1:7" ht="27.6">
      <c r="A275" s="284"/>
      <c r="B275" s="292"/>
      <c r="C275" s="252" t="s">
        <v>648</v>
      </c>
      <c r="D275" s="261"/>
      <c r="E275" s="198" t="s">
        <v>49</v>
      </c>
      <c r="F275" s="198"/>
      <c r="G275" s="199" t="s">
        <v>649</v>
      </c>
    </row>
    <row r="276" spans="1:7" ht="27.6">
      <c r="A276" s="284"/>
      <c r="B276" s="290"/>
      <c r="C276" s="248" t="s">
        <v>650</v>
      </c>
      <c r="D276" s="260"/>
      <c r="E276" s="198" t="s">
        <v>49</v>
      </c>
      <c r="F276" s="198"/>
      <c r="G276" s="199" t="s">
        <v>649</v>
      </c>
    </row>
    <row r="277" spans="1:7">
      <c r="A277" s="284"/>
      <c r="B277" s="338" t="s">
        <v>651</v>
      </c>
      <c r="C277" s="246" t="s">
        <v>652</v>
      </c>
      <c r="D277" s="247"/>
      <c r="E277" s="198" t="s">
        <v>49</v>
      </c>
      <c r="F277" s="198"/>
      <c r="G277" s="199" t="s">
        <v>653</v>
      </c>
    </row>
    <row r="278" spans="1:7">
      <c r="A278" s="284"/>
      <c r="B278" s="292"/>
      <c r="C278" s="252" t="s">
        <v>654</v>
      </c>
      <c r="D278" s="261"/>
      <c r="E278" s="198" t="s">
        <v>66</v>
      </c>
      <c r="F278" s="199" t="s">
        <v>67</v>
      </c>
      <c r="G278" s="199" t="s">
        <v>585</v>
      </c>
    </row>
    <row r="279" spans="1:7">
      <c r="A279" s="284"/>
      <c r="B279" s="292"/>
      <c r="C279" s="248" t="s">
        <v>655</v>
      </c>
      <c r="D279" s="260"/>
      <c r="E279" s="198" t="s">
        <v>66</v>
      </c>
      <c r="F279" s="199" t="s">
        <v>67</v>
      </c>
      <c r="G279" s="199" t="s">
        <v>656</v>
      </c>
    </row>
    <row r="280" spans="1:7">
      <c r="A280" s="284"/>
      <c r="B280" s="292" t="s">
        <v>657</v>
      </c>
      <c r="C280" s="246" t="s">
        <v>658</v>
      </c>
      <c r="D280" s="247"/>
      <c r="E280" s="198" t="s">
        <v>66</v>
      </c>
      <c r="F280" s="199" t="s">
        <v>67</v>
      </c>
      <c r="G280" s="199" t="s">
        <v>585</v>
      </c>
    </row>
    <row r="281" spans="1:7">
      <c r="A281" s="284"/>
      <c r="B281" s="290"/>
      <c r="C281" s="248" t="s">
        <v>659</v>
      </c>
      <c r="D281" s="260"/>
      <c r="E281" s="198" t="s">
        <v>66</v>
      </c>
      <c r="F281" s="199" t="s">
        <v>67</v>
      </c>
      <c r="G281" s="199" t="s">
        <v>585</v>
      </c>
    </row>
    <row r="282" spans="1:7">
      <c r="A282" s="284"/>
      <c r="B282" s="338" t="s">
        <v>660</v>
      </c>
      <c r="C282" s="246" t="s">
        <v>661</v>
      </c>
      <c r="D282" s="247"/>
      <c r="E282" s="198" t="s">
        <v>66</v>
      </c>
      <c r="F282" s="199" t="s">
        <v>67</v>
      </c>
      <c r="G282" s="199" t="s">
        <v>585</v>
      </c>
    </row>
    <row r="283" spans="1:7">
      <c r="A283" s="284"/>
      <c r="B283" s="292"/>
      <c r="C283" s="252" t="s">
        <v>662</v>
      </c>
      <c r="D283" s="261"/>
      <c r="E283" s="198" t="s">
        <v>66</v>
      </c>
      <c r="F283" s="199" t="s">
        <v>67</v>
      </c>
      <c r="G283" s="199" t="s">
        <v>612</v>
      </c>
    </row>
    <row r="284" spans="1:7">
      <c r="A284" s="284"/>
      <c r="B284" s="292"/>
      <c r="C284" s="248" t="s">
        <v>663</v>
      </c>
      <c r="D284" s="260"/>
      <c r="E284" s="198" t="s">
        <v>66</v>
      </c>
      <c r="F284" s="199" t="s">
        <v>67</v>
      </c>
      <c r="G284" s="199" t="s">
        <v>612</v>
      </c>
    </row>
    <row r="285" spans="1:7" ht="27.6">
      <c r="A285" s="284"/>
      <c r="B285" s="15" t="s">
        <v>664</v>
      </c>
      <c r="C285" s="270" t="s">
        <v>665</v>
      </c>
      <c r="D285" s="271"/>
      <c r="E285" s="198" t="s">
        <v>49</v>
      </c>
      <c r="F285" s="198"/>
      <c r="G285" s="199" t="s">
        <v>666</v>
      </c>
    </row>
    <row r="286" spans="1:7">
      <c r="A286" s="284"/>
      <c r="B286" s="338" t="s">
        <v>667</v>
      </c>
      <c r="C286" s="307" t="s">
        <v>668</v>
      </c>
      <c r="D286" s="308"/>
      <c r="E286" s="198" t="s">
        <v>66</v>
      </c>
      <c r="F286" s="199" t="s">
        <v>67</v>
      </c>
      <c r="G286" s="212" t="s">
        <v>669</v>
      </c>
    </row>
    <row r="287" spans="1:7">
      <c r="A287" s="284"/>
      <c r="B287" s="292"/>
      <c r="C287" s="303" t="s">
        <v>670</v>
      </c>
      <c r="D287" s="304"/>
      <c r="E287" s="198" t="s">
        <v>66</v>
      </c>
      <c r="F287" s="199" t="s">
        <v>67</v>
      </c>
      <c r="G287" s="212" t="s">
        <v>671</v>
      </c>
    </row>
    <row r="288" spans="1:7">
      <c r="A288" s="284"/>
      <c r="B288" s="292" t="s">
        <v>672</v>
      </c>
      <c r="C288" s="246" t="s">
        <v>673</v>
      </c>
      <c r="D288" s="247"/>
      <c r="E288" s="198" t="s">
        <v>49</v>
      </c>
      <c r="F288" s="198"/>
      <c r="G288" s="199" t="s">
        <v>674</v>
      </c>
    </row>
    <row r="289" spans="1:7">
      <c r="A289" s="284"/>
      <c r="B289" s="292"/>
      <c r="C289" s="252" t="s">
        <v>675</v>
      </c>
      <c r="D289" s="261"/>
      <c r="E289" s="198" t="s">
        <v>66</v>
      </c>
      <c r="F289" s="199" t="s">
        <v>67</v>
      </c>
      <c r="G289" s="199" t="s">
        <v>676</v>
      </c>
    </row>
    <row r="290" spans="1:7">
      <c r="A290" s="284"/>
      <c r="B290" s="290"/>
      <c r="C290" s="248" t="s">
        <v>677</v>
      </c>
      <c r="D290" s="260"/>
      <c r="E290" s="198" t="s">
        <v>49</v>
      </c>
      <c r="F290" s="198"/>
      <c r="G290" s="199" t="s">
        <v>618</v>
      </c>
    </row>
    <row r="291" spans="1:7" ht="27.6">
      <c r="A291" s="284"/>
      <c r="B291" s="338" t="s">
        <v>678</v>
      </c>
      <c r="C291" s="246" t="s">
        <v>679</v>
      </c>
      <c r="D291" s="247"/>
      <c r="E291" s="198" t="s">
        <v>49</v>
      </c>
      <c r="F291" s="198"/>
      <c r="G291" s="199" t="s">
        <v>680</v>
      </c>
    </row>
    <row r="292" spans="1:7" ht="27.6">
      <c r="A292" s="284"/>
      <c r="B292" s="292"/>
      <c r="C292" s="248" t="s">
        <v>681</v>
      </c>
      <c r="D292" s="260"/>
      <c r="E292" s="198" t="s">
        <v>66</v>
      </c>
      <c r="F292" s="199" t="s">
        <v>67</v>
      </c>
      <c r="G292" s="199" t="s">
        <v>682</v>
      </c>
    </row>
    <row r="293" spans="1:7" ht="41.4">
      <c r="A293" s="284"/>
      <c r="B293" s="292" t="s">
        <v>683</v>
      </c>
      <c r="C293" s="307" t="s">
        <v>684</v>
      </c>
      <c r="D293" s="308"/>
      <c r="E293" s="198" t="s">
        <v>49</v>
      </c>
      <c r="F293" s="198"/>
      <c r="G293" s="212" t="s">
        <v>685</v>
      </c>
    </row>
    <row r="294" spans="1:7" ht="41.4">
      <c r="A294" s="284"/>
      <c r="B294" s="290"/>
      <c r="C294" s="303" t="s">
        <v>686</v>
      </c>
      <c r="D294" s="304"/>
      <c r="E294" s="198" t="s">
        <v>49</v>
      </c>
      <c r="F294" s="198"/>
      <c r="G294" s="212" t="s">
        <v>685</v>
      </c>
    </row>
    <row r="295" spans="1:7" ht="14.4" customHeight="1">
      <c r="A295" s="284"/>
      <c r="B295" s="338" t="s">
        <v>687</v>
      </c>
      <c r="C295" s="307" t="s">
        <v>688</v>
      </c>
      <c r="D295" s="308"/>
      <c r="E295" s="198" t="s">
        <v>49</v>
      </c>
      <c r="F295" s="198"/>
      <c r="G295" s="212" t="s">
        <v>689</v>
      </c>
    </row>
    <row r="296" spans="1:7" ht="14.4" customHeight="1">
      <c r="A296" s="284"/>
      <c r="B296" s="290"/>
      <c r="C296" s="303" t="s">
        <v>690</v>
      </c>
      <c r="D296" s="304"/>
      <c r="E296" s="198" t="s">
        <v>66</v>
      </c>
      <c r="F296" s="199" t="s">
        <v>67</v>
      </c>
      <c r="G296" s="212" t="s">
        <v>691</v>
      </c>
    </row>
    <row r="297" spans="1:7" ht="15" thickBot="1">
      <c r="A297" s="285"/>
      <c r="B297" s="18" t="s">
        <v>692</v>
      </c>
      <c r="C297" s="272" t="s">
        <v>693</v>
      </c>
      <c r="D297" s="273"/>
      <c r="E297" s="200" t="s">
        <v>49</v>
      </c>
      <c r="F297" s="200"/>
      <c r="G297" s="201" t="s">
        <v>694</v>
      </c>
    </row>
    <row r="298" spans="1:7" ht="15" thickBot="1">
      <c r="C298" s="30"/>
      <c r="D298" s="30"/>
    </row>
    <row r="299" spans="1:7" s="39" customFormat="1" ht="16.2" thickBot="1">
      <c r="A299" s="313" t="s">
        <v>695</v>
      </c>
      <c r="B299" s="314"/>
      <c r="C299" s="314"/>
      <c r="D299" s="314"/>
      <c r="E299" s="314">
        <v>0</v>
      </c>
      <c r="F299" s="314"/>
      <c r="G299" s="315"/>
    </row>
    <row r="300" spans="1:7">
      <c r="A300" s="341" t="s">
        <v>696</v>
      </c>
      <c r="B300" s="12" t="s">
        <v>697</v>
      </c>
      <c r="C300" s="321" t="s">
        <v>698</v>
      </c>
      <c r="D300" s="325"/>
      <c r="E300" s="196" t="s">
        <v>49</v>
      </c>
      <c r="F300" s="196"/>
      <c r="G300" s="197" t="s">
        <v>612</v>
      </c>
    </row>
    <row r="301" spans="1:7" ht="27.6">
      <c r="A301" s="342"/>
      <c r="B301" s="290" t="s">
        <v>699</v>
      </c>
      <c r="C301" s="250" t="s">
        <v>700</v>
      </c>
      <c r="D301" s="251"/>
      <c r="E301" s="198" t="s">
        <v>49</v>
      </c>
      <c r="F301" s="198"/>
      <c r="G301" s="199" t="s">
        <v>701</v>
      </c>
    </row>
    <row r="302" spans="1:7" ht="82.8">
      <c r="A302" s="342"/>
      <c r="B302" s="290"/>
      <c r="C302" s="252" t="s">
        <v>702</v>
      </c>
      <c r="D302" s="261"/>
      <c r="E302" s="198" t="s">
        <v>49</v>
      </c>
      <c r="F302" s="198"/>
      <c r="G302" s="199" t="s">
        <v>703</v>
      </c>
    </row>
    <row r="303" spans="1:7" ht="41.4">
      <c r="A303" s="342"/>
      <c r="B303" s="290"/>
      <c r="C303" s="252" t="s">
        <v>704</v>
      </c>
      <c r="D303" s="261"/>
      <c r="E303" s="198" t="s">
        <v>49</v>
      </c>
      <c r="F303" s="198"/>
      <c r="G303" s="199" t="s">
        <v>705</v>
      </c>
    </row>
    <row r="304" spans="1:7">
      <c r="A304" s="342"/>
      <c r="B304" s="290"/>
      <c r="C304" s="252" t="s">
        <v>706</v>
      </c>
      <c r="D304" s="261"/>
      <c r="E304" s="198" t="s">
        <v>49</v>
      </c>
      <c r="F304" s="198"/>
      <c r="G304" s="199" t="s">
        <v>707</v>
      </c>
    </row>
    <row r="305" spans="1:7" ht="55.2">
      <c r="A305" s="342"/>
      <c r="B305" s="290"/>
      <c r="C305" s="252" t="s">
        <v>708</v>
      </c>
      <c r="D305" s="261"/>
      <c r="E305" s="198" t="s">
        <v>49</v>
      </c>
      <c r="F305" s="198"/>
      <c r="G305" s="199" t="s">
        <v>709</v>
      </c>
    </row>
    <row r="306" spans="1:7" ht="24.6" customHeight="1">
      <c r="A306" s="342"/>
      <c r="B306" s="290"/>
      <c r="C306" s="252" t="s">
        <v>710</v>
      </c>
      <c r="D306" s="261"/>
      <c r="E306" s="198" t="s">
        <v>49</v>
      </c>
      <c r="F306" s="198"/>
      <c r="G306" s="199" t="s">
        <v>612</v>
      </c>
    </row>
    <row r="307" spans="1:7" ht="27.6">
      <c r="A307" s="342"/>
      <c r="B307" s="290"/>
      <c r="C307" s="248" t="s">
        <v>711</v>
      </c>
      <c r="D307" s="260"/>
      <c r="E307" s="198" t="s">
        <v>66</v>
      </c>
      <c r="F307" s="199" t="s">
        <v>67</v>
      </c>
      <c r="G307" s="199" t="s">
        <v>712</v>
      </c>
    </row>
    <row r="308" spans="1:7" ht="69.900000000000006" customHeight="1">
      <c r="A308" s="342"/>
      <c r="B308" s="13" t="s">
        <v>713</v>
      </c>
      <c r="C308" s="270" t="s">
        <v>714</v>
      </c>
      <c r="D308" s="271"/>
      <c r="E308" s="198" t="s">
        <v>49</v>
      </c>
      <c r="F308" s="198"/>
      <c r="G308" s="199" t="s">
        <v>715</v>
      </c>
    </row>
    <row r="309" spans="1:7" ht="56.4" customHeight="1">
      <c r="A309" s="342"/>
      <c r="B309" s="15" t="s">
        <v>716</v>
      </c>
      <c r="C309" s="344" t="s">
        <v>717</v>
      </c>
      <c r="D309" s="345"/>
      <c r="E309" s="198" t="s">
        <v>49</v>
      </c>
      <c r="F309" s="198"/>
      <c r="G309" s="199" t="s">
        <v>718</v>
      </c>
    </row>
    <row r="310" spans="1:7" ht="27.6">
      <c r="A310" s="342"/>
      <c r="B310" s="291" t="s">
        <v>719</v>
      </c>
      <c r="C310" s="246" t="s">
        <v>720</v>
      </c>
      <c r="D310" s="247"/>
      <c r="E310" s="198" t="s">
        <v>49</v>
      </c>
      <c r="F310" s="198"/>
      <c r="G310" s="199" t="s">
        <v>721</v>
      </c>
    </row>
    <row r="311" spans="1:7">
      <c r="A311" s="342"/>
      <c r="B311" s="290"/>
      <c r="C311" s="252" t="s">
        <v>722</v>
      </c>
      <c r="D311" s="261"/>
      <c r="E311" s="198" t="s">
        <v>49</v>
      </c>
      <c r="F311" s="198"/>
      <c r="G311" s="199" t="s">
        <v>723</v>
      </c>
    </row>
    <row r="312" spans="1:7">
      <c r="A312" s="342"/>
      <c r="B312" s="292"/>
      <c r="C312" s="248" t="s">
        <v>724</v>
      </c>
      <c r="D312" s="260"/>
      <c r="E312" s="198" t="s">
        <v>49</v>
      </c>
      <c r="F312" s="198"/>
      <c r="G312" s="199" t="s">
        <v>723</v>
      </c>
    </row>
    <row r="313" spans="1:7" ht="82.8">
      <c r="A313" s="342"/>
      <c r="B313" s="290" t="s">
        <v>725</v>
      </c>
      <c r="C313" s="307" t="s">
        <v>726</v>
      </c>
      <c r="D313" s="308"/>
      <c r="E313" s="198" t="s">
        <v>49</v>
      </c>
      <c r="F313" s="198"/>
      <c r="G313" s="199" t="s">
        <v>727</v>
      </c>
    </row>
    <row r="314" spans="1:7">
      <c r="A314" s="342"/>
      <c r="B314" s="290"/>
      <c r="C314" s="305" t="s">
        <v>728</v>
      </c>
      <c r="D314" s="306"/>
      <c r="E314" s="198" t="s">
        <v>49</v>
      </c>
      <c r="F314" s="198"/>
      <c r="G314" s="212"/>
    </row>
    <row r="315" spans="1:7">
      <c r="A315" s="342"/>
      <c r="B315" s="290"/>
      <c r="C315" s="305" t="s">
        <v>729</v>
      </c>
      <c r="D315" s="306"/>
      <c r="E315" s="198" t="s">
        <v>49</v>
      </c>
      <c r="F315" s="198"/>
      <c r="G315" s="212"/>
    </row>
    <row r="316" spans="1:7" ht="41.4">
      <c r="A316" s="342"/>
      <c r="B316" s="290"/>
      <c r="C316" s="305" t="s">
        <v>730</v>
      </c>
      <c r="D316" s="306"/>
      <c r="E316" s="198" t="s">
        <v>731</v>
      </c>
      <c r="F316" s="198"/>
      <c r="G316" s="199" t="s">
        <v>732</v>
      </c>
    </row>
    <row r="317" spans="1:7" ht="41.4">
      <c r="A317" s="342"/>
      <c r="B317" s="290"/>
      <c r="C317" s="303" t="s">
        <v>733</v>
      </c>
      <c r="D317" s="304"/>
      <c r="E317" s="198" t="s">
        <v>731</v>
      </c>
      <c r="F317" s="198"/>
      <c r="G317" s="199" t="s">
        <v>732</v>
      </c>
    </row>
    <row r="318" spans="1:7" ht="23.1" customHeight="1">
      <c r="A318" s="342"/>
      <c r="B318" s="291" t="s">
        <v>734</v>
      </c>
      <c r="C318" s="307" t="s">
        <v>735</v>
      </c>
      <c r="D318" s="308"/>
      <c r="E318" s="198" t="s">
        <v>49</v>
      </c>
      <c r="F318" s="198"/>
      <c r="G318" s="199" t="s">
        <v>736</v>
      </c>
    </row>
    <row r="319" spans="1:7" ht="27.6">
      <c r="A319" s="342"/>
      <c r="B319" s="290"/>
      <c r="C319" s="305" t="s">
        <v>737</v>
      </c>
      <c r="D319" s="306"/>
      <c r="E319" s="198" t="s">
        <v>49</v>
      </c>
      <c r="F319" s="198"/>
      <c r="G319" s="199" t="s">
        <v>736</v>
      </c>
    </row>
    <row r="320" spans="1:7" ht="193.2">
      <c r="A320" s="342"/>
      <c r="B320" s="292"/>
      <c r="C320" s="303" t="s">
        <v>738</v>
      </c>
      <c r="D320" s="304"/>
      <c r="E320" s="198" t="s">
        <v>237</v>
      </c>
      <c r="F320" s="203" t="s">
        <v>238</v>
      </c>
      <c r="G320" s="199" t="s">
        <v>739</v>
      </c>
    </row>
    <row r="321" spans="1:7">
      <c r="A321" s="342"/>
      <c r="B321" s="290" t="s">
        <v>740</v>
      </c>
      <c r="C321" s="246" t="s">
        <v>741</v>
      </c>
      <c r="D321" s="247"/>
      <c r="E321" s="198" t="s">
        <v>49</v>
      </c>
      <c r="F321" s="198"/>
      <c r="G321" s="199" t="s">
        <v>742</v>
      </c>
    </row>
    <row r="322" spans="1:7">
      <c r="A322" s="342"/>
      <c r="B322" s="290"/>
      <c r="C322" s="252" t="s">
        <v>743</v>
      </c>
      <c r="D322" s="261"/>
      <c r="E322" s="198" t="s">
        <v>49</v>
      </c>
      <c r="F322" s="198"/>
      <c r="G322" s="199" t="s">
        <v>744</v>
      </c>
    </row>
    <row r="323" spans="1:7" ht="27.6">
      <c r="A323" s="342"/>
      <c r="B323" s="290"/>
      <c r="C323" s="252" t="s">
        <v>745</v>
      </c>
      <c r="D323" s="261"/>
      <c r="E323" s="198" t="s">
        <v>49</v>
      </c>
      <c r="F323" s="198"/>
      <c r="G323" s="199" t="s">
        <v>746</v>
      </c>
    </row>
    <row r="324" spans="1:7" ht="27.6">
      <c r="A324" s="342"/>
      <c r="B324" s="290"/>
      <c r="C324" s="252" t="s">
        <v>747</v>
      </c>
      <c r="D324" s="261"/>
      <c r="E324" s="198" t="s">
        <v>49</v>
      </c>
      <c r="F324" s="198"/>
      <c r="G324" s="199" t="s">
        <v>746</v>
      </c>
    </row>
    <row r="325" spans="1:7">
      <c r="A325" s="342"/>
      <c r="B325" s="290"/>
      <c r="C325" s="252" t="s">
        <v>748</v>
      </c>
      <c r="D325" s="261"/>
      <c r="E325" s="198" t="s">
        <v>49</v>
      </c>
      <c r="F325" s="198"/>
      <c r="G325" s="199" t="s">
        <v>749</v>
      </c>
    </row>
    <row r="326" spans="1:7" ht="41.4">
      <c r="A326" s="342"/>
      <c r="B326" s="290"/>
      <c r="C326" s="252" t="s">
        <v>750</v>
      </c>
      <c r="D326" s="261"/>
      <c r="E326" s="198" t="s">
        <v>49</v>
      </c>
      <c r="F326" s="198"/>
      <c r="G326" s="199" t="s">
        <v>751</v>
      </c>
    </row>
    <row r="327" spans="1:7">
      <c r="A327" s="342"/>
      <c r="B327" s="290"/>
      <c r="C327" s="252" t="s">
        <v>752</v>
      </c>
      <c r="D327" s="261"/>
      <c r="E327" s="198" t="s">
        <v>66</v>
      </c>
      <c r="F327" s="199" t="s">
        <v>67</v>
      </c>
      <c r="G327" s="199" t="s">
        <v>676</v>
      </c>
    </row>
    <row r="328" spans="1:7" ht="27.6">
      <c r="A328" s="342"/>
      <c r="B328" s="290"/>
      <c r="C328" s="248" t="s">
        <v>753</v>
      </c>
      <c r="D328" s="260"/>
      <c r="E328" s="198" t="s">
        <v>49</v>
      </c>
      <c r="F328" s="198"/>
      <c r="G328" s="199" t="s">
        <v>754</v>
      </c>
    </row>
    <row r="329" spans="1:7">
      <c r="A329" s="342"/>
      <c r="B329" s="291" t="s">
        <v>755</v>
      </c>
      <c r="C329" s="246" t="s">
        <v>756</v>
      </c>
      <c r="D329" s="247"/>
      <c r="E329" s="198" t="s">
        <v>49</v>
      </c>
      <c r="F329" s="198"/>
      <c r="G329" s="199" t="s">
        <v>757</v>
      </c>
    </row>
    <row r="330" spans="1:7" ht="15" thickBot="1">
      <c r="A330" s="343"/>
      <c r="B330" s="340"/>
      <c r="C330" s="297" t="s">
        <v>758</v>
      </c>
      <c r="D330" s="301"/>
      <c r="E330" s="200" t="s">
        <v>49</v>
      </c>
      <c r="F330" s="200"/>
      <c r="G330" s="201" t="s">
        <v>757</v>
      </c>
    </row>
    <row r="331" spans="1:7" ht="15" thickBot="1">
      <c r="C331" s="30"/>
      <c r="D331" s="30"/>
    </row>
    <row r="332" spans="1:7" s="39" customFormat="1" ht="16.2" thickBot="1">
      <c r="A332" s="313" t="s">
        <v>759</v>
      </c>
      <c r="B332" s="314"/>
      <c r="C332" s="314"/>
      <c r="D332" s="314"/>
      <c r="E332" s="314">
        <v>0</v>
      </c>
      <c r="F332" s="314"/>
      <c r="G332" s="315"/>
    </row>
    <row r="333" spans="1:7">
      <c r="A333" s="341" t="s">
        <v>760</v>
      </c>
      <c r="B333" s="357" t="s">
        <v>761</v>
      </c>
      <c r="C333" s="277" t="s">
        <v>762</v>
      </c>
      <c r="D333" s="302"/>
      <c r="E333" s="196" t="s">
        <v>49</v>
      </c>
      <c r="F333" s="196"/>
      <c r="G333" s="197" t="s">
        <v>757</v>
      </c>
    </row>
    <row r="334" spans="1:7" ht="27.6">
      <c r="A334" s="342"/>
      <c r="B334" s="292"/>
      <c r="C334" s="248" t="s">
        <v>763</v>
      </c>
      <c r="D334" s="249"/>
      <c r="E334" s="198" t="s">
        <v>49</v>
      </c>
      <c r="F334" s="198"/>
      <c r="G334" s="199" t="s">
        <v>764</v>
      </c>
    </row>
    <row r="335" spans="1:7" ht="27.6">
      <c r="A335" s="342"/>
      <c r="B335" s="290" t="s">
        <v>765</v>
      </c>
      <c r="C335" s="246" t="s">
        <v>766</v>
      </c>
      <c r="D335" s="293"/>
      <c r="E335" s="198" t="s">
        <v>49</v>
      </c>
      <c r="F335" s="198"/>
      <c r="G335" s="199" t="s">
        <v>764</v>
      </c>
    </row>
    <row r="336" spans="1:7" ht="27.6">
      <c r="A336" s="342"/>
      <c r="B336" s="290"/>
      <c r="C336" s="252" t="s">
        <v>767</v>
      </c>
      <c r="D336" s="253"/>
      <c r="E336" s="198" t="s">
        <v>49</v>
      </c>
      <c r="F336" s="198"/>
      <c r="G336" s="199" t="s">
        <v>764</v>
      </c>
    </row>
    <row r="337" spans="1:7">
      <c r="A337" s="342"/>
      <c r="B337" s="290"/>
      <c r="C337" s="248" t="s">
        <v>768</v>
      </c>
      <c r="D337" s="249"/>
      <c r="E337" s="198" t="s">
        <v>49</v>
      </c>
      <c r="F337" s="198"/>
      <c r="G337" s="199" t="s">
        <v>769</v>
      </c>
    </row>
    <row r="338" spans="1:7">
      <c r="A338" s="342"/>
      <c r="B338" s="291" t="s">
        <v>770</v>
      </c>
      <c r="C338" s="246" t="s">
        <v>771</v>
      </c>
      <c r="D338" s="293"/>
      <c r="E338" s="198" t="s">
        <v>49</v>
      </c>
      <c r="F338" s="198"/>
      <c r="G338" s="199" t="s">
        <v>772</v>
      </c>
    </row>
    <row r="339" spans="1:7" ht="27.6">
      <c r="A339" s="342"/>
      <c r="B339" s="290"/>
      <c r="C339" s="252" t="s">
        <v>773</v>
      </c>
      <c r="D339" s="253"/>
      <c r="E339" s="198" t="s">
        <v>49</v>
      </c>
      <c r="F339" s="198"/>
      <c r="G339" s="199" t="s">
        <v>774</v>
      </c>
    </row>
    <row r="340" spans="1:7">
      <c r="A340" s="342"/>
      <c r="B340" s="290"/>
      <c r="C340" s="252" t="s">
        <v>775</v>
      </c>
      <c r="D340" s="253"/>
      <c r="E340" s="198" t="s">
        <v>49</v>
      </c>
      <c r="F340" s="198"/>
      <c r="G340" s="199"/>
    </row>
    <row r="341" spans="1:7">
      <c r="A341" s="342"/>
      <c r="B341" s="290"/>
      <c r="C341" s="252" t="s">
        <v>776</v>
      </c>
      <c r="D341" s="253"/>
      <c r="E341" s="198" t="s">
        <v>237</v>
      </c>
      <c r="F341" s="203" t="s">
        <v>238</v>
      </c>
      <c r="G341" s="199"/>
    </row>
    <row r="342" spans="1:7" ht="193.2">
      <c r="A342" s="342"/>
      <c r="B342" s="290"/>
      <c r="C342" s="252" t="s">
        <v>777</v>
      </c>
      <c r="D342" s="253"/>
      <c r="E342" s="198" t="s">
        <v>66</v>
      </c>
      <c r="F342" s="199" t="s">
        <v>67</v>
      </c>
      <c r="G342" s="199" t="s">
        <v>778</v>
      </c>
    </row>
    <row r="343" spans="1:7" ht="179.4">
      <c r="A343" s="342"/>
      <c r="B343" s="290"/>
      <c r="C343" s="252" t="s">
        <v>779</v>
      </c>
      <c r="D343" s="253"/>
      <c r="E343" s="198" t="s">
        <v>49</v>
      </c>
      <c r="F343" s="198" t="s">
        <v>49</v>
      </c>
      <c r="G343" s="199" t="s">
        <v>780</v>
      </c>
    </row>
    <row r="344" spans="1:7" ht="24.9" customHeight="1">
      <c r="A344" s="342"/>
      <c r="B344" s="290"/>
      <c r="C344" s="252" t="s">
        <v>781</v>
      </c>
      <c r="D344" s="253"/>
      <c r="E344" s="198" t="s">
        <v>49</v>
      </c>
      <c r="F344" s="198"/>
      <c r="G344" s="199" t="s">
        <v>782</v>
      </c>
    </row>
    <row r="345" spans="1:7">
      <c r="A345" s="342"/>
      <c r="B345" s="292"/>
      <c r="C345" s="248" t="s">
        <v>783</v>
      </c>
      <c r="D345" s="249"/>
      <c r="E345" s="198" t="s">
        <v>49</v>
      </c>
      <c r="F345" s="198"/>
      <c r="G345" s="199" t="s">
        <v>612</v>
      </c>
    </row>
    <row r="346" spans="1:7">
      <c r="A346" s="342"/>
      <c r="B346" s="290" t="s">
        <v>784</v>
      </c>
      <c r="C346" s="246" t="s">
        <v>785</v>
      </c>
      <c r="D346" s="293"/>
      <c r="E346" s="198" t="s">
        <v>49</v>
      </c>
      <c r="F346" s="198"/>
      <c r="G346" s="199" t="s">
        <v>786</v>
      </c>
    </row>
    <row r="347" spans="1:7">
      <c r="A347" s="342"/>
      <c r="B347" s="290"/>
      <c r="C347" s="252" t="s">
        <v>787</v>
      </c>
      <c r="D347" s="253"/>
      <c r="E347" s="198" t="s">
        <v>49</v>
      </c>
      <c r="F347" s="198"/>
      <c r="G347" s="199" t="s">
        <v>788</v>
      </c>
    </row>
    <row r="348" spans="1:7" ht="138">
      <c r="A348" s="342"/>
      <c r="B348" s="290"/>
      <c r="C348" s="248" t="s">
        <v>789</v>
      </c>
      <c r="D348" s="249"/>
      <c r="E348" s="198" t="s">
        <v>237</v>
      </c>
      <c r="F348" s="203" t="s">
        <v>238</v>
      </c>
      <c r="G348" s="199" t="s">
        <v>790</v>
      </c>
    </row>
    <row r="349" spans="1:7" ht="165.6">
      <c r="A349" s="342"/>
      <c r="B349" s="290" t="s">
        <v>791</v>
      </c>
      <c r="C349" s="246" t="s">
        <v>792</v>
      </c>
      <c r="D349" s="293"/>
      <c r="E349" s="198" t="s">
        <v>49</v>
      </c>
      <c r="F349" s="198" t="s">
        <v>49</v>
      </c>
      <c r="G349" s="199" t="s">
        <v>793</v>
      </c>
    </row>
    <row r="350" spans="1:7" ht="41.4">
      <c r="A350" s="342"/>
      <c r="B350" s="290"/>
      <c r="C350" s="252" t="s">
        <v>794</v>
      </c>
      <c r="D350" s="253"/>
      <c r="E350" s="198" t="s">
        <v>49</v>
      </c>
      <c r="F350" s="198" t="s">
        <v>49</v>
      </c>
      <c r="G350" s="199" t="s">
        <v>795</v>
      </c>
    </row>
    <row r="351" spans="1:7" ht="179.4">
      <c r="A351" s="342"/>
      <c r="B351" s="290"/>
      <c r="C351" s="252" t="s">
        <v>796</v>
      </c>
      <c r="D351" s="253"/>
      <c r="E351" s="198" t="s">
        <v>49</v>
      </c>
      <c r="F351" s="198" t="s">
        <v>49</v>
      </c>
      <c r="G351" s="199" t="s">
        <v>797</v>
      </c>
    </row>
    <row r="352" spans="1:7" ht="55.2">
      <c r="A352" s="342"/>
      <c r="B352" s="290"/>
      <c r="C352" s="248" t="s">
        <v>798</v>
      </c>
      <c r="D352" s="249"/>
      <c r="E352" s="198" t="s">
        <v>49</v>
      </c>
      <c r="F352" s="198" t="s">
        <v>49</v>
      </c>
      <c r="G352" s="199" t="s">
        <v>799</v>
      </c>
    </row>
    <row r="353" spans="1:7" ht="27.6">
      <c r="A353" s="342"/>
      <c r="B353" s="290" t="s">
        <v>800</v>
      </c>
      <c r="C353" s="246" t="s">
        <v>801</v>
      </c>
      <c r="D353" s="293"/>
      <c r="E353" s="198" t="s">
        <v>237</v>
      </c>
      <c r="F353" s="203" t="s">
        <v>238</v>
      </c>
      <c r="G353" s="199" t="s">
        <v>802</v>
      </c>
    </row>
    <row r="354" spans="1:7" ht="69">
      <c r="A354" s="342"/>
      <c r="B354" s="290"/>
      <c r="C354" s="248" t="s">
        <v>803</v>
      </c>
      <c r="D354" s="249"/>
      <c r="E354" s="198" t="s">
        <v>66</v>
      </c>
      <c r="F354" s="199" t="s">
        <v>67</v>
      </c>
      <c r="G354" s="199" t="s">
        <v>804</v>
      </c>
    </row>
    <row r="355" spans="1:7" ht="77.099999999999994" customHeight="1">
      <c r="A355" s="342"/>
      <c r="B355" s="15" t="s">
        <v>805</v>
      </c>
      <c r="C355" s="270" t="s">
        <v>806</v>
      </c>
      <c r="D355" s="296"/>
      <c r="E355" s="198" t="s">
        <v>49</v>
      </c>
      <c r="F355" s="198"/>
      <c r="G355" s="199" t="s">
        <v>807</v>
      </c>
    </row>
    <row r="356" spans="1:7" ht="68.400000000000006" customHeight="1">
      <c r="A356" s="342"/>
      <c r="B356" s="15" t="s">
        <v>808</v>
      </c>
      <c r="C356" s="270" t="s">
        <v>809</v>
      </c>
      <c r="D356" s="296"/>
      <c r="E356" s="198" t="s">
        <v>237</v>
      </c>
      <c r="F356" s="203" t="s">
        <v>238</v>
      </c>
      <c r="G356" s="199" t="s">
        <v>810</v>
      </c>
    </row>
    <row r="357" spans="1:7" ht="55.2">
      <c r="A357" s="342"/>
      <c r="B357" s="290" t="s">
        <v>811</v>
      </c>
      <c r="C357" s="246" t="s">
        <v>812</v>
      </c>
      <c r="D357" s="293"/>
      <c r="E357" s="198" t="s">
        <v>237</v>
      </c>
      <c r="F357" s="203" t="s">
        <v>238</v>
      </c>
      <c r="G357" s="199" t="s">
        <v>813</v>
      </c>
    </row>
    <row r="358" spans="1:7" ht="69.599999999999994" thickBot="1">
      <c r="A358" s="343"/>
      <c r="B358" s="340"/>
      <c r="C358" s="297" t="s">
        <v>814</v>
      </c>
      <c r="D358" s="298"/>
      <c r="E358" s="200" t="s">
        <v>237</v>
      </c>
      <c r="F358" s="204" t="s">
        <v>238</v>
      </c>
      <c r="G358" s="201" t="s">
        <v>815</v>
      </c>
    </row>
    <row r="359" spans="1:7" ht="15" thickBot="1">
      <c r="B359" s="19"/>
      <c r="C359" s="30"/>
      <c r="D359" s="30"/>
    </row>
    <row r="360" spans="1:7" s="39" customFormat="1" ht="16.2" thickBot="1">
      <c r="A360" s="313" t="s">
        <v>816</v>
      </c>
      <c r="B360" s="314"/>
      <c r="C360" s="314"/>
      <c r="D360" s="314"/>
      <c r="E360" s="314">
        <v>0</v>
      </c>
      <c r="F360" s="314"/>
      <c r="G360" s="315"/>
    </row>
    <row r="361" spans="1:7" ht="41.4">
      <c r="A361" s="351" t="s">
        <v>817</v>
      </c>
      <c r="B361" s="12" t="s">
        <v>818</v>
      </c>
      <c r="C361" s="299" t="s">
        <v>819</v>
      </c>
      <c r="D361" s="300"/>
      <c r="E361" s="196" t="s">
        <v>237</v>
      </c>
      <c r="F361" s="213" t="s">
        <v>238</v>
      </c>
      <c r="G361" s="197" t="s">
        <v>820</v>
      </c>
    </row>
    <row r="362" spans="1:7" ht="56.4" customHeight="1">
      <c r="A362" s="352"/>
      <c r="B362" s="292" t="s">
        <v>821</v>
      </c>
      <c r="C362" s="247" t="s">
        <v>822</v>
      </c>
      <c r="D362" s="293"/>
      <c r="E362" s="198" t="s">
        <v>237</v>
      </c>
      <c r="F362" s="203" t="s">
        <v>238</v>
      </c>
      <c r="G362" s="199" t="s">
        <v>823</v>
      </c>
    </row>
    <row r="363" spans="1:7" ht="27.6">
      <c r="A363" s="352"/>
      <c r="B363" s="290"/>
      <c r="C363" s="260" t="s">
        <v>824</v>
      </c>
      <c r="D363" s="249"/>
      <c r="E363" s="198" t="s">
        <v>49</v>
      </c>
      <c r="F363" s="198" t="s">
        <v>49</v>
      </c>
      <c r="G363" s="199" t="s">
        <v>825</v>
      </c>
    </row>
    <row r="364" spans="1:7" ht="83.1" customHeight="1">
      <c r="A364" s="352"/>
      <c r="B364" s="338" t="s">
        <v>826</v>
      </c>
      <c r="C364" s="250" t="s">
        <v>827</v>
      </c>
      <c r="D364" s="294"/>
      <c r="E364" s="198" t="s">
        <v>66</v>
      </c>
      <c r="F364" s="199" t="s">
        <v>67</v>
      </c>
      <c r="G364" s="199" t="s">
        <v>828</v>
      </c>
    </row>
    <row r="365" spans="1:7">
      <c r="A365" s="352"/>
      <c r="B365" s="292"/>
      <c r="C365" s="252" t="s">
        <v>829</v>
      </c>
      <c r="D365" s="253"/>
      <c r="E365" s="198" t="s">
        <v>49</v>
      </c>
      <c r="F365" s="198"/>
      <c r="G365" s="199"/>
    </row>
    <row r="366" spans="1:7">
      <c r="A366" s="352"/>
      <c r="B366" s="292"/>
      <c r="C366" s="254" t="s">
        <v>830</v>
      </c>
      <c r="D366" s="255"/>
      <c r="E366" s="198" t="s">
        <v>49</v>
      </c>
      <c r="F366" s="198"/>
      <c r="G366" s="199"/>
    </row>
    <row r="367" spans="1:7" ht="69">
      <c r="A367" s="352"/>
      <c r="B367" s="290" t="s">
        <v>831</v>
      </c>
      <c r="C367" s="246" t="s">
        <v>832</v>
      </c>
      <c r="D367" s="293"/>
      <c r="E367" s="198" t="s">
        <v>49</v>
      </c>
      <c r="F367" s="198"/>
      <c r="G367" s="199" t="s">
        <v>833</v>
      </c>
    </row>
    <row r="368" spans="1:7">
      <c r="A368" s="352"/>
      <c r="B368" s="290"/>
      <c r="C368" s="248" t="s">
        <v>834</v>
      </c>
      <c r="D368" s="249"/>
      <c r="E368" s="198" t="s">
        <v>49</v>
      </c>
      <c r="F368" s="198"/>
      <c r="G368" s="199" t="s">
        <v>835</v>
      </c>
    </row>
    <row r="369" spans="1:7" ht="83.1" customHeight="1" thickBot="1">
      <c r="A369" s="353"/>
      <c r="B369" s="20" t="s">
        <v>836</v>
      </c>
      <c r="C369" s="272" t="s">
        <v>837</v>
      </c>
      <c r="D369" s="295"/>
      <c r="E369" s="200" t="s">
        <v>49</v>
      </c>
      <c r="F369" s="200"/>
      <c r="G369" s="201" t="s">
        <v>838</v>
      </c>
    </row>
    <row r="370" spans="1:7" ht="15" thickBot="1">
      <c r="C370" s="30"/>
      <c r="D370" s="30"/>
    </row>
    <row r="371" spans="1:7" s="39" customFormat="1" ht="16.2" thickBot="1">
      <c r="A371" s="313" t="s">
        <v>839</v>
      </c>
      <c r="B371" s="314"/>
      <c r="C371" s="314"/>
      <c r="D371" s="314"/>
      <c r="E371" s="314">
        <v>0</v>
      </c>
      <c r="F371" s="314"/>
      <c r="G371" s="315"/>
    </row>
    <row r="372" spans="1:7" ht="39" customHeight="1">
      <c r="A372" s="354" t="s">
        <v>840</v>
      </c>
      <c r="B372" s="339" t="s">
        <v>841</v>
      </c>
      <c r="C372" s="277" t="s">
        <v>842</v>
      </c>
      <c r="D372" s="278"/>
      <c r="E372" s="196" t="s">
        <v>237</v>
      </c>
      <c r="F372" s="213" t="s">
        <v>238</v>
      </c>
      <c r="G372" s="197" t="s">
        <v>585</v>
      </c>
    </row>
    <row r="373" spans="1:7" ht="39" customHeight="1">
      <c r="A373" s="355"/>
      <c r="B373" s="291"/>
      <c r="C373" s="248" t="s">
        <v>843</v>
      </c>
      <c r="D373" s="260"/>
      <c r="E373" s="198" t="s">
        <v>66</v>
      </c>
      <c r="F373" s="199" t="s">
        <v>67</v>
      </c>
      <c r="G373" s="199" t="s">
        <v>844</v>
      </c>
    </row>
    <row r="374" spans="1:7" ht="87.6" customHeight="1">
      <c r="A374" s="355"/>
      <c r="B374" s="15" t="s">
        <v>845</v>
      </c>
      <c r="C374" s="270" t="s">
        <v>846</v>
      </c>
      <c r="D374" s="271"/>
      <c r="E374" s="198" t="s">
        <v>49</v>
      </c>
      <c r="F374" s="198"/>
      <c r="G374" s="199" t="s">
        <v>847</v>
      </c>
    </row>
    <row r="375" spans="1:7" ht="78.599999999999994" customHeight="1">
      <c r="A375" s="355"/>
      <c r="B375" s="15" t="s">
        <v>848</v>
      </c>
      <c r="C375" s="270" t="s">
        <v>849</v>
      </c>
      <c r="D375" s="271"/>
      <c r="E375" s="198" t="s">
        <v>49</v>
      </c>
      <c r="F375" s="198"/>
      <c r="G375" s="199" t="s">
        <v>847</v>
      </c>
    </row>
    <row r="376" spans="1:7" ht="69">
      <c r="A376" s="355"/>
      <c r="B376" s="13" t="s">
        <v>850</v>
      </c>
      <c r="C376" s="270" t="s">
        <v>851</v>
      </c>
      <c r="D376" s="271"/>
      <c r="E376" s="198" t="s">
        <v>49</v>
      </c>
      <c r="F376" s="198"/>
      <c r="G376" s="199" t="s">
        <v>847</v>
      </c>
    </row>
    <row r="377" spans="1:7" ht="24" customHeight="1">
      <c r="A377" s="355"/>
      <c r="B377" s="15" t="s">
        <v>852</v>
      </c>
      <c r="C377" s="270" t="s">
        <v>853</v>
      </c>
      <c r="D377" s="271"/>
      <c r="E377" s="198" t="s">
        <v>49</v>
      </c>
      <c r="F377" s="198"/>
      <c r="G377" s="199" t="s">
        <v>847</v>
      </c>
    </row>
    <row r="378" spans="1:7" ht="30.6" customHeight="1">
      <c r="A378" s="355"/>
      <c r="B378" s="15" t="s">
        <v>854</v>
      </c>
      <c r="C378" s="270" t="s">
        <v>855</v>
      </c>
      <c r="D378" s="271"/>
      <c r="E378" s="198" t="s">
        <v>49</v>
      </c>
      <c r="F378" s="198"/>
      <c r="G378" s="199" t="s">
        <v>847</v>
      </c>
    </row>
    <row r="379" spans="1:7" ht="51.9" customHeight="1">
      <c r="A379" s="355"/>
      <c r="B379" s="290" t="s">
        <v>856</v>
      </c>
      <c r="C379" s="246" t="s">
        <v>857</v>
      </c>
      <c r="D379" s="247"/>
      <c r="E379" s="198" t="s">
        <v>66</v>
      </c>
      <c r="F379" s="199" t="s">
        <v>67</v>
      </c>
      <c r="G379" s="199" t="s">
        <v>858</v>
      </c>
    </row>
    <row r="380" spans="1:7" ht="27.6">
      <c r="A380" s="355"/>
      <c r="B380" s="290"/>
      <c r="C380" s="248" t="s">
        <v>859</v>
      </c>
      <c r="D380" s="260"/>
      <c r="E380" s="198" t="s">
        <v>66</v>
      </c>
      <c r="F380" s="199" t="s">
        <v>67</v>
      </c>
      <c r="G380" s="199" t="s">
        <v>858</v>
      </c>
    </row>
    <row r="381" spans="1:7" ht="54.6" customHeight="1">
      <c r="A381" s="355"/>
      <c r="B381" s="291" t="s">
        <v>860</v>
      </c>
      <c r="C381" s="246" t="s">
        <v>861</v>
      </c>
      <c r="D381" s="247"/>
      <c r="E381" s="198" t="s">
        <v>49</v>
      </c>
      <c r="F381" s="198"/>
      <c r="G381" s="199" t="s">
        <v>847</v>
      </c>
    </row>
    <row r="382" spans="1:7" ht="39.6" customHeight="1">
      <c r="A382" s="355"/>
      <c r="B382" s="290"/>
      <c r="C382" s="252" t="s">
        <v>862</v>
      </c>
      <c r="D382" s="261"/>
      <c r="E382" s="198" t="s">
        <v>49</v>
      </c>
      <c r="F382" s="198"/>
      <c r="G382" s="199" t="s">
        <v>847</v>
      </c>
    </row>
    <row r="383" spans="1:7" ht="69">
      <c r="A383" s="355"/>
      <c r="B383" s="290"/>
      <c r="C383" s="252" t="s">
        <v>863</v>
      </c>
      <c r="D383" s="261"/>
      <c r="E383" s="198" t="s">
        <v>49</v>
      </c>
      <c r="F383" s="198"/>
      <c r="G383" s="199" t="s">
        <v>847</v>
      </c>
    </row>
    <row r="384" spans="1:7" ht="138">
      <c r="A384" s="355"/>
      <c r="B384" s="292"/>
      <c r="C384" s="248" t="s">
        <v>864</v>
      </c>
      <c r="D384" s="260"/>
      <c r="E384" s="198" t="s">
        <v>865</v>
      </c>
      <c r="F384" s="198"/>
      <c r="G384" s="199" t="s">
        <v>866</v>
      </c>
    </row>
    <row r="385" spans="1:7" ht="36.9" customHeight="1">
      <c r="A385" s="355"/>
      <c r="B385" s="290" t="s">
        <v>867</v>
      </c>
      <c r="C385" s="246" t="s">
        <v>868</v>
      </c>
      <c r="D385" s="247"/>
      <c r="E385" s="198" t="s">
        <v>49</v>
      </c>
      <c r="F385" s="198"/>
      <c r="G385" s="199"/>
    </row>
    <row r="386" spans="1:7" ht="26.4" customHeight="1">
      <c r="A386" s="355"/>
      <c r="B386" s="290"/>
      <c r="C386" s="252" t="s">
        <v>869</v>
      </c>
      <c r="D386" s="261"/>
      <c r="E386" s="198" t="s">
        <v>49</v>
      </c>
      <c r="F386" s="198"/>
      <c r="G386" s="199"/>
    </row>
    <row r="387" spans="1:7" ht="27.6">
      <c r="A387" s="355"/>
      <c r="B387" s="290"/>
      <c r="C387" s="248" t="s">
        <v>870</v>
      </c>
      <c r="D387" s="260"/>
      <c r="E387" s="198" t="s">
        <v>49</v>
      </c>
      <c r="F387" s="198"/>
      <c r="G387" s="199" t="s">
        <v>871</v>
      </c>
    </row>
    <row r="388" spans="1:7" ht="56.4" customHeight="1">
      <c r="A388" s="355"/>
      <c r="B388" s="291" t="s">
        <v>872</v>
      </c>
      <c r="C388" s="246" t="s">
        <v>873</v>
      </c>
      <c r="D388" s="247"/>
      <c r="E388" s="198" t="s">
        <v>49</v>
      </c>
      <c r="F388" s="198"/>
      <c r="G388" s="199" t="s">
        <v>874</v>
      </c>
    </row>
    <row r="389" spans="1:7" ht="27.6">
      <c r="A389" s="355"/>
      <c r="B389" s="292"/>
      <c r="C389" s="248" t="s">
        <v>875</v>
      </c>
      <c r="D389" s="260"/>
      <c r="E389" s="198" t="s">
        <v>49</v>
      </c>
      <c r="F389" s="198"/>
      <c r="G389" s="199" t="s">
        <v>871</v>
      </c>
    </row>
    <row r="390" spans="1:7">
      <c r="A390" s="355"/>
      <c r="B390" s="290" t="s">
        <v>876</v>
      </c>
      <c r="C390" s="246" t="s">
        <v>877</v>
      </c>
      <c r="D390" s="247"/>
      <c r="E390" s="198" t="s">
        <v>66</v>
      </c>
      <c r="F390" s="199" t="s">
        <v>67</v>
      </c>
      <c r="G390" s="199"/>
    </row>
    <row r="391" spans="1:7" ht="44.1" customHeight="1">
      <c r="A391" s="355"/>
      <c r="B391" s="290"/>
      <c r="C391" s="248" t="s">
        <v>878</v>
      </c>
      <c r="D391" s="260"/>
      <c r="E391" s="198" t="s">
        <v>66</v>
      </c>
      <c r="F391" s="199" t="s">
        <v>67</v>
      </c>
      <c r="G391" s="199" t="s">
        <v>879</v>
      </c>
    </row>
    <row r="392" spans="1:7" ht="59.1" customHeight="1">
      <c r="A392" s="355"/>
      <c r="B392" s="17" t="s">
        <v>880</v>
      </c>
      <c r="C392" s="270" t="s">
        <v>881</v>
      </c>
      <c r="D392" s="271"/>
      <c r="E392" s="198" t="s">
        <v>237</v>
      </c>
      <c r="F392" s="203" t="s">
        <v>238</v>
      </c>
      <c r="G392" s="199" t="s">
        <v>882</v>
      </c>
    </row>
    <row r="393" spans="1:7" ht="27.6" customHeight="1">
      <c r="A393" s="355"/>
      <c r="B393" s="290" t="s">
        <v>883</v>
      </c>
      <c r="C393" s="246" t="s">
        <v>884</v>
      </c>
      <c r="D393" s="247"/>
      <c r="E393" s="198" t="s">
        <v>49</v>
      </c>
      <c r="F393" s="198"/>
      <c r="G393" s="199" t="s">
        <v>885</v>
      </c>
    </row>
    <row r="394" spans="1:7">
      <c r="A394" s="355"/>
      <c r="B394" s="290"/>
      <c r="C394" s="252" t="s">
        <v>886</v>
      </c>
      <c r="D394" s="261"/>
      <c r="E394" s="198" t="s">
        <v>66</v>
      </c>
      <c r="F394" s="199" t="s">
        <v>67</v>
      </c>
      <c r="G394" s="199" t="s">
        <v>887</v>
      </c>
    </row>
    <row r="395" spans="1:7" ht="41.4">
      <c r="A395" s="355"/>
      <c r="B395" s="290"/>
      <c r="C395" s="252" t="s">
        <v>888</v>
      </c>
      <c r="D395" s="261"/>
      <c r="E395" s="198" t="s">
        <v>66</v>
      </c>
      <c r="F395" s="199" t="s">
        <v>67</v>
      </c>
      <c r="G395" s="199" t="s">
        <v>889</v>
      </c>
    </row>
    <row r="396" spans="1:7">
      <c r="A396" s="355"/>
      <c r="B396" s="290"/>
      <c r="C396" s="248" t="s">
        <v>890</v>
      </c>
      <c r="D396" s="260"/>
      <c r="E396" s="198" t="s">
        <v>49</v>
      </c>
      <c r="F396" s="198"/>
      <c r="G396" s="199" t="s">
        <v>891</v>
      </c>
    </row>
    <row r="397" spans="1:7" ht="53.1" customHeight="1">
      <c r="A397" s="355"/>
      <c r="B397" s="17" t="s">
        <v>892</v>
      </c>
      <c r="C397" s="270" t="s">
        <v>893</v>
      </c>
      <c r="D397" s="271"/>
      <c r="E397" s="198" t="s">
        <v>66</v>
      </c>
      <c r="F397" s="199" t="s">
        <v>67</v>
      </c>
      <c r="G397" s="199" t="s">
        <v>894</v>
      </c>
    </row>
    <row r="398" spans="1:7" ht="45.6" customHeight="1">
      <c r="A398" s="355"/>
      <c r="B398" s="290" t="s">
        <v>895</v>
      </c>
      <c r="C398" s="250" t="s">
        <v>896</v>
      </c>
      <c r="D398" s="251"/>
      <c r="E398" s="198" t="s">
        <v>49</v>
      </c>
      <c r="F398" s="198"/>
      <c r="G398" s="199" t="s">
        <v>897</v>
      </c>
    </row>
    <row r="399" spans="1:7">
      <c r="A399" s="355"/>
      <c r="B399" s="290"/>
      <c r="C399" s="254" t="s">
        <v>898</v>
      </c>
      <c r="D399" s="269"/>
      <c r="E399" s="198" t="s">
        <v>49</v>
      </c>
      <c r="F399" s="198"/>
      <c r="G399" s="199" t="s">
        <v>899</v>
      </c>
    </row>
    <row r="400" spans="1:7" ht="34.5" customHeight="1">
      <c r="A400" s="355"/>
      <c r="B400" s="291" t="s">
        <v>900</v>
      </c>
      <c r="C400" s="246" t="s">
        <v>901</v>
      </c>
      <c r="D400" s="247"/>
      <c r="E400" s="198" t="s">
        <v>49</v>
      </c>
      <c r="F400" s="198"/>
      <c r="G400" s="199" t="s">
        <v>902</v>
      </c>
    </row>
    <row r="401" spans="1:7">
      <c r="A401" s="355"/>
      <c r="B401" s="292"/>
      <c r="C401" s="248" t="s">
        <v>903</v>
      </c>
      <c r="D401" s="260"/>
      <c r="E401" s="198" t="s">
        <v>49</v>
      </c>
      <c r="F401" s="198"/>
      <c r="G401" s="199" t="s">
        <v>904</v>
      </c>
    </row>
    <row r="402" spans="1:7">
      <c r="A402" s="355"/>
      <c r="B402" s="290" t="s">
        <v>905</v>
      </c>
      <c r="C402" s="246" t="s">
        <v>906</v>
      </c>
      <c r="D402" s="247"/>
      <c r="E402" s="198" t="s">
        <v>49</v>
      </c>
      <c r="F402" s="198"/>
      <c r="G402" s="199"/>
    </row>
    <row r="403" spans="1:7" ht="32.4" customHeight="1">
      <c r="A403" s="355"/>
      <c r="B403" s="290"/>
      <c r="C403" s="248" t="s">
        <v>907</v>
      </c>
      <c r="D403" s="260"/>
      <c r="E403" s="198" t="s">
        <v>49</v>
      </c>
      <c r="F403" s="198"/>
      <c r="G403" s="199" t="s">
        <v>908</v>
      </c>
    </row>
    <row r="404" spans="1:7">
      <c r="A404" s="355"/>
      <c r="B404" s="291" t="s">
        <v>909</v>
      </c>
      <c r="C404" s="246" t="s">
        <v>910</v>
      </c>
      <c r="D404" s="247"/>
      <c r="E404" s="198" t="s">
        <v>49</v>
      </c>
      <c r="F404" s="198"/>
      <c r="G404" s="199"/>
    </row>
    <row r="405" spans="1:7" ht="41.4">
      <c r="A405" s="355"/>
      <c r="B405" s="290"/>
      <c r="C405" s="252" t="s">
        <v>911</v>
      </c>
      <c r="D405" s="261"/>
      <c r="E405" s="198" t="s">
        <v>66</v>
      </c>
      <c r="F405" s="199" t="s">
        <v>67</v>
      </c>
      <c r="G405" s="199" t="s">
        <v>912</v>
      </c>
    </row>
    <row r="406" spans="1:7" ht="27.6">
      <c r="A406" s="355"/>
      <c r="B406" s="292"/>
      <c r="C406" s="248" t="s">
        <v>913</v>
      </c>
      <c r="D406" s="260"/>
      <c r="E406" s="198" t="s">
        <v>49</v>
      </c>
      <c r="F406" s="198"/>
      <c r="G406" s="199" t="s">
        <v>914</v>
      </c>
    </row>
    <row r="407" spans="1:7" ht="30.9" customHeight="1">
      <c r="A407" s="355"/>
      <c r="B407" s="290" t="s">
        <v>915</v>
      </c>
      <c r="C407" s="246" t="s">
        <v>916</v>
      </c>
      <c r="D407" s="247"/>
      <c r="E407" s="198" t="s">
        <v>49</v>
      </c>
      <c r="F407" s="198"/>
      <c r="G407" s="199" t="s">
        <v>917</v>
      </c>
    </row>
    <row r="408" spans="1:7" ht="41.1" customHeight="1">
      <c r="A408" s="355"/>
      <c r="B408" s="290"/>
      <c r="C408" s="248" t="s">
        <v>918</v>
      </c>
      <c r="D408" s="260"/>
      <c r="E408" s="198" t="s">
        <v>49</v>
      </c>
      <c r="F408" s="198"/>
      <c r="G408" s="199"/>
    </row>
    <row r="409" spans="1:7" ht="41.4">
      <c r="A409" s="355"/>
      <c r="B409" s="2" t="s">
        <v>919</v>
      </c>
      <c r="C409" s="270" t="s">
        <v>920</v>
      </c>
      <c r="D409" s="271"/>
      <c r="E409" s="198" t="s">
        <v>66</v>
      </c>
      <c r="F409" s="199" t="s">
        <v>67</v>
      </c>
      <c r="G409" s="199" t="s">
        <v>921</v>
      </c>
    </row>
    <row r="410" spans="1:7" ht="23.4" customHeight="1">
      <c r="A410" s="355"/>
      <c r="B410" s="326" t="s">
        <v>922</v>
      </c>
      <c r="C410" s="250" t="s">
        <v>923</v>
      </c>
      <c r="D410" s="251"/>
      <c r="E410" s="198" t="s">
        <v>49</v>
      </c>
      <c r="F410" s="198"/>
      <c r="G410" s="199" t="s">
        <v>924</v>
      </c>
    </row>
    <row r="411" spans="1:7">
      <c r="A411" s="355"/>
      <c r="B411" s="326"/>
      <c r="C411" s="248" t="s">
        <v>925</v>
      </c>
      <c r="D411" s="260"/>
      <c r="E411" s="198" t="s">
        <v>49</v>
      </c>
      <c r="F411" s="198"/>
      <c r="G411" s="199"/>
    </row>
    <row r="412" spans="1:7" ht="15" thickBot="1">
      <c r="A412" s="356"/>
      <c r="B412" s="11" t="s">
        <v>926</v>
      </c>
      <c r="C412" s="272" t="s">
        <v>927</v>
      </c>
      <c r="D412" s="273"/>
      <c r="E412" s="200" t="s">
        <v>49</v>
      </c>
      <c r="F412" s="200"/>
      <c r="G412" s="201"/>
    </row>
    <row r="413" spans="1:7">
      <c r="A413" s="346" t="s">
        <v>928</v>
      </c>
      <c r="B413" s="327" t="s">
        <v>929</v>
      </c>
      <c r="C413" s="277" t="s">
        <v>930</v>
      </c>
      <c r="D413" s="278"/>
      <c r="E413" s="196" t="s">
        <v>49</v>
      </c>
      <c r="F413" s="196"/>
      <c r="G413" s="197"/>
    </row>
    <row r="414" spans="1:7" ht="41.4">
      <c r="A414" s="347"/>
      <c r="B414" s="326"/>
      <c r="C414" s="252" t="s">
        <v>931</v>
      </c>
      <c r="D414" s="261"/>
      <c r="E414" s="198" t="s">
        <v>49</v>
      </c>
      <c r="F414" s="198"/>
      <c r="G414" s="199" t="s">
        <v>932</v>
      </c>
    </row>
    <row r="415" spans="1:7" ht="41.4">
      <c r="A415" s="347"/>
      <c r="B415" s="243"/>
      <c r="C415" s="248" t="s">
        <v>933</v>
      </c>
      <c r="D415" s="260"/>
      <c r="E415" s="198" t="s">
        <v>49</v>
      </c>
      <c r="F415" s="198"/>
      <c r="G415" s="199" t="s">
        <v>934</v>
      </c>
    </row>
    <row r="416" spans="1:7" ht="69">
      <c r="A416" s="347"/>
      <c r="B416" s="326" t="s">
        <v>935</v>
      </c>
      <c r="C416" s="246" t="s">
        <v>936</v>
      </c>
      <c r="D416" s="247"/>
      <c r="E416" s="198" t="s">
        <v>49</v>
      </c>
      <c r="F416" s="198"/>
      <c r="G416" s="199" t="s">
        <v>937</v>
      </c>
    </row>
    <row r="417" spans="1:7">
      <c r="A417" s="347"/>
      <c r="B417" s="326"/>
      <c r="C417" s="252" t="s">
        <v>938</v>
      </c>
      <c r="D417" s="261"/>
      <c r="E417" s="198" t="s">
        <v>66</v>
      </c>
      <c r="F417" s="199" t="s">
        <v>67</v>
      </c>
      <c r="G417" s="199"/>
    </row>
    <row r="418" spans="1:7" ht="27" customHeight="1">
      <c r="A418" s="347"/>
      <c r="B418" s="326"/>
      <c r="C418" s="248" t="s">
        <v>939</v>
      </c>
      <c r="D418" s="260"/>
      <c r="E418" s="198" t="s">
        <v>49</v>
      </c>
      <c r="F418" s="198"/>
      <c r="G418" s="199" t="s">
        <v>940</v>
      </c>
    </row>
    <row r="419" spans="1:7" ht="24.9" customHeight="1">
      <c r="A419" s="347"/>
      <c r="B419" s="245" t="s">
        <v>922</v>
      </c>
      <c r="C419" s="246" t="s">
        <v>941</v>
      </c>
      <c r="D419" s="247"/>
      <c r="E419" s="198" t="s">
        <v>66</v>
      </c>
      <c r="F419" s="199" t="s">
        <v>67</v>
      </c>
      <c r="G419" s="199" t="s">
        <v>942</v>
      </c>
    </row>
    <row r="420" spans="1:7">
      <c r="A420" s="347"/>
      <c r="B420" s="243"/>
      <c r="C420" s="248" t="s">
        <v>943</v>
      </c>
      <c r="D420" s="260"/>
      <c r="E420" s="198" t="s">
        <v>49</v>
      </c>
      <c r="F420" s="198"/>
      <c r="G420" s="199"/>
    </row>
    <row r="421" spans="1:7">
      <c r="A421" s="347"/>
      <c r="B421" s="15" t="s">
        <v>944</v>
      </c>
      <c r="C421" s="256" t="s">
        <v>945</v>
      </c>
      <c r="D421" s="257"/>
      <c r="E421" s="198" t="s">
        <v>49</v>
      </c>
      <c r="F421" s="198"/>
      <c r="G421" s="199"/>
    </row>
    <row r="422" spans="1:7" ht="15" thickBot="1">
      <c r="A422" s="348"/>
      <c r="B422" s="11" t="s">
        <v>926</v>
      </c>
      <c r="C422" s="272" t="s">
        <v>946</v>
      </c>
      <c r="D422" s="273"/>
      <c r="E422" s="200" t="s">
        <v>49</v>
      </c>
      <c r="F422" s="200"/>
      <c r="G422" s="201"/>
    </row>
    <row r="423" spans="1:7" ht="15" thickBot="1"/>
    <row r="424" spans="1:7" s="39" customFormat="1" ht="16.2" thickBot="1">
      <c r="A424" s="171" t="s">
        <v>947</v>
      </c>
      <c r="B424" s="172"/>
      <c r="C424" s="172"/>
      <c r="D424" s="172"/>
      <c r="E424" s="172"/>
      <c r="F424" s="172"/>
      <c r="G424" s="192"/>
    </row>
    <row r="425" spans="1:7" ht="55.8" thickBot="1">
      <c r="A425" s="55" t="s">
        <v>948</v>
      </c>
      <c r="B425" s="57" t="s">
        <v>949</v>
      </c>
      <c r="C425" s="239" t="s">
        <v>950</v>
      </c>
      <c r="D425" s="240"/>
      <c r="E425" s="56" t="s">
        <v>951</v>
      </c>
      <c r="F425" s="56"/>
      <c r="G425" s="191" t="s">
        <v>952</v>
      </c>
    </row>
    <row r="426" spans="1:7" ht="27.6">
      <c r="A426" s="288" t="s">
        <v>953</v>
      </c>
      <c r="B426" s="244" t="s">
        <v>954</v>
      </c>
      <c r="C426" s="250" t="s">
        <v>955</v>
      </c>
      <c r="D426" s="251"/>
      <c r="E426" s="32" t="s">
        <v>951</v>
      </c>
      <c r="F426" s="32"/>
      <c r="G426" s="189" t="s">
        <v>956</v>
      </c>
    </row>
    <row r="427" spans="1:7" ht="69">
      <c r="A427" s="288"/>
      <c r="B427" s="244"/>
      <c r="C427" s="250" t="s">
        <v>957</v>
      </c>
      <c r="D427" s="251"/>
      <c r="E427" s="32" t="s">
        <v>951</v>
      </c>
      <c r="F427" s="32"/>
      <c r="G427" s="190" t="s">
        <v>958</v>
      </c>
    </row>
    <row r="428" spans="1:7" ht="27.6">
      <c r="A428" s="288"/>
      <c r="B428" s="244"/>
      <c r="C428" s="250" t="s">
        <v>959</v>
      </c>
      <c r="D428" s="251"/>
      <c r="E428" s="32" t="s">
        <v>951</v>
      </c>
      <c r="F428" s="32"/>
      <c r="G428" s="190" t="s">
        <v>960</v>
      </c>
    </row>
    <row r="429" spans="1:7" ht="69">
      <c r="A429" s="288"/>
      <c r="B429" s="245"/>
      <c r="C429" s="256" t="s">
        <v>961</v>
      </c>
      <c r="D429" s="257"/>
      <c r="E429" s="32" t="s">
        <v>951</v>
      </c>
      <c r="F429" s="34"/>
      <c r="G429" s="186" t="s">
        <v>962</v>
      </c>
    </row>
    <row r="430" spans="1:7">
      <c r="A430" s="288"/>
      <c r="B430" s="243" t="s">
        <v>963</v>
      </c>
      <c r="C430" s="336" t="s">
        <v>964</v>
      </c>
      <c r="D430" s="337"/>
      <c r="E430" s="32" t="s">
        <v>951</v>
      </c>
      <c r="F430" s="36"/>
      <c r="G430" s="195" t="s">
        <v>965</v>
      </c>
    </row>
    <row r="431" spans="1:7" ht="15" thickBot="1">
      <c r="A431" s="288"/>
      <c r="B431" s="244"/>
      <c r="C431" s="254" t="s">
        <v>966</v>
      </c>
      <c r="D431" s="269"/>
      <c r="E431" s="35" t="s">
        <v>951</v>
      </c>
      <c r="F431" s="35"/>
      <c r="G431" s="190"/>
    </row>
    <row r="432" spans="1:7">
      <c r="A432" s="241" t="s">
        <v>967</v>
      </c>
      <c r="B432" s="258" t="s">
        <v>968</v>
      </c>
      <c r="C432" s="277" t="s">
        <v>969</v>
      </c>
      <c r="D432" s="278"/>
      <c r="E432" s="31" t="s">
        <v>951</v>
      </c>
      <c r="F432" s="31"/>
      <c r="G432" s="185"/>
    </row>
    <row r="433" spans="1:7" ht="53.4" customHeight="1">
      <c r="A433" s="242"/>
      <c r="B433" s="259"/>
      <c r="C433" s="252" t="s">
        <v>970</v>
      </c>
      <c r="D433" s="253"/>
      <c r="E433" s="32" t="s">
        <v>951</v>
      </c>
      <c r="F433" s="32"/>
      <c r="G433" s="189" t="s">
        <v>971</v>
      </c>
    </row>
    <row r="434" spans="1:7">
      <c r="A434" s="242"/>
      <c r="B434" s="259"/>
      <c r="C434" s="254" t="s">
        <v>972</v>
      </c>
      <c r="D434" s="255"/>
      <c r="E434" s="35" t="s">
        <v>951</v>
      </c>
      <c r="F434" s="35"/>
      <c r="G434" s="193"/>
    </row>
    <row r="435" spans="1:7" ht="30.9" customHeight="1">
      <c r="A435" s="242"/>
      <c r="B435" s="243" t="s">
        <v>973</v>
      </c>
      <c r="C435" s="246" t="s">
        <v>974</v>
      </c>
      <c r="D435" s="247"/>
      <c r="E435" s="36" t="s">
        <v>951</v>
      </c>
      <c r="F435" s="36"/>
      <c r="G435" s="187" t="s">
        <v>975</v>
      </c>
    </row>
    <row r="436" spans="1:7" ht="30.9" customHeight="1">
      <c r="A436" s="242"/>
      <c r="B436" s="244"/>
      <c r="C436" s="250" t="s">
        <v>976</v>
      </c>
      <c r="D436" s="251"/>
      <c r="E436" s="36" t="s">
        <v>951</v>
      </c>
      <c r="F436" s="32"/>
      <c r="G436" s="187" t="s">
        <v>975</v>
      </c>
    </row>
    <row r="437" spans="1:7" ht="30.9" customHeight="1">
      <c r="A437" s="242"/>
      <c r="B437" s="245"/>
      <c r="C437" s="248" t="s">
        <v>977</v>
      </c>
      <c r="D437" s="249"/>
      <c r="E437" s="36" t="s">
        <v>951</v>
      </c>
      <c r="F437" s="34"/>
      <c r="G437" s="187" t="s">
        <v>975</v>
      </c>
    </row>
    <row r="438" spans="1:7" ht="27.6">
      <c r="A438" s="242"/>
      <c r="B438" s="243" t="s">
        <v>978</v>
      </c>
      <c r="C438" s="246" t="s">
        <v>979</v>
      </c>
      <c r="D438" s="293"/>
      <c r="E438" s="36" t="s">
        <v>951</v>
      </c>
      <c r="F438" s="36"/>
      <c r="G438" s="189" t="s">
        <v>980</v>
      </c>
    </row>
    <row r="439" spans="1:7">
      <c r="A439" s="242"/>
      <c r="B439" s="244"/>
      <c r="C439" s="252" t="s">
        <v>981</v>
      </c>
      <c r="D439" s="253"/>
      <c r="E439" s="32" t="s">
        <v>951</v>
      </c>
      <c r="F439" s="32"/>
      <c r="G439" s="189"/>
    </row>
    <row r="440" spans="1:7" ht="55.2">
      <c r="A440" s="242"/>
      <c r="B440" s="244"/>
      <c r="C440" s="252" t="s">
        <v>982</v>
      </c>
      <c r="D440" s="253"/>
      <c r="E440" s="32" t="s">
        <v>951</v>
      </c>
      <c r="F440" s="32"/>
      <c r="G440" s="189" t="s">
        <v>983</v>
      </c>
    </row>
    <row r="441" spans="1:7">
      <c r="A441" s="242"/>
      <c r="B441" s="244"/>
      <c r="C441" s="252" t="s">
        <v>984</v>
      </c>
      <c r="D441" s="253"/>
      <c r="E441" s="32" t="s">
        <v>951</v>
      </c>
      <c r="F441" s="32"/>
      <c r="G441" s="189" t="s">
        <v>985</v>
      </c>
    </row>
    <row r="442" spans="1:7">
      <c r="A442" s="242"/>
      <c r="B442" s="244"/>
      <c r="C442" s="252" t="s">
        <v>986</v>
      </c>
      <c r="D442" s="253"/>
      <c r="E442" s="32" t="s">
        <v>951</v>
      </c>
      <c r="F442" s="32"/>
      <c r="G442" s="189" t="s">
        <v>985</v>
      </c>
    </row>
    <row r="443" spans="1:7">
      <c r="A443" s="242"/>
      <c r="B443" s="244"/>
      <c r="C443" s="252" t="s">
        <v>987</v>
      </c>
      <c r="D443" s="253"/>
      <c r="E443" s="32" t="s">
        <v>951</v>
      </c>
      <c r="F443" s="32"/>
      <c r="G443" s="189" t="s">
        <v>985</v>
      </c>
    </row>
    <row r="444" spans="1:7">
      <c r="A444" s="242"/>
      <c r="B444" s="244"/>
      <c r="C444" s="252" t="s">
        <v>988</v>
      </c>
      <c r="D444" s="253"/>
      <c r="E444" s="32" t="s">
        <v>951</v>
      </c>
      <c r="F444" s="32"/>
      <c r="G444" s="189" t="s">
        <v>985</v>
      </c>
    </row>
    <row r="445" spans="1:7">
      <c r="A445" s="242"/>
      <c r="B445" s="244"/>
      <c r="C445" s="252" t="s">
        <v>989</v>
      </c>
      <c r="D445" s="253"/>
      <c r="E445" s="32" t="s">
        <v>951</v>
      </c>
      <c r="F445" s="32"/>
      <c r="G445" s="189" t="s">
        <v>985</v>
      </c>
    </row>
    <row r="446" spans="1:7" ht="41.4">
      <c r="A446" s="242"/>
      <c r="B446" s="244"/>
      <c r="C446" s="252" t="s">
        <v>990</v>
      </c>
      <c r="D446" s="253"/>
      <c r="E446" s="32" t="s">
        <v>951</v>
      </c>
      <c r="F446" s="32"/>
      <c r="G446" s="189" t="s">
        <v>991</v>
      </c>
    </row>
    <row r="447" spans="1:7" ht="74.099999999999994" customHeight="1">
      <c r="A447" s="242"/>
      <c r="B447" s="244"/>
      <c r="C447" s="252" t="s">
        <v>992</v>
      </c>
      <c r="D447" s="253"/>
      <c r="E447" s="32" t="s">
        <v>951</v>
      </c>
      <c r="F447" s="32"/>
      <c r="G447" s="189" t="s">
        <v>993</v>
      </c>
    </row>
    <row r="448" spans="1:7">
      <c r="A448" s="242"/>
      <c r="B448" s="244"/>
      <c r="C448" s="252" t="s">
        <v>994</v>
      </c>
      <c r="D448" s="253"/>
      <c r="E448" s="32" t="s">
        <v>951</v>
      </c>
      <c r="F448" s="32"/>
      <c r="G448" s="189" t="s">
        <v>995</v>
      </c>
    </row>
    <row r="449" spans="1:7" ht="15" thickBot="1">
      <c r="A449" s="242"/>
      <c r="B449" s="244"/>
      <c r="C449" s="254" t="s">
        <v>996</v>
      </c>
      <c r="D449" s="255"/>
      <c r="E449" s="35" t="s">
        <v>951</v>
      </c>
      <c r="F449" s="35"/>
      <c r="G449" s="193" t="s">
        <v>997</v>
      </c>
    </row>
    <row r="450" spans="1:7">
      <c r="A450" s="274" t="s">
        <v>998</v>
      </c>
      <c r="B450" s="330" t="s">
        <v>999</v>
      </c>
      <c r="C450" s="277" t="s">
        <v>1000</v>
      </c>
      <c r="D450" s="302"/>
      <c r="E450" s="31" t="s">
        <v>951</v>
      </c>
      <c r="F450" s="31"/>
      <c r="G450" s="185" t="s">
        <v>985</v>
      </c>
    </row>
    <row r="451" spans="1:7">
      <c r="A451" s="275"/>
      <c r="B451" s="245"/>
      <c r="C451" s="248" t="s">
        <v>1001</v>
      </c>
      <c r="D451" s="249"/>
      <c r="E451" s="34" t="s">
        <v>951</v>
      </c>
      <c r="F451" s="34"/>
      <c r="G451" s="194" t="s">
        <v>1002</v>
      </c>
    </row>
    <row r="452" spans="1:7">
      <c r="A452" s="275"/>
      <c r="B452" s="243" t="s">
        <v>953</v>
      </c>
      <c r="C452" s="246" t="s">
        <v>1003</v>
      </c>
      <c r="D452" s="293"/>
      <c r="E452" s="36" t="s">
        <v>951</v>
      </c>
      <c r="F452" s="36"/>
      <c r="G452" s="187" t="s">
        <v>1004</v>
      </c>
    </row>
    <row r="453" spans="1:7" ht="15" thickBot="1">
      <c r="A453" s="276"/>
      <c r="B453" s="358"/>
      <c r="C453" s="297" t="s">
        <v>1005</v>
      </c>
      <c r="D453" s="298"/>
      <c r="E453" s="33" t="s">
        <v>951</v>
      </c>
      <c r="F453" s="33"/>
      <c r="G453" s="188"/>
    </row>
  </sheetData>
  <mergeCells count="593">
    <mergeCell ref="A450:A453"/>
    <mergeCell ref="C450:D450"/>
    <mergeCell ref="C451:D451"/>
    <mergeCell ref="C452:D452"/>
    <mergeCell ref="C453:D453"/>
    <mergeCell ref="A426:A431"/>
    <mergeCell ref="C426:D426"/>
    <mergeCell ref="C432:D432"/>
    <mergeCell ref="C447:D447"/>
    <mergeCell ref="C439:D439"/>
    <mergeCell ref="C440:D440"/>
    <mergeCell ref="C441:D441"/>
    <mergeCell ref="C446:D446"/>
    <mergeCell ref="C438:D438"/>
    <mergeCell ref="B450:B451"/>
    <mergeCell ref="B452:B453"/>
    <mergeCell ref="C431:D431"/>
    <mergeCell ref="C427:D427"/>
    <mergeCell ref="C430:D430"/>
    <mergeCell ref="B136:B137"/>
    <mergeCell ref="B138:B139"/>
    <mergeCell ref="B143:B145"/>
    <mergeCell ref="A141:G141"/>
    <mergeCell ref="B210:B211"/>
    <mergeCell ref="B212:B214"/>
    <mergeCell ref="B216:B218"/>
    <mergeCell ref="B221:B224"/>
    <mergeCell ref="B225:B228"/>
    <mergeCell ref="A203:A233"/>
    <mergeCell ref="B203:B204"/>
    <mergeCell ref="B168:B169"/>
    <mergeCell ref="B158:B159"/>
    <mergeCell ref="B166:B167"/>
    <mergeCell ref="B162:B164"/>
    <mergeCell ref="A172:G172"/>
    <mergeCell ref="B148:B150"/>
    <mergeCell ref="B151:B153"/>
    <mergeCell ref="B154:B155"/>
    <mergeCell ref="B156:B157"/>
    <mergeCell ref="C147:D147"/>
    <mergeCell ref="C148:D148"/>
    <mergeCell ref="C149:D149"/>
    <mergeCell ref="C150:D150"/>
    <mergeCell ref="C421:D421"/>
    <mergeCell ref="A42:A68"/>
    <mergeCell ref="A69:A83"/>
    <mergeCell ref="C385:D385"/>
    <mergeCell ref="A94:A115"/>
    <mergeCell ref="A84:A87"/>
    <mergeCell ref="A88:A91"/>
    <mergeCell ref="A116:A122"/>
    <mergeCell ref="B125:B126"/>
    <mergeCell ref="B127:B128"/>
    <mergeCell ref="B129:B133"/>
    <mergeCell ref="B134:B135"/>
    <mergeCell ref="B398:B399"/>
    <mergeCell ref="B400:B401"/>
    <mergeCell ref="B402:B403"/>
    <mergeCell ref="B404:B406"/>
    <mergeCell ref="B362:B363"/>
    <mergeCell ref="B364:B366"/>
    <mergeCell ref="B367:B368"/>
    <mergeCell ref="A361:A369"/>
    <mergeCell ref="A333:A358"/>
    <mergeCell ref="A372:A412"/>
    <mergeCell ref="B333:B334"/>
    <mergeCell ref="C229:D229"/>
    <mergeCell ref="B335:B337"/>
    <mergeCell ref="B338:B345"/>
    <mergeCell ref="B346:B348"/>
    <mergeCell ref="B349:B352"/>
    <mergeCell ref="B353:B354"/>
    <mergeCell ref="B357:B358"/>
    <mergeCell ref="B413:B415"/>
    <mergeCell ref="B416:B418"/>
    <mergeCell ref="B419:B420"/>
    <mergeCell ref="B407:B408"/>
    <mergeCell ref="B410:B411"/>
    <mergeCell ref="A360:G360"/>
    <mergeCell ref="A371:G371"/>
    <mergeCell ref="B372:B373"/>
    <mergeCell ref="C375:D375"/>
    <mergeCell ref="A413:A422"/>
    <mergeCell ref="C404:D404"/>
    <mergeCell ref="C420:D420"/>
    <mergeCell ref="C345:D345"/>
    <mergeCell ref="C417:D417"/>
    <mergeCell ref="C346:D346"/>
    <mergeCell ref="C347:D347"/>
    <mergeCell ref="C348:D348"/>
    <mergeCell ref="C356:D356"/>
    <mergeCell ref="B321:B328"/>
    <mergeCell ref="B329:B330"/>
    <mergeCell ref="A300:A330"/>
    <mergeCell ref="A332:G332"/>
    <mergeCell ref="C323:D323"/>
    <mergeCell ref="C324:D324"/>
    <mergeCell ref="C325:D325"/>
    <mergeCell ref="C326:D326"/>
    <mergeCell ref="C327:D327"/>
    <mergeCell ref="B301:B307"/>
    <mergeCell ref="B310:B312"/>
    <mergeCell ref="B313:B317"/>
    <mergeCell ref="B318:B320"/>
    <mergeCell ref="C304:D304"/>
    <mergeCell ref="C305:D305"/>
    <mergeCell ref="C306:D306"/>
    <mergeCell ref="C307:D307"/>
    <mergeCell ref="C308:D308"/>
    <mergeCell ref="C300:D300"/>
    <mergeCell ref="C301:D301"/>
    <mergeCell ref="C302:D302"/>
    <mergeCell ref="C303:D303"/>
    <mergeCell ref="C310:D310"/>
    <mergeCell ref="C309:D309"/>
    <mergeCell ref="B288:B290"/>
    <mergeCell ref="B291:B292"/>
    <mergeCell ref="B293:B294"/>
    <mergeCell ref="B295:B296"/>
    <mergeCell ref="A236:A297"/>
    <mergeCell ref="B264:B265"/>
    <mergeCell ref="B266:B267"/>
    <mergeCell ref="B268:B269"/>
    <mergeCell ref="B270:B272"/>
    <mergeCell ref="B273:B276"/>
    <mergeCell ref="B277:B279"/>
    <mergeCell ref="B280:B281"/>
    <mergeCell ref="B282:B284"/>
    <mergeCell ref="B236:B237"/>
    <mergeCell ref="B238:B244"/>
    <mergeCell ref="B245:B246"/>
    <mergeCell ref="B247:B249"/>
    <mergeCell ref="B250:B252"/>
    <mergeCell ref="B253:B254"/>
    <mergeCell ref="B255:B259"/>
    <mergeCell ref="B260:B261"/>
    <mergeCell ref="B262:B263"/>
    <mergeCell ref="A299:G299"/>
    <mergeCell ref="B196:B198"/>
    <mergeCell ref="B199:B200"/>
    <mergeCell ref="B205:B206"/>
    <mergeCell ref="A173:A200"/>
    <mergeCell ref="A202:G202"/>
    <mergeCell ref="C203:D203"/>
    <mergeCell ref="C204:D204"/>
    <mergeCell ref="C208:D208"/>
    <mergeCell ref="B207:B208"/>
    <mergeCell ref="C230:D230"/>
    <mergeCell ref="C231:D231"/>
    <mergeCell ref="B173:B174"/>
    <mergeCell ref="B175:B176"/>
    <mergeCell ref="B177:B178"/>
    <mergeCell ref="B180:B182"/>
    <mergeCell ref="B183:B184"/>
    <mergeCell ref="B185:B186"/>
    <mergeCell ref="B187:B188"/>
    <mergeCell ref="B189:B190"/>
    <mergeCell ref="B191:B192"/>
    <mergeCell ref="B193:B194"/>
    <mergeCell ref="C182:D182"/>
    <mergeCell ref="B286:B287"/>
    <mergeCell ref="B89:B91"/>
    <mergeCell ref="A93:G93"/>
    <mergeCell ref="B116:B117"/>
    <mergeCell ref="C124:D124"/>
    <mergeCell ref="C123:D123"/>
    <mergeCell ref="B123:B124"/>
    <mergeCell ref="B120:B121"/>
    <mergeCell ref="C9:D9"/>
    <mergeCell ref="B12:B14"/>
    <mergeCell ref="B15:B17"/>
    <mergeCell ref="B19:B21"/>
    <mergeCell ref="B23:B26"/>
    <mergeCell ref="B27:B30"/>
    <mergeCell ref="B31:B33"/>
    <mergeCell ref="B34:B39"/>
    <mergeCell ref="B40:B41"/>
    <mergeCell ref="B75:B79"/>
    <mergeCell ref="B80:B83"/>
    <mergeCell ref="B84:B87"/>
    <mergeCell ref="B94:B97"/>
    <mergeCell ref="B98:B102"/>
    <mergeCell ref="B103:B105"/>
    <mergeCell ref="B106:B108"/>
    <mergeCell ref="B109:B111"/>
    <mergeCell ref="A4:A6"/>
    <mergeCell ref="B4:B6"/>
    <mergeCell ref="B9:B11"/>
    <mergeCell ref="B7:B8"/>
    <mergeCell ref="B42:B56"/>
    <mergeCell ref="B57:B63"/>
    <mergeCell ref="B64:B68"/>
    <mergeCell ref="B69:B71"/>
    <mergeCell ref="B72:B74"/>
    <mergeCell ref="A7:A11"/>
    <mergeCell ref="B112:B114"/>
    <mergeCell ref="C5:D5"/>
    <mergeCell ref="C6:D6"/>
    <mergeCell ref="C7:D7"/>
    <mergeCell ref="C8:D8"/>
    <mergeCell ref="G1:G2"/>
    <mergeCell ref="C4:D4"/>
    <mergeCell ref="C12:D12"/>
    <mergeCell ref="C13:D13"/>
    <mergeCell ref="C14:D14"/>
    <mergeCell ref="C16:D16"/>
    <mergeCell ref="C15:D15"/>
    <mergeCell ref="C10:D10"/>
    <mergeCell ref="C11:D11"/>
    <mergeCell ref="C21:D21"/>
    <mergeCell ref="C22:D22"/>
    <mergeCell ref="C23:D23"/>
    <mergeCell ref="C24:D24"/>
    <mergeCell ref="C17:D17"/>
    <mergeCell ref="C20:D20"/>
    <mergeCell ref="C18:D18"/>
    <mergeCell ref="C19:D19"/>
    <mergeCell ref="C30:D30"/>
    <mergeCell ref="C31:D31"/>
    <mergeCell ref="C32:D32"/>
    <mergeCell ref="C33:D33"/>
    <mergeCell ref="C25:D25"/>
    <mergeCell ref="C26:D26"/>
    <mergeCell ref="C27:D27"/>
    <mergeCell ref="C28:D28"/>
    <mergeCell ref="C29:D29"/>
    <mergeCell ref="C40:D40"/>
    <mergeCell ref="C41:D41"/>
    <mergeCell ref="C42:D42"/>
    <mergeCell ref="C34:D34"/>
    <mergeCell ref="C35:D35"/>
    <mergeCell ref="C36:D36"/>
    <mergeCell ref="C37:D37"/>
    <mergeCell ref="C38:D38"/>
    <mergeCell ref="C39:D39"/>
    <mergeCell ref="C50:D50"/>
    <mergeCell ref="C51:D51"/>
    <mergeCell ref="C52:D52"/>
    <mergeCell ref="C53:D53"/>
    <mergeCell ref="C54:D54"/>
    <mergeCell ref="C43:D43"/>
    <mergeCell ref="C44:D44"/>
    <mergeCell ref="C45:D45"/>
    <mergeCell ref="C46:D46"/>
    <mergeCell ref="C47:D47"/>
    <mergeCell ref="C48:D48"/>
    <mergeCell ref="C49:D49"/>
    <mergeCell ref="C60:D60"/>
    <mergeCell ref="C61:D61"/>
    <mergeCell ref="C62:D62"/>
    <mergeCell ref="C63:D63"/>
    <mergeCell ref="C64:D64"/>
    <mergeCell ref="C55:D55"/>
    <mergeCell ref="C56:D56"/>
    <mergeCell ref="C57:D57"/>
    <mergeCell ref="C58:D58"/>
    <mergeCell ref="C59:D59"/>
    <mergeCell ref="C69:D69"/>
    <mergeCell ref="C70:D70"/>
    <mergeCell ref="C71:D71"/>
    <mergeCell ref="C72:D72"/>
    <mergeCell ref="C73:D73"/>
    <mergeCell ref="C65:D65"/>
    <mergeCell ref="C66:D66"/>
    <mergeCell ref="C67:D67"/>
    <mergeCell ref="C68:D68"/>
    <mergeCell ref="C79:D79"/>
    <mergeCell ref="C80:D80"/>
    <mergeCell ref="C81:D81"/>
    <mergeCell ref="C82:D82"/>
    <mergeCell ref="C83:D83"/>
    <mergeCell ref="C74:D74"/>
    <mergeCell ref="C75:D75"/>
    <mergeCell ref="C76:D76"/>
    <mergeCell ref="C77:D77"/>
    <mergeCell ref="C78:D78"/>
    <mergeCell ref="C88:D88"/>
    <mergeCell ref="C89:D89"/>
    <mergeCell ref="C90:D90"/>
    <mergeCell ref="C84:D84"/>
    <mergeCell ref="C85:D85"/>
    <mergeCell ref="C86:D86"/>
    <mergeCell ref="C87:D87"/>
    <mergeCell ref="C97:D97"/>
    <mergeCell ref="C99:D99"/>
    <mergeCell ref="C98:D98"/>
    <mergeCell ref="C100:D100"/>
    <mergeCell ref="C101:D101"/>
    <mergeCell ref="C91:D91"/>
    <mergeCell ref="C95:D95"/>
    <mergeCell ref="C94:D94"/>
    <mergeCell ref="C96:D96"/>
    <mergeCell ref="C106:D106"/>
    <mergeCell ref="C107:D107"/>
    <mergeCell ref="C108:D108"/>
    <mergeCell ref="C110:D110"/>
    <mergeCell ref="C109:D109"/>
    <mergeCell ref="C102:D102"/>
    <mergeCell ref="C104:D104"/>
    <mergeCell ref="C103:D103"/>
    <mergeCell ref="C105:D105"/>
    <mergeCell ref="C115:D115"/>
    <mergeCell ref="C116:D116"/>
    <mergeCell ref="C111:D111"/>
    <mergeCell ref="C113:D113"/>
    <mergeCell ref="C112:D112"/>
    <mergeCell ref="C114:D114"/>
    <mergeCell ref="C120:D120"/>
    <mergeCell ref="C121:D121"/>
    <mergeCell ref="C122:D122"/>
    <mergeCell ref="C117:D117"/>
    <mergeCell ref="C118:D118"/>
    <mergeCell ref="C119:D119"/>
    <mergeCell ref="C125:D125"/>
    <mergeCell ref="C126:D126"/>
    <mergeCell ref="C127:D127"/>
    <mergeCell ref="C128:D128"/>
    <mergeCell ref="C144:D144"/>
    <mergeCell ref="C134:D134"/>
    <mergeCell ref="C135:D135"/>
    <mergeCell ref="C136:D136"/>
    <mergeCell ref="C146:D146"/>
    <mergeCell ref="C129:D129"/>
    <mergeCell ref="C130:D130"/>
    <mergeCell ref="C131:D131"/>
    <mergeCell ref="C132:D132"/>
    <mergeCell ref="C133:D133"/>
    <mergeCell ref="C142:D142"/>
    <mergeCell ref="C143:D143"/>
    <mergeCell ref="C145:D145"/>
    <mergeCell ref="C139:D139"/>
    <mergeCell ref="C138:D138"/>
    <mergeCell ref="C137:D137"/>
    <mergeCell ref="C155:D155"/>
    <mergeCell ref="C156:D156"/>
    <mergeCell ref="C157:D157"/>
    <mergeCell ref="C158:D158"/>
    <mergeCell ref="C151:D151"/>
    <mergeCell ref="C152:D152"/>
    <mergeCell ref="C153:D153"/>
    <mergeCell ref="C154:D154"/>
    <mergeCell ref="C163:D163"/>
    <mergeCell ref="C162:D162"/>
    <mergeCell ref="C164:D164"/>
    <mergeCell ref="C165:D165"/>
    <mergeCell ref="C159:D159"/>
    <mergeCell ref="C160:D160"/>
    <mergeCell ref="C161:D161"/>
    <mergeCell ref="C168:D168"/>
    <mergeCell ref="C169:D169"/>
    <mergeCell ref="C170:D170"/>
    <mergeCell ref="C167:D167"/>
    <mergeCell ref="C166:D166"/>
    <mergeCell ref="C173:D173"/>
    <mergeCell ref="C174:D174"/>
    <mergeCell ref="C175:D175"/>
    <mergeCell ref="C176:D176"/>
    <mergeCell ref="C180:D180"/>
    <mergeCell ref="C181:D181"/>
    <mergeCell ref="C177:D177"/>
    <mergeCell ref="C178:D178"/>
    <mergeCell ref="C179:D179"/>
    <mergeCell ref="C196:D196"/>
    <mergeCell ref="C187:D187"/>
    <mergeCell ref="C188:D188"/>
    <mergeCell ref="C197:D197"/>
    <mergeCell ref="C189:D189"/>
    <mergeCell ref="C190:D190"/>
    <mergeCell ref="C194:D194"/>
    <mergeCell ref="C183:D183"/>
    <mergeCell ref="C184:D184"/>
    <mergeCell ref="C185:D185"/>
    <mergeCell ref="C186:D186"/>
    <mergeCell ref="C195:D195"/>
    <mergeCell ref="C191:D191"/>
    <mergeCell ref="C192:D192"/>
    <mergeCell ref="C193:D193"/>
    <mergeCell ref="C199:D199"/>
    <mergeCell ref="C200:D200"/>
    <mergeCell ref="C205:D205"/>
    <mergeCell ref="C198:D198"/>
    <mergeCell ref="C240:D240"/>
    <mergeCell ref="C210:D210"/>
    <mergeCell ref="C211:D211"/>
    <mergeCell ref="C242:D242"/>
    <mergeCell ref="C212:D212"/>
    <mergeCell ref="C213:D213"/>
    <mergeCell ref="C206:D206"/>
    <mergeCell ref="C207:D207"/>
    <mergeCell ref="C209:D209"/>
    <mergeCell ref="C216:D216"/>
    <mergeCell ref="C217:D217"/>
    <mergeCell ref="C218:D218"/>
    <mergeCell ref="C219:D219"/>
    <mergeCell ref="C214:D214"/>
    <mergeCell ref="C215:D215"/>
    <mergeCell ref="C223:D223"/>
    <mergeCell ref="C224:D224"/>
    <mergeCell ref="C225:D225"/>
    <mergeCell ref="C226:D226"/>
    <mergeCell ref="C227:D227"/>
    <mergeCell ref="C238:D238"/>
    <mergeCell ref="C239:D239"/>
    <mergeCell ref="C241:D241"/>
    <mergeCell ref="C243:D243"/>
    <mergeCell ref="C269:D269"/>
    <mergeCell ref="C253:D253"/>
    <mergeCell ref="C254:D254"/>
    <mergeCell ref="C220:D220"/>
    <mergeCell ref="C221:D221"/>
    <mergeCell ref="C222:D222"/>
    <mergeCell ref="C236:D236"/>
    <mergeCell ref="C237:D237"/>
    <mergeCell ref="C228:D228"/>
    <mergeCell ref="C232:D232"/>
    <mergeCell ref="C233:D233"/>
    <mergeCell ref="C244:D244"/>
    <mergeCell ref="A235:G235"/>
    <mergeCell ref="B230:B231"/>
    <mergeCell ref="C255:D255"/>
    <mergeCell ref="C256:D256"/>
    <mergeCell ref="C248:D248"/>
    <mergeCell ref="C249:D249"/>
    <mergeCell ref="C266:D266"/>
    <mergeCell ref="C250:D250"/>
    <mergeCell ref="C251:D251"/>
    <mergeCell ref="C252:D252"/>
    <mergeCell ref="C245:D245"/>
    <mergeCell ref="C246:D246"/>
    <mergeCell ref="C247:D247"/>
    <mergeCell ref="C262:D262"/>
    <mergeCell ref="C263:D263"/>
    <mergeCell ref="C280:D280"/>
    <mergeCell ref="C264:D264"/>
    <mergeCell ref="C265:D265"/>
    <mergeCell ref="C257:D257"/>
    <mergeCell ref="C258:D258"/>
    <mergeCell ref="C259:D259"/>
    <mergeCell ref="C276:D276"/>
    <mergeCell ref="C260:D260"/>
    <mergeCell ref="C261:D261"/>
    <mergeCell ref="C271:D271"/>
    <mergeCell ref="C270:D270"/>
    <mergeCell ref="C272:D272"/>
    <mergeCell ref="C273:D273"/>
    <mergeCell ref="C282:D282"/>
    <mergeCell ref="C267:D267"/>
    <mergeCell ref="C284:D284"/>
    <mergeCell ref="C268:D268"/>
    <mergeCell ref="C279:D279"/>
    <mergeCell ref="C281:D281"/>
    <mergeCell ref="C274:D274"/>
    <mergeCell ref="C275:D275"/>
    <mergeCell ref="C277:D277"/>
    <mergeCell ref="C278:D278"/>
    <mergeCell ref="C290:D290"/>
    <mergeCell ref="C283:D283"/>
    <mergeCell ref="C285:D285"/>
    <mergeCell ref="C295:D295"/>
    <mergeCell ref="C296:D296"/>
    <mergeCell ref="C297:D297"/>
    <mergeCell ref="C291:D291"/>
    <mergeCell ref="C292:D292"/>
    <mergeCell ref="C293:D293"/>
    <mergeCell ref="C294:D294"/>
    <mergeCell ref="C286:D286"/>
    <mergeCell ref="C289:D289"/>
    <mergeCell ref="C287:D287"/>
    <mergeCell ref="C288:D288"/>
    <mergeCell ref="C315:D315"/>
    <mergeCell ref="C316:D316"/>
    <mergeCell ref="C317:D317"/>
    <mergeCell ref="C318:D318"/>
    <mergeCell ref="C319:D319"/>
    <mergeCell ref="C311:D311"/>
    <mergeCell ref="C312:D312"/>
    <mergeCell ref="C313:D313"/>
    <mergeCell ref="C314:D314"/>
    <mergeCell ref="C329:D329"/>
    <mergeCell ref="C330:D330"/>
    <mergeCell ref="C406:D406"/>
    <mergeCell ref="C333:D333"/>
    <mergeCell ref="C320:D320"/>
    <mergeCell ref="C401:D401"/>
    <mergeCell ref="C321:D321"/>
    <mergeCell ref="C322:D322"/>
    <mergeCell ref="C328:D328"/>
    <mergeCell ref="C338:D338"/>
    <mergeCell ref="C339:D339"/>
    <mergeCell ref="C340:D340"/>
    <mergeCell ref="C341:D341"/>
    <mergeCell ref="C342:D342"/>
    <mergeCell ref="C343:D343"/>
    <mergeCell ref="C334:D334"/>
    <mergeCell ref="C335:D335"/>
    <mergeCell ref="C336:D336"/>
    <mergeCell ref="C337:D337"/>
    <mergeCell ref="C349:D349"/>
    <mergeCell ref="C350:D350"/>
    <mergeCell ref="C351:D351"/>
    <mergeCell ref="C352:D352"/>
    <mergeCell ref="C344:D344"/>
    <mergeCell ref="C353:D353"/>
    <mergeCell ref="C354:D354"/>
    <mergeCell ref="C355:D355"/>
    <mergeCell ref="C362:D362"/>
    <mergeCell ref="C363:D363"/>
    <mergeCell ref="C357:D357"/>
    <mergeCell ref="C358:D358"/>
    <mergeCell ref="C361:D361"/>
    <mergeCell ref="C365:D365"/>
    <mergeCell ref="C366:D366"/>
    <mergeCell ref="C367:D367"/>
    <mergeCell ref="C368:D368"/>
    <mergeCell ref="C364:D364"/>
    <mergeCell ref="C372:D372"/>
    <mergeCell ref="C392:D392"/>
    <mergeCell ref="C374:D374"/>
    <mergeCell ref="C376:D376"/>
    <mergeCell ref="C394:D394"/>
    <mergeCell ref="C377:D377"/>
    <mergeCell ref="C369:D369"/>
    <mergeCell ref="C388:D388"/>
    <mergeCell ref="C373:D373"/>
    <mergeCell ref="C378:D378"/>
    <mergeCell ref="C422:D422"/>
    <mergeCell ref="A12:A41"/>
    <mergeCell ref="C418:D418"/>
    <mergeCell ref="C419:D419"/>
    <mergeCell ref="C413:D413"/>
    <mergeCell ref="C414:D414"/>
    <mergeCell ref="C415:D415"/>
    <mergeCell ref="C416:D416"/>
    <mergeCell ref="C410:D410"/>
    <mergeCell ref="C411:D411"/>
    <mergeCell ref="A123:A135"/>
    <mergeCell ref="A136:A139"/>
    <mergeCell ref="A142:A161"/>
    <mergeCell ref="A162:A170"/>
    <mergeCell ref="C412:D412"/>
    <mergeCell ref="C407:D407"/>
    <mergeCell ref="C408:D408"/>
    <mergeCell ref="C409:D409"/>
    <mergeCell ref="B379:B380"/>
    <mergeCell ref="B381:B384"/>
    <mergeCell ref="B385:B387"/>
    <mergeCell ref="B388:B389"/>
    <mergeCell ref="B390:B391"/>
    <mergeCell ref="B393:B396"/>
    <mergeCell ref="C402:D402"/>
    <mergeCell ref="C403:D403"/>
    <mergeCell ref="C405:D405"/>
    <mergeCell ref="E1:E2"/>
    <mergeCell ref="F1:F2"/>
    <mergeCell ref="A1:D2"/>
    <mergeCell ref="C398:D398"/>
    <mergeCell ref="C399:D399"/>
    <mergeCell ref="C400:D400"/>
    <mergeCell ref="C395:D395"/>
    <mergeCell ref="C396:D396"/>
    <mergeCell ref="C397:D397"/>
    <mergeCell ref="C381:D381"/>
    <mergeCell ref="C382:D382"/>
    <mergeCell ref="C383:D383"/>
    <mergeCell ref="C384:D384"/>
    <mergeCell ref="C379:D379"/>
    <mergeCell ref="C380:D380"/>
    <mergeCell ref="C390:D390"/>
    <mergeCell ref="C391:D391"/>
    <mergeCell ref="C393:D393"/>
    <mergeCell ref="C386:D386"/>
    <mergeCell ref="C387:D387"/>
    <mergeCell ref="C389:D389"/>
    <mergeCell ref="C425:D425"/>
    <mergeCell ref="A432:A449"/>
    <mergeCell ref="B435:B437"/>
    <mergeCell ref="C435:D435"/>
    <mergeCell ref="C437:D437"/>
    <mergeCell ref="C436:D436"/>
    <mergeCell ref="C442:D442"/>
    <mergeCell ref="C443:D443"/>
    <mergeCell ref="C444:D444"/>
    <mergeCell ref="C445:D445"/>
    <mergeCell ref="B438:B449"/>
    <mergeCell ref="C449:D449"/>
    <mergeCell ref="C448:D448"/>
    <mergeCell ref="C428:D428"/>
    <mergeCell ref="C429:D429"/>
    <mergeCell ref="B426:B429"/>
    <mergeCell ref="B430:B431"/>
    <mergeCell ref="C433:D433"/>
    <mergeCell ref="C434:D434"/>
    <mergeCell ref="B432:B434"/>
  </mergeCells>
  <dataValidations count="2">
    <dataValidation type="list" allowBlank="1" showInputMessage="1" showErrorMessage="1" sqref="E202:F202 E172:F172 E299:F299 E332:F332 E235:F235 E360:F360 E141:F141 E371:F371" xr:uid="{BE167540-1A96-4B5B-A3AE-B5894F3360BB}"/>
    <dataValidation allowBlank="1" showInputMessage="1" showErrorMessage="1" sqref="F95:F139 F142:F170 F173:F200 F203:F233 F236:F297 F300:F330 F333:F358 F361:F369 F372:F422 F425:F453" xr:uid="{2C247692-380C-4D17-BE7A-726C49251F8F}"/>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65FFF54-49A4-4ED0-A9C6-0ABF526735AC}">
          <x14:formula1>
            <xm:f>LISTES!$A$14:$A$21</xm:f>
          </x14:formula1>
          <xm:sqref>F91 E361:E369 E333:E358 E300:E330 E236:E297 E203:E233 E173:E200 E142:E170 E372:E422 E4:E91 E94:E139</xm:sqref>
        </x14:dataValidation>
        <x14:dataValidation type="list" allowBlank="1" showInputMessage="1" showErrorMessage="1" xr:uid="{D84C883D-4AC5-416C-AF93-5BDF19F66F91}">
          <x14:formula1>
            <xm:f>LISTES!$A$2:$A$3</xm:f>
          </x14:formula1>
          <xm:sqref>E425:E453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3169-F5FE-4B36-BCDB-A00BBD29BAD6}">
  <sheetPr>
    <tabColor theme="9" tint="0.79998168889431442"/>
  </sheetPr>
  <dimension ref="A1:J19"/>
  <sheetViews>
    <sheetView topLeftCell="D1" zoomScale="70" zoomScaleNormal="70" workbookViewId="0">
      <selection activeCell="G4" sqref="G4"/>
    </sheetView>
  </sheetViews>
  <sheetFormatPr baseColWidth="10" defaultColWidth="10.88671875" defaultRowHeight="14.4"/>
  <cols>
    <col min="1" max="1" width="23.44140625" style="28" customWidth="1"/>
    <col min="2" max="2" width="25.5546875" style="27" customWidth="1"/>
    <col min="3" max="4" width="55" style="27" customWidth="1"/>
    <col min="5" max="5" width="55" style="28" customWidth="1"/>
    <col min="6" max="6" width="31.6640625" style="1" customWidth="1"/>
    <col min="7" max="7" width="46.44140625" style="1" customWidth="1"/>
    <col min="8" max="8" width="41.33203125" style="27" customWidth="1"/>
    <col min="9" max="10" width="36.5546875" style="27" customWidth="1"/>
    <col min="11" max="16384" width="10.88671875" style="27"/>
  </cols>
  <sheetData>
    <row r="1" spans="1:10" ht="16.2" thickBot="1">
      <c r="A1" s="63" t="s">
        <v>21</v>
      </c>
      <c r="B1" s="64" t="s">
        <v>1006</v>
      </c>
      <c r="C1" s="64" t="s">
        <v>1007</v>
      </c>
      <c r="D1" s="64" t="s">
        <v>1008</v>
      </c>
      <c r="E1" s="64" t="s">
        <v>1009</v>
      </c>
      <c r="F1" s="64" t="s">
        <v>23</v>
      </c>
      <c r="G1" s="64" t="s">
        <v>1010</v>
      </c>
      <c r="H1" s="64" t="s">
        <v>1011</v>
      </c>
      <c r="I1" s="64" t="s">
        <v>1012</v>
      </c>
      <c r="J1" s="65" t="s">
        <v>24</v>
      </c>
    </row>
    <row r="2" spans="1:10" ht="175.5" customHeight="1" thickBot="1">
      <c r="A2" s="87" t="s">
        <v>1013</v>
      </c>
      <c r="B2" s="88" t="s">
        <v>1014</v>
      </c>
      <c r="C2" s="58" t="s">
        <v>1015</v>
      </c>
      <c r="D2" s="59" t="s">
        <v>1016</v>
      </c>
      <c r="E2" s="60" t="s">
        <v>1017</v>
      </c>
      <c r="F2" s="61" t="s">
        <v>1018</v>
      </c>
      <c r="G2" s="58" t="s">
        <v>1019</v>
      </c>
      <c r="H2" s="60" t="s">
        <v>1020</v>
      </c>
      <c r="I2" s="60" t="s">
        <v>1021</v>
      </c>
      <c r="J2" s="62"/>
    </row>
    <row r="3" spans="1:10" ht="99" customHeight="1" thickBot="1">
      <c r="A3" s="87" t="s">
        <v>1022</v>
      </c>
      <c r="B3" s="88" t="s">
        <v>1023</v>
      </c>
      <c r="C3" s="58" t="s">
        <v>1024</v>
      </c>
      <c r="D3" s="59" t="s">
        <v>1016</v>
      </c>
      <c r="E3" s="60" t="s">
        <v>1025</v>
      </c>
      <c r="F3" s="61" t="s">
        <v>1018</v>
      </c>
      <c r="G3" s="58" t="s">
        <v>1026</v>
      </c>
      <c r="H3" s="60" t="s">
        <v>1020</v>
      </c>
      <c r="I3" s="60" t="s">
        <v>1021</v>
      </c>
      <c r="J3" s="62"/>
    </row>
    <row r="4" spans="1:10" ht="99" customHeight="1" thickBot="1">
      <c r="A4" s="87" t="s">
        <v>1027</v>
      </c>
      <c r="B4" s="88" t="s">
        <v>1028</v>
      </c>
      <c r="C4" s="58" t="s">
        <v>1029</v>
      </c>
      <c r="D4" s="66" t="s">
        <v>1030</v>
      </c>
      <c r="E4" s="60" t="s">
        <v>1031</v>
      </c>
      <c r="F4" s="61" t="s">
        <v>1018</v>
      </c>
      <c r="G4" s="58" t="s">
        <v>1026</v>
      </c>
      <c r="H4" s="60" t="s">
        <v>1020</v>
      </c>
      <c r="I4" s="60" t="s">
        <v>1021</v>
      </c>
      <c r="J4" s="62"/>
    </row>
    <row r="5" spans="1:10" ht="99" customHeight="1" thickBot="1">
      <c r="A5" s="87" t="s">
        <v>1032</v>
      </c>
      <c r="B5" s="89" t="s">
        <v>1033</v>
      </c>
      <c r="C5" s="58" t="s">
        <v>1034</v>
      </c>
      <c r="D5" s="66" t="s">
        <v>1035</v>
      </c>
      <c r="E5" s="60" t="s">
        <v>1036</v>
      </c>
      <c r="F5" s="61" t="s">
        <v>1018</v>
      </c>
      <c r="G5" s="58" t="s">
        <v>1037</v>
      </c>
      <c r="H5" s="60" t="s">
        <v>1020</v>
      </c>
      <c r="I5" s="60" t="s">
        <v>1021</v>
      </c>
      <c r="J5" s="62"/>
    </row>
    <row r="6" spans="1:10" ht="99" customHeight="1" thickBot="1">
      <c r="A6" s="87" t="s">
        <v>1038</v>
      </c>
      <c r="B6" s="88" t="s">
        <v>1039</v>
      </c>
      <c r="C6" s="58" t="s">
        <v>1040</v>
      </c>
      <c r="D6" s="60" t="s">
        <v>1041</v>
      </c>
      <c r="E6" s="60" t="s">
        <v>1042</v>
      </c>
      <c r="F6" s="61" t="s">
        <v>1018</v>
      </c>
      <c r="G6" s="58" t="s">
        <v>1026</v>
      </c>
      <c r="H6" s="60" t="s">
        <v>1020</v>
      </c>
      <c r="I6" s="60" t="s">
        <v>1021</v>
      </c>
      <c r="J6" s="62"/>
    </row>
    <row r="7" spans="1:10" ht="99" customHeight="1" thickBot="1">
      <c r="A7" s="87" t="s">
        <v>1043</v>
      </c>
      <c r="B7" s="88" t="s">
        <v>1044</v>
      </c>
      <c r="C7" s="58" t="s">
        <v>1045</v>
      </c>
      <c r="D7" s="66" t="s">
        <v>1046</v>
      </c>
      <c r="E7" s="60" t="s">
        <v>1047</v>
      </c>
      <c r="F7" s="61" t="s">
        <v>1018</v>
      </c>
      <c r="G7" s="58" t="s">
        <v>1048</v>
      </c>
      <c r="H7" s="60" t="s">
        <v>1020</v>
      </c>
      <c r="I7" s="60" t="s">
        <v>1021</v>
      </c>
      <c r="J7" s="62"/>
    </row>
    <row r="8" spans="1:10" ht="99" customHeight="1" thickBot="1">
      <c r="A8" s="87" t="s">
        <v>1043</v>
      </c>
      <c r="B8" s="88" t="s">
        <v>1049</v>
      </c>
      <c r="C8" s="58" t="s">
        <v>1050</v>
      </c>
      <c r="D8" s="66" t="s">
        <v>1046</v>
      </c>
      <c r="E8" s="60" t="s">
        <v>1047</v>
      </c>
      <c r="F8" s="61" t="s">
        <v>1018</v>
      </c>
      <c r="G8" s="58" t="s">
        <v>1048</v>
      </c>
      <c r="H8" s="60" t="s">
        <v>1020</v>
      </c>
      <c r="I8" s="60" t="s">
        <v>1021</v>
      </c>
      <c r="J8" s="62"/>
    </row>
    <row r="9" spans="1:10" ht="99" customHeight="1" thickBot="1">
      <c r="A9" s="87" t="s">
        <v>1051</v>
      </c>
      <c r="B9" s="88" t="s">
        <v>1052</v>
      </c>
      <c r="C9" s="58" t="s">
        <v>1053</v>
      </c>
      <c r="D9" s="66" t="s">
        <v>1054</v>
      </c>
      <c r="E9" s="60" t="s">
        <v>1055</v>
      </c>
      <c r="F9" s="61" t="s">
        <v>1018</v>
      </c>
      <c r="G9" s="58" t="s">
        <v>1026</v>
      </c>
      <c r="H9" s="60" t="s">
        <v>1020</v>
      </c>
      <c r="I9" s="60" t="s">
        <v>1021</v>
      </c>
      <c r="J9" s="62"/>
    </row>
    <row r="10" spans="1:10" ht="99" customHeight="1" thickBot="1">
      <c r="A10" s="87" t="s">
        <v>1051</v>
      </c>
      <c r="B10" s="88" t="s">
        <v>1056</v>
      </c>
      <c r="C10" s="58" t="s">
        <v>1053</v>
      </c>
      <c r="D10" s="66" t="s">
        <v>1054</v>
      </c>
      <c r="E10" s="60" t="s">
        <v>1055</v>
      </c>
      <c r="F10" s="61" t="s">
        <v>1018</v>
      </c>
      <c r="G10" s="58" t="s">
        <v>1026</v>
      </c>
      <c r="H10" s="60" t="s">
        <v>1020</v>
      </c>
      <c r="I10" s="60" t="s">
        <v>1021</v>
      </c>
      <c r="J10" s="62"/>
    </row>
    <row r="11" spans="1:10" ht="99" customHeight="1" thickBot="1">
      <c r="A11" s="87" t="s">
        <v>1057</v>
      </c>
      <c r="B11" s="88" t="s">
        <v>1058</v>
      </c>
      <c r="C11" s="58" t="s">
        <v>1059</v>
      </c>
      <c r="D11" s="66" t="s">
        <v>1060</v>
      </c>
      <c r="E11" s="60" t="s">
        <v>1061</v>
      </c>
      <c r="F11" s="61" t="s">
        <v>1018</v>
      </c>
      <c r="G11" s="58" t="s">
        <v>1026</v>
      </c>
      <c r="H11" s="60" t="s">
        <v>1020</v>
      </c>
      <c r="I11" s="60" t="s">
        <v>1021</v>
      </c>
      <c r="J11" s="62"/>
    </row>
    <row r="12" spans="1:10" ht="99" customHeight="1" thickBot="1">
      <c r="A12" s="87" t="s">
        <v>1062</v>
      </c>
      <c r="B12" s="88" t="s">
        <v>1063</v>
      </c>
      <c r="C12" s="58" t="s">
        <v>1064</v>
      </c>
      <c r="D12" s="66" t="s">
        <v>1065</v>
      </c>
      <c r="E12" s="59" t="s">
        <v>1016</v>
      </c>
      <c r="F12" s="61" t="s">
        <v>1018</v>
      </c>
      <c r="G12" s="58" t="s">
        <v>1026</v>
      </c>
      <c r="H12" s="60" t="s">
        <v>1020</v>
      </c>
      <c r="I12" s="60" t="s">
        <v>1021</v>
      </c>
      <c r="J12" s="62"/>
    </row>
    <row r="13" spans="1:10">
      <c r="A13" s="5"/>
      <c r="B13" s="3"/>
      <c r="C13" s="3"/>
      <c r="E13" s="5"/>
      <c r="F13" s="3"/>
      <c r="G13" s="3"/>
      <c r="H13" s="3"/>
      <c r="J13" s="3"/>
    </row>
    <row r="14" spans="1:10">
      <c r="A14" s="5"/>
      <c r="B14" s="3" t="s">
        <v>1066</v>
      </c>
      <c r="C14" s="3"/>
      <c r="E14" s="5"/>
      <c r="F14" s="3"/>
      <c r="G14" s="3"/>
      <c r="H14" s="3"/>
      <c r="J14" s="3"/>
    </row>
    <row r="15" spans="1:10">
      <c r="A15" s="5"/>
      <c r="B15" s="3"/>
      <c r="C15" s="3"/>
      <c r="E15" s="5"/>
      <c r="F15" s="3"/>
      <c r="G15" s="3"/>
      <c r="H15" s="3"/>
      <c r="J15" s="3"/>
    </row>
    <row r="16" spans="1:10">
      <c r="F16" s="27"/>
    </row>
    <row r="17" spans="6:6">
      <c r="F17" s="27"/>
    </row>
    <row r="18" spans="6:6">
      <c r="F18" s="27"/>
    </row>
    <row r="19" spans="6:6">
      <c r="F19" s="27"/>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4865ED9-D72B-49AB-B862-66B79A9709A6}">
          <x14:formula1>
            <xm:f>LISTES!$A$23:$A$27</xm:f>
          </x14:formula1>
          <xm:sqref>F2:F12</xm:sqref>
        </x14:dataValidation>
        <x14:dataValidation type="list" allowBlank="1" showInputMessage="1" showErrorMessage="1" xr:uid="{17970C08-EECD-49E6-BFC4-6DC2A42FFA88}">
          <x14:formula1>
            <xm:f>LISTES!$A$2:$A$3</xm:f>
          </x14:formula1>
          <xm:sqref>H2:H12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F757-9F9B-4A96-AAC0-8636E75A3FBC}">
  <sheetPr>
    <tabColor theme="9" tint="0.79998168889431442"/>
  </sheetPr>
  <dimension ref="A1:E36"/>
  <sheetViews>
    <sheetView zoomScale="70" zoomScaleNormal="70" workbookViewId="0">
      <selection activeCell="B79" sqref="B79"/>
    </sheetView>
  </sheetViews>
  <sheetFormatPr baseColWidth="10" defaultColWidth="10.88671875" defaultRowHeight="14.4"/>
  <cols>
    <col min="1" max="1" width="17.6640625" style="27" customWidth="1"/>
    <col min="2" max="2" width="18.5546875" style="27" customWidth="1"/>
    <col min="3" max="3" width="112" style="28" customWidth="1"/>
    <col min="4" max="4" width="42.5546875" style="27" customWidth="1"/>
    <col min="5" max="5" width="102.44140625" style="27" customWidth="1"/>
    <col min="6" max="16384" width="10.88671875" style="27"/>
  </cols>
  <sheetData>
    <row r="1" spans="1:5" ht="15.6">
      <c r="A1" s="367" t="s">
        <v>1067</v>
      </c>
      <c r="B1" s="368"/>
      <c r="C1" s="368"/>
      <c r="D1" s="127" t="s">
        <v>23</v>
      </c>
      <c r="E1" s="127" t="s">
        <v>1068</v>
      </c>
    </row>
    <row r="2" spans="1:5">
      <c r="A2" s="372" t="s">
        <v>1069</v>
      </c>
      <c r="B2" s="376" t="s">
        <v>1070</v>
      </c>
      <c r="C2" s="93" t="s">
        <v>1071</v>
      </c>
      <c r="D2" s="94" t="s">
        <v>1072</v>
      </c>
      <c r="E2" s="216" t="s">
        <v>1073</v>
      </c>
    </row>
    <row r="3" spans="1:5">
      <c r="A3" s="373"/>
      <c r="B3" s="377"/>
      <c r="C3" s="95" t="s">
        <v>1074</v>
      </c>
      <c r="D3" s="96" t="s">
        <v>1075</v>
      </c>
      <c r="E3" s="97"/>
    </row>
    <row r="4" spans="1:5">
      <c r="A4" s="374"/>
      <c r="B4" s="361" t="s">
        <v>1076</v>
      </c>
      <c r="C4" s="98" t="s">
        <v>1077</v>
      </c>
      <c r="D4" s="99" t="s">
        <v>951</v>
      </c>
      <c r="E4" s="100" t="s">
        <v>1078</v>
      </c>
    </row>
    <row r="5" spans="1:5" ht="14.1" customHeight="1">
      <c r="A5" s="374"/>
      <c r="B5" s="361"/>
      <c r="C5" s="98" t="s">
        <v>1079</v>
      </c>
      <c r="D5" s="152"/>
      <c r="E5" s="153"/>
    </row>
    <row r="6" spans="1:5">
      <c r="A6" s="374"/>
      <c r="B6" s="362"/>
      <c r="C6" s="101" t="s">
        <v>1080</v>
      </c>
      <c r="D6" s="102" t="s">
        <v>1081</v>
      </c>
      <c r="E6" s="103" t="s">
        <v>1082</v>
      </c>
    </row>
    <row r="7" spans="1:5">
      <c r="A7" s="374"/>
      <c r="B7" s="362"/>
      <c r="C7" s="101" t="s">
        <v>1083</v>
      </c>
      <c r="D7" s="102" t="s">
        <v>1081</v>
      </c>
      <c r="E7" s="103" t="s">
        <v>1084</v>
      </c>
    </row>
    <row r="8" spans="1:5" ht="14.1" customHeight="1">
      <c r="A8" s="374"/>
      <c r="B8" s="362"/>
      <c r="C8" s="101" t="s">
        <v>1085</v>
      </c>
      <c r="D8" s="102" t="s">
        <v>1081</v>
      </c>
      <c r="E8" s="103" t="s">
        <v>1084</v>
      </c>
    </row>
    <row r="9" spans="1:5">
      <c r="A9" s="374"/>
      <c r="B9" s="362"/>
      <c r="C9" s="101" t="s">
        <v>1086</v>
      </c>
      <c r="D9" s="102" t="s">
        <v>1081</v>
      </c>
      <c r="E9" s="103" t="s">
        <v>1087</v>
      </c>
    </row>
    <row r="10" spans="1:5">
      <c r="A10" s="374"/>
      <c r="B10" s="362"/>
      <c r="C10" s="101" t="s">
        <v>1088</v>
      </c>
      <c r="D10" s="102" t="s">
        <v>1081</v>
      </c>
      <c r="E10" s="103" t="s">
        <v>1087</v>
      </c>
    </row>
    <row r="11" spans="1:5" ht="14.1" customHeight="1">
      <c r="A11" s="374"/>
      <c r="B11" s="362"/>
      <c r="C11" s="101" t="s">
        <v>1089</v>
      </c>
      <c r="D11" s="102" t="s">
        <v>1081</v>
      </c>
      <c r="E11" s="103" t="s">
        <v>1087</v>
      </c>
    </row>
    <row r="12" spans="1:5" ht="14.1" customHeight="1">
      <c r="A12" s="374"/>
      <c r="B12" s="362"/>
      <c r="C12" s="101" t="s">
        <v>1090</v>
      </c>
      <c r="D12" s="102" t="s">
        <v>1081</v>
      </c>
      <c r="E12" s="103" t="s">
        <v>1091</v>
      </c>
    </row>
    <row r="13" spans="1:5" ht="14.1" customHeight="1" thickBot="1">
      <c r="A13" s="375"/>
      <c r="B13" s="363"/>
      <c r="C13" s="104" t="s">
        <v>1092</v>
      </c>
      <c r="D13" s="105" t="s">
        <v>1081</v>
      </c>
      <c r="E13" s="106" t="s">
        <v>1087</v>
      </c>
    </row>
    <row r="14" spans="1:5" ht="14.1" customHeight="1">
      <c r="A14" s="364" t="s">
        <v>1093</v>
      </c>
      <c r="B14" s="369" t="s">
        <v>1094</v>
      </c>
      <c r="C14" s="118" t="s">
        <v>1095</v>
      </c>
      <c r="D14" s="94" t="s">
        <v>951</v>
      </c>
      <c r="E14" s="116" t="s">
        <v>1096</v>
      </c>
    </row>
    <row r="15" spans="1:5" ht="14.4" customHeight="1">
      <c r="A15" s="365"/>
      <c r="B15" s="362"/>
      <c r="C15" s="108" t="s">
        <v>1097</v>
      </c>
      <c r="D15" s="102" t="s">
        <v>951</v>
      </c>
      <c r="E15" s="103"/>
    </row>
    <row r="16" spans="1:5">
      <c r="A16" s="365"/>
      <c r="B16" s="362"/>
      <c r="C16" s="108" t="s">
        <v>1098</v>
      </c>
      <c r="D16" s="102" t="s">
        <v>951</v>
      </c>
      <c r="E16" s="103" t="s">
        <v>1099</v>
      </c>
    </row>
    <row r="17" spans="1:5">
      <c r="A17" s="365"/>
      <c r="B17" s="362"/>
      <c r="C17" s="108" t="s">
        <v>1100</v>
      </c>
      <c r="D17" s="102" t="s">
        <v>951</v>
      </c>
      <c r="E17" s="103" t="s">
        <v>1101</v>
      </c>
    </row>
    <row r="18" spans="1:5">
      <c r="A18" s="365"/>
      <c r="B18" s="362"/>
      <c r="C18" s="108" t="s">
        <v>1102</v>
      </c>
      <c r="D18" s="102" t="s">
        <v>951</v>
      </c>
      <c r="E18" s="103" t="s">
        <v>1103</v>
      </c>
    </row>
    <row r="19" spans="1:5" ht="158.4">
      <c r="A19" s="365"/>
      <c r="B19" s="362"/>
      <c r="C19" s="108" t="s">
        <v>1104</v>
      </c>
      <c r="D19" s="102"/>
      <c r="E19" s="215" t="s">
        <v>1105</v>
      </c>
    </row>
    <row r="20" spans="1:5">
      <c r="A20" s="365"/>
      <c r="B20" s="362"/>
      <c r="C20" s="108" t="s">
        <v>1106</v>
      </c>
      <c r="D20" s="102" t="s">
        <v>951</v>
      </c>
      <c r="E20" s="103" t="s">
        <v>1107</v>
      </c>
    </row>
    <row r="21" spans="1:5" ht="14.1" customHeight="1">
      <c r="A21" s="365"/>
      <c r="B21" s="362"/>
      <c r="C21" s="108" t="s">
        <v>1108</v>
      </c>
      <c r="D21" s="102" t="s">
        <v>951</v>
      </c>
      <c r="E21" s="103"/>
    </row>
    <row r="22" spans="1:5">
      <c r="A22" s="365"/>
      <c r="B22" s="362"/>
      <c r="C22" s="108" t="s">
        <v>1109</v>
      </c>
      <c r="D22" s="102" t="s">
        <v>951</v>
      </c>
      <c r="E22" s="103" t="s">
        <v>1110</v>
      </c>
    </row>
    <row r="23" spans="1:5" ht="14.1" customHeight="1">
      <c r="A23" s="365"/>
      <c r="B23" s="362"/>
      <c r="C23" s="108" t="s">
        <v>1111</v>
      </c>
      <c r="D23" s="102" t="s">
        <v>951</v>
      </c>
      <c r="E23" s="103" t="s">
        <v>1112</v>
      </c>
    </row>
    <row r="24" spans="1:5">
      <c r="A24" s="365"/>
      <c r="B24" s="370"/>
      <c r="C24" s="109" t="s">
        <v>1113</v>
      </c>
      <c r="D24" s="96" t="s">
        <v>951</v>
      </c>
      <c r="E24" s="110" t="s">
        <v>1114</v>
      </c>
    </row>
    <row r="25" spans="1:5">
      <c r="A25" s="365"/>
      <c r="B25" s="371" t="s">
        <v>1115</v>
      </c>
      <c r="C25" s="111" t="s">
        <v>1116</v>
      </c>
      <c r="D25" s="112" t="s">
        <v>951</v>
      </c>
      <c r="E25" s="113"/>
    </row>
    <row r="26" spans="1:5">
      <c r="A26" s="365"/>
      <c r="B26" s="362"/>
      <c r="C26" s="108" t="s">
        <v>1117</v>
      </c>
      <c r="D26" s="102" t="s">
        <v>951</v>
      </c>
      <c r="E26" s="103" t="s">
        <v>1118</v>
      </c>
    </row>
    <row r="27" spans="1:5" ht="14.4" customHeight="1">
      <c r="A27" s="365"/>
      <c r="B27" s="362"/>
      <c r="C27" s="114" t="s">
        <v>1119</v>
      </c>
      <c r="D27" s="102" t="s">
        <v>951</v>
      </c>
      <c r="E27" s="103"/>
    </row>
    <row r="28" spans="1:5" ht="14.4" customHeight="1">
      <c r="A28" s="365"/>
      <c r="B28" s="362"/>
      <c r="C28" s="114" t="s">
        <v>1120</v>
      </c>
      <c r="D28" s="102" t="s">
        <v>951</v>
      </c>
      <c r="E28" s="359" t="s">
        <v>1121</v>
      </c>
    </row>
    <row r="29" spans="1:5" ht="14.4" customHeight="1">
      <c r="A29" s="365"/>
      <c r="B29" s="362"/>
      <c r="C29" s="114" t="s">
        <v>1122</v>
      </c>
      <c r="D29" s="102" t="s">
        <v>951</v>
      </c>
      <c r="E29" s="360"/>
    </row>
    <row r="30" spans="1:5">
      <c r="A30" s="365"/>
      <c r="B30" s="370"/>
      <c r="C30" s="109" t="s">
        <v>1123</v>
      </c>
      <c r="D30" s="96" t="s">
        <v>951</v>
      </c>
      <c r="E30" s="214" t="s">
        <v>1124</v>
      </c>
    </row>
    <row r="31" spans="1:5">
      <c r="A31" s="365"/>
      <c r="B31" s="371" t="s">
        <v>1125</v>
      </c>
      <c r="C31" s="111" t="s">
        <v>1126</v>
      </c>
      <c r="D31" s="112" t="s">
        <v>951</v>
      </c>
      <c r="E31" s="113" t="s">
        <v>1127</v>
      </c>
    </row>
    <row r="32" spans="1:5">
      <c r="A32" s="365"/>
      <c r="B32" s="362"/>
      <c r="C32" s="114" t="s">
        <v>1128</v>
      </c>
      <c r="D32" s="102" t="s">
        <v>951</v>
      </c>
      <c r="E32" s="103"/>
    </row>
    <row r="33" spans="1:5">
      <c r="A33" s="365"/>
      <c r="B33" s="362"/>
      <c r="C33" s="114" t="s">
        <v>1129</v>
      </c>
      <c r="D33" s="102" t="s">
        <v>951</v>
      </c>
      <c r="E33" s="103" t="s">
        <v>1130</v>
      </c>
    </row>
    <row r="34" spans="1:5">
      <c r="A34" s="365"/>
      <c r="B34" s="362"/>
      <c r="C34" s="114" t="s">
        <v>1131</v>
      </c>
      <c r="D34" s="102" t="s">
        <v>951</v>
      </c>
      <c r="E34" s="103" t="s">
        <v>1132</v>
      </c>
    </row>
    <row r="35" spans="1:5">
      <c r="A35" s="365"/>
      <c r="B35" s="362"/>
      <c r="C35" s="114" t="s">
        <v>1133</v>
      </c>
      <c r="D35" s="102" t="s">
        <v>951</v>
      </c>
      <c r="E35" s="103"/>
    </row>
    <row r="36" spans="1:5" ht="15" thickBot="1">
      <c r="A36" s="366"/>
      <c r="B36" s="363"/>
      <c r="C36" s="115" t="s">
        <v>1134</v>
      </c>
      <c r="D36" s="105" t="s">
        <v>951</v>
      </c>
      <c r="E36" s="106"/>
    </row>
  </sheetData>
  <mergeCells count="9">
    <mergeCell ref="E28:E29"/>
    <mergeCell ref="B4:B13"/>
    <mergeCell ref="A14:A36"/>
    <mergeCell ref="A1:C1"/>
    <mergeCell ref="B14:B24"/>
    <mergeCell ref="B25:B30"/>
    <mergeCell ref="B31:B36"/>
    <mergeCell ref="A2:A13"/>
    <mergeCell ref="B2:B3"/>
  </mergeCells>
  <hyperlinks>
    <hyperlink ref="E30" r:id="rId1" xr:uid="{7CF8F905-5873-4C04-B07E-6FD29675F45D}"/>
    <hyperlink ref="E2" r:id="rId2" location="supported-languages" xr:uid="{AF41A28D-6D1E-48E9-9C58-4BB3440A1C58}"/>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2">
        <x14:dataValidation type="list" allowBlank="1" showInputMessage="1" showErrorMessage="1" xr:uid="{833FD0B6-07F8-484D-B366-8B16864E6A2F}">
          <x14:formula1>
            <xm:f>LISTES!$A$30:$A$34</xm:f>
          </x14:formula1>
          <xm:sqref>D6:D13</xm:sqref>
        </x14:dataValidation>
        <x14:dataValidation type="list" allowBlank="1" showInputMessage="1" showErrorMessage="1" xr:uid="{2E06D717-4708-402F-8C1F-DD6FF77FBD9D}">
          <x14:formula1>
            <xm:f>LISTES!$A$2:$A$4</xm:f>
          </x14:formula1>
          <xm:sqref>D4 D14:D36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874D-ADF4-4F35-89C7-09DC50051DD3}">
  <sheetPr>
    <tabColor theme="9" tint="0.79998168889431442"/>
  </sheetPr>
  <dimension ref="A1:D42"/>
  <sheetViews>
    <sheetView zoomScale="70" zoomScaleNormal="70" workbookViewId="0">
      <selection activeCell="C16" sqref="C16"/>
    </sheetView>
  </sheetViews>
  <sheetFormatPr baseColWidth="10" defaultColWidth="10.88671875" defaultRowHeight="14.4"/>
  <cols>
    <col min="1" max="1" width="42.33203125" style="3" customWidth="1"/>
    <col min="2" max="2" width="128.6640625" style="3" customWidth="1"/>
    <col min="3" max="3" width="23.88671875" style="3" customWidth="1"/>
    <col min="4" max="4" width="94.44140625" style="3" customWidth="1"/>
    <col min="5" max="16384" width="10.88671875" style="27"/>
  </cols>
  <sheetData>
    <row r="1" spans="1:4" ht="15.6">
      <c r="A1" s="378" t="s">
        <v>1135</v>
      </c>
      <c r="B1" s="381"/>
      <c r="C1" s="139" t="s">
        <v>23</v>
      </c>
      <c r="D1" s="140" t="s">
        <v>1136</v>
      </c>
    </row>
    <row r="2" spans="1:4" ht="43.2">
      <c r="A2" s="374" t="s">
        <v>1137</v>
      </c>
      <c r="B2" s="128" t="s">
        <v>1138</v>
      </c>
      <c r="C2" s="129" t="s">
        <v>951</v>
      </c>
      <c r="D2" s="130" t="s">
        <v>612</v>
      </c>
    </row>
    <row r="3" spans="1:4" ht="14.1" customHeight="1">
      <c r="A3" s="374"/>
      <c r="B3" s="128" t="s">
        <v>1139</v>
      </c>
      <c r="C3" s="150"/>
      <c r="D3" s="151"/>
    </row>
    <row r="4" spans="1:4" ht="14.1" customHeight="1">
      <c r="A4" s="374"/>
      <c r="B4" s="131" t="s">
        <v>1140</v>
      </c>
      <c r="C4" s="129" t="s">
        <v>951</v>
      </c>
      <c r="D4" s="132"/>
    </row>
    <row r="5" spans="1:4" ht="14.1" customHeight="1">
      <c r="A5" s="374"/>
      <c r="B5" s="131" t="s">
        <v>1141</v>
      </c>
      <c r="C5" s="129" t="s">
        <v>951</v>
      </c>
      <c r="D5" s="132"/>
    </row>
    <row r="6" spans="1:4" ht="14.1" customHeight="1">
      <c r="A6" s="374"/>
      <c r="B6" s="131" t="s">
        <v>1142</v>
      </c>
      <c r="C6" s="129" t="s">
        <v>951</v>
      </c>
      <c r="D6" s="132"/>
    </row>
    <row r="7" spans="1:4" ht="14.1" customHeight="1">
      <c r="A7" s="374"/>
      <c r="B7" s="131" t="s">
        <v>1143</v>
      </c>
      <c r="C7" s="129" t="s">
        <v>951</v>
      </c>
      <c r="D7" s="132"/>
    </row>
    <row r="8" spans="1:4" ht="14.1" customHeight="1">
      <c r="A8" s="383"/>
      <c r="B8" s="133" t="s">
        <v>1144</v>
      </c>
      <c r="C8" s="129" t="s">
        <v>951</v>
      </c>
      <c r="D8" s="135"/>
    </row>
    <row r="9" spans="1:4" ht="14.1" customHeight="1">
      <c r="A9" s="382" t="s">
        <v>1145</v>
      </c>
      <c r="B9" s="147" t="s">
        <v>1146</v>
      </c>
      <c r="C9" s="150" t="s">
        <v>951</v>
      </c>
      <c r="D9" s="151" t="s">
        <v>1147</v>
      </c>
    </row>
    <row r="10" spans="1:4" ht="14.1" customHeight="1">
      <c r="A10" s="374"/>
      <c r="B10" s="131" t="s">
        <v>1148</v>
      </c>
      <c r="C10" s="129" t="s">
        <v>1002</v>
      </c>
      <c r="D10" s="132"/>
    </row>
    <row r="11" spans="1:4" ht="14.1" customHeight="1">
      <c r="A11" s="374"/>
      <c r="B11" s="131" t="s">
        <v>1149</v>
      </c>
      <c r="C11" s="129" t="s">
        <v>1002</v>
      </c>
      <c r="D11" s="132"/>
    </row>
    <row r="12" spans="1:4" ht="14.1" customHeight="1">
      <c r="A12" s="383"/>
      <c r="B12" s="133" t="s">
        <v>1150</v>
      </c>
      <c r="C12" s="134" t="s">
        <v>1002</v>
      </c>
      <c r="D12" s="135"/>
    </row>
    <row r="13" spans="1:4" ht="14.1" customHeight="1">
      <c r="A13" s="374" t="s">
        <v>1151</v>
      </c>
      <c r="B13" s="128" t="s">
        <v>1152</v>
      </c>
      <c r="C13" s="150"/>
      <c r="D13" s="151"/>
    </row>
    <row r="14" spans="1:4" ht="14.1" customHeight="1">
      <c r="A14" s="374"/>
      <c r="B14" s="131" t="s">
        <v>1153</v>
      </c>
      <c r="C14" s="129" t="s">
        <v>1154</v>
      </c>
      <c r="D14" s="132"/>
    </row>
    <row r="15" spans="1:4" ht="14.1" customHeight="1">
      <c r="A15" s="374"/>
      <c r="B15" s="131" t="s">
        <v>1155</v>
      </c>
      <c r="C15" s="129" t="s">
        <v>1154</v>
      </c>
      <c r="D15" s="132"/>
    </row>
    <row r="16" spans="1:4" ht="14.1" customHeight="1">
      <c r="A16" s="374"/>
      <c r="B16" s="128" t="s">
        <v>1156</v>
      </c>
      <c r="C16" s="150"/>
      <c r="D16" s="151"/>
    </row>
    <row r="17" spans="1:4" ht="14.1" customHeight="1">
      <c r="A17" s="374"/>
      <c r="B17" s="131" t="s">
        <v>1153</v>
      </c>
      <c r="C17" s="129" t="s">
        <v>1154</v>
      </c>
      <c r="D17" s="132"/>
    </row>
    <row r="18" spans="1:4" ht="14.1" customHeight="1">
      <c r="A18" s="375"/>
      <c r="B18" s="136" t="s">
        <v>1155</v>
      </c>
      <c r="C18" s="129" t="s">
        <v>1154</v>
      </c>
      <c r="D18" s="137"/>
    </row>
    <row r="19" spans="1:4" ht="14.1" customHeight="1"/>
    <row r="20" spans="1:4" ht="14.1" customHeight="1" thickBot="1"/>
    <row r="21" spans="1:4" ht="15.6">
      <c r="A21" s="378" t="s">
        <v>1157</v>
      </c>
      <c r="B21" s="379"/>
      <c r="C21" s="139" t="s">
        <v>23</v>
      </c>
      <c r="D21" s="146" t="s">
        <v>1136</v>
      </c>
    </row>
    <row r="22" spans="1:4" ht="14.1" customHeight="1">
      <c r="A22" s="373" t="s">
        <v>1158</v>
      </c>
      <c r="B22" s="155" t="s">
        <v>1159</v>
      </c>
      <c r="C22" s="150"/>
      <c r="D22" s="151"/>
    </row>
    <row r="23" spans="1:4" ht="14.1" customHeight="1">
      <c r="A23" s="373"/>
      <c r="B23" s="144" t="s">
        <v>1160</v>
      </c>
      <c r="C23" s="143" t="s">
        <v>985</v>
      </c>
      <c r="D23" s="141"/>
    </row>
    <row r="24" spans="1:4" ht="14.1" customHeight="1">
      <c r="A24" s="373"/>
      <c r="B24" s="144" t="s">
        <v>1161</v>
      </c>
      <c r="C24" s="143" t="s">
        <v>985</v>
      </c>
      <c r="D24" s="142"/>
    </row>
    <row r="25" spans="1:4" ht="14.1" customHeight="1">
      <c r="A25" s="373"/>
      <c r="B25" s="144" t="s">
        <v>1162</v>
      </c>
      <c r="C25" s="143" t="s">
        <v>985</v>
      </c>
      <c r="D25" s="142"/>
    </row>
    <row r="26" spans="1:4" ht="14.1" customHeight="1">
      <c r="A26" s="373"/>
      <c r="B26" s="144" t="s">
        <v>1163</v>
      </c>
      <c r="C26" s="143" t="s">
        <v>985</v>
      </c>
      <c r="D26" s="142"/>
    </row>
    <row r="27" spans="1:4" ht="14.1" customHeight="1">
      <c r="A27" s="373"/>
      <c r="B27" s="144" t="s">
        <v>1164</v>
      </c>
      <c r="C27" s="143" t="s">
        <v>985</v>
      </c>
      <c r="D27" s="142"/>
    </row>
    <row r="28" spans="1:4" ht="14.1" customHeight="1">
      <c r="A28" s="373"/>
      <c r="B28" s="144" t="s">
        <v>1165</v>
      </c>
      <c r="C28" s="143" t="s">
        <v>985</v>
      </c>
      <c r="D28" s="142"/>
    </row>
    <row r="29" spans="1:4" ht="14.1" customHeight="1">
      <c r="A29" s="373"/>
      <c r="B29" s="144" t="s">
        <v>1166</v>
      </c>
      <c r="C29" s="143" t="s">
        <v>985</v>
      </c>
      <c r="D29" s="142"/>
    </row>
    <row r="30" spans="1:4" ht="14.1" customHeight="1">
      <c r="A30" s="380"/>
      <c r="B30" s="148" t="s">
        <v>1167</v>
      </c>
      <c r="C30" s="143" t="s">
        <v>985</v>
      </c>
      <c r="D30" s="149"/>
    </row>
    <row r="31" spans="1:4" ht="14.1" customHeight="1">
      <c r="A31" s="138"/>
      <c r="B31" s="145"/>
      <c r="C31" s="145"/>
      <c r="D31" s="145"/>
    </row>
    <row r="32" spans="1:4" ht="14.1" customHeight="1" thickBot="1"/>
    <row r="33" spans="1:4" ht="15.6">
      <c r="A33" s="378" t="s">
        <v>1168</v>
      </c>
      <c r="B33" s="379"/>
      <c r="C33" s="139" t="s">
        <v>23</v>
      </c>
      <c r="D33" s="146" t="s">
        <v>1136</v>
      </c>
    </row>
    <row r="34" spans="1:4" ht="14.1" customHeight="1">
      <c r="A34" s="373" t="s">
        <v>1169</v>
      </c>
      <c r="B34" s="155" t="s">
        <v>1159</v>
      </c>
      <c r="C34" s="150"/>
      <c r="D34" s="151"/>
    </row>
    <row r="35" spans="1:4" ht="14.1" customHeight="1">
      <c r="A35" s="373"/>
      <c r="B35" s="144" t="s">
        <v>1170</v>
      </c>
      <c r="C35" s="143" t="s">
        <v>985</v>
      </c>
      <c r="D35" s="141"/>
    </row>
    <row r="36" spans="1:4" ht="14.1" customHeight="1">
      <c r="A36" s="373"/>
      <c r="B36" s="144" t="s">
        <v>1171</v>
      </c>
      <c r="C36" s="144" t="s">
        <v>985</v>
      </c>
      <c r="D36" s="142"/>
    </row>
    <row r="37" spans="1:4" ht="14.1" customHeight="1">
      <c r="A37" s="373"/>
      <c r="B37" s="144" t="s">
        <v>1172</v>
      </c>
      <c r="C37" s="144" t="s">
        <v>985</v>
      </c>
      <c r="D37" s="142"/>
    </row>
    <row r="38" spans="1:4" ht="14.1" customHeight="1">
      <c r="A38" s="373"/>
      <c r="B38" s="144" t="s">
        <v>1173</v>
      </c>
      <c r="C38" s="144" t="s">
        <v>985</v>
      </c>
      <c r="D38" s="142"/>
    </row>
    <row r="39" spans="1:4" ht="14.1" customHeight="1">
      <c r="A39" s="373"/>
      <c r="B39" s="144" t="s">
        <v>1174</v>
      </c>
      <c r="C39" s="144" t="s">
        <v>985</v>
      </c>
      <c r="D39" s="142"/>
    </row>
    <row r="40" spans="1:4" ht="14.1" customHeight="1">
      <c r="A40" s="373"/>
      <c r="B40" s="144" t="s">
        <v>1175</v>
      </c>
      <c r="C40" s="144" t="s">
        <v>985</v>
      </c>
      <c r="D40" s="142"/>
    </row>
    <row r="41" spans="1:4" ht="14.1" customHeight="1">
      <c r="A41" s="373"/>
      <c r="B41" s="144" t="s">
        <v>1176</v>
      </c>
      <c r="C41" s="144" t="s">
        <v>985</v>
      </c>
      <c r="D41" s="142"/>
    </row>
    <row r="42" spans="1:4" ht="14.1" customHeight="1">
      <c r="A42" s="380"/>
      <c r="B42" s="148" t="s">
        <v>1177</v>
      </c>
      <c r="C42" s="144" t="s">
        <v>985</v>
      </c>
      <c r="D42" s="149"/>
    </row>
  </sheetData>
  <mergeCells count="8">
    <mergeCell ref="A33:B33"/>
    <mergeCell ref="A34:A42"/>
    <mergeCell ref="A1:B1"/>
    <mergeCell ref="A21:B21"/>
    <mergeCell ref="A22:A30"/>
    <mergeCell ref="A9:A12"/>
    <mergeCell ref="A13:A18"/>
    <mergeCell ref="A2:A8"/>
  </mergeCells>
  <dataValidations count="1">
    <dataValidation type="list" allowBlank="1" showInputMessage="1" showErrorMessage="1" sqref="C23:C31 C35:C42" xr:uid="{4A3B4705-4700-4049-8029-BA63D8F57EFA}">
      <formula1>"oui,non"</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4A27BC5-8473-4123-95C3-2D2C54B0DBE7}">
          <x14:formula1>
            <xm:f>LISTES!$A$2:$A$4</xm:f>
          </x14:formula1>
          <xm:sqref>C2 C4:C8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828E-8106-4924-8BBC-6DD70EC50708}">
  <sheetPr>
    <tabColor theme="9" tint="0.79998168889431442"/>
  </sheetPr>
  <dimension ref="A1:F21"/>
  <sheetViews>
    <sheetView zoomScale="70" zoomScaleNormal="70" workbookViewId="0">
      <selection activeCell="F21" sqref="F21"/>
    </sheetView>
  </sheetViews>
  <sheetFormatPr baseColWidth="10" defaultColWidth="10.88671875" defaultRowHeight="14.4"/>
  <cols>
    <col min="1" max="2" width="31.5546875" style="27" customWidth="1"/>
    <col min="3" max="3" width="101.109375" style="27" customWidth="1"/>
    <col min="4" max="4" width="41.5546875" style="27" customWidth="1"/>
    <col min="5" max="5" width="47.109375" style="27" customWidth="1"/>
    <col min="6" max="16384" width="10.88671875" style="27"/>
  </cols>
  <sheetData>
    <row r="1" spans="1:6" s="3" customFormat="1" ht="21.6" thickBot="1">
      <c r="A1" s="384" t="s">
        <v>1178</v>
      </c>
      <c r="B1" s="385"/>
      <c r="C1" s="385"/>
      <c r="D1" s="90" t="s">
        <v>23</v>
      </c>
      <c r="E1" s="91" t="s">
        <v>1136</v>
      </c>
    </row>
    <row r="2" spans="1:6" ht="17.100000000000001" customHeight="1">
      <c r="A2" s="386" t="s">
        <v>1179</v>
      </c>
      <c r="B2" s="397" t="s">
        <v>1180</v>
      </c>
      <c r="C2" s="118" t="s">
        <v>1181</v>
      </c>
      <c r="D2" s="94" t="s">
        <v>951</v>
      </c>
      <c r="E2" s="116"/>
    </row>
    <row r="3" spans="1:6" ht="17.100000000000001" customHeight="1">
      <c r="A3" s="387"/>
      <c r="B3" s="398"/>
      <c r="C3" s="119" t="s">
        <v>1182</v>
      </c>
      <c r="D3" s="105" t="s">
        <v>951</v>
      </c>
      <c r="E3" s="105" t="s">
        <v>1183</v>
      </c>
    </row>
    <row r="4" spans="1:6" ht="17.100000000000001" customHeight="1">
      <c r="A4" s="388" t="s">
        <v>1184</v>
      </c>
      <c r="B4" s="394" t="s">
        <v>1185</v>
      </c>
      <c r="C4" s="107" t="s">
        <v>1186</v>
      </c>
      <c r="D4" s="99" t="s">
        <v>951</v>
      </c>
      <c r="E4" s="100" t="s">
        <v>1187</v>
      </c>
    </row>
    <row r="5" spans="1:6" ht="17.100000000000001" customHeight="1">
      <c r="A5" s="389"/>
      <c r="B5" s="392"/>
      <c r="C5" s="108" t="s">
        <v>1188</v>
      </c>
      <c r="D5" s="102" t="s">
        <v>951</v>
      </c>
      <c r="E5" s="103" t="s">
        <v>1189</v>
      </c>
    </row>
    <row r="6" spans="1:6" ht="57.6">
      <c r="A6" s="389"/>
      <c r="B6" s="393"/>
      <c r="C6" s="109" t="s">
        <v>1190</v>
      </c>
      <c r="D6" s="96" t="s">
        <v>951</v>
      </c>
      <c r="E6" s="221" t="s">
        <v>1191</v>
      </c>
    </row>
    <row r="7" spans="1:6" ht="17.100000000000001" customHeight="1">
      <c r="A7" s="389"/>
      <c r="B7" s="399" t="s">
        <v>1192</v>
      </c>
      <c r="C7" s="107" t="s">
        <v>1193</v>
      </c>
      <c r="D7" s="99" t="s">
        <v>951</v>
      </c>
      <c r="E7" s="100" t="s">
        <v>1194</v>
      </c>
    </row>
    <row r="8" spans="1:6" ht="17.100000000000001" customHeight="1">
      <c r="A8" s="389"/>
      <c r="B8" s="400"/>
      <c r="C8" s="120" t="s">
        <v>1195</v>
      </c>
      <c r="D8" s="121" t="s">
        <v>951</v>
      </c>
      <c r="E8" s="122" t="s">
        <v>1196</v>
      </c>
    </row>
    <row r="9" spans="1:6" ht="17.100000000000001" customHeight="1">
      <c r="A9" s="389"/>
      <c r="B9" s="391" t="s">
        <v>1197</v>
      </c>
      <c r="C9" s="111" t="s">
        <v>1198</v>
      </c>
      <c r="D9" s="112" t="s">
        <v>951</v>
      </c>
      <c r="E9" s="113" t="s">
        <v>1199</v>
      </c>
    </row>
    <row r="10" spans="1:6" ht="28.8">
      <c r="A10" s="389"/>
      <c r="B10" s="392"/>
      <c r="C10" s="123" t="s">
        <v>1200</v>
      </c>
      <c r="D10" s="102" t="s">
        <v>1201</v>
      </c>
      <c r="E10" s="28" t="s">
        <v>1202</v>
      </c>
      <c r="F10" s="103"/>
    </row>
    <row r="11" spans="1:6" ht="28.8">
      <c r="A11" s="389"/>
      <c r="B11" s="393"/>
      <c r="C11" s="109" t="s">
        <v>1203</v>
      </c>
      <c r="D11" s="96" t="s">
        <v>1020</v>
      </c>
      <c r="E11" s="221" t="s">
        <v>1204</v>
      </c>
    </row>
    <row r="12" spans="1:6" ht="17.100000000000001" customHeight="1">
      <c r="A12" s="389"/>
      <c r="B12" s="394" t="s">
        <v>1205</v>
      </c>
      <c r="C12" s="107" t="s">
        <v>1206</v>
      </c>
      <c r="D12" s="99" t="s">
        <v>951</v>
      </c>
      <c r="E12" s="100" t="s">
        <v>1207</v>
      </c>
    </row>
    <row r="13" spans="1:6" ht="28.8">
      <c r="A13" s="389"/>
      <c r="B13" s="392"/>
      <c r="C13" s="123" t="s">
        <v>1200</v>
      </c>
      <c r="D13" s="102" t="s">
        <v>1201</v>
      </c>
      <c r="E13" s="28" t="s">
        <v>1202</v>
      </c>
    </row>
    <row r="14" spans="1:6" ht="28.8">
      <c r="A14" s="389"/>
      <c r="B14" s="395"/>
      <c r="C14" s="109" t="s">
        <v>1203</v>
      </c>
      <c r="D14" s="121" t="s">
        <v>951</v>
      </c>
      <c r="E14" s="221" t="s">
        <v>1208</v>
      </c>
    </row>
    <row r="15" spans="1:6" ht="17.100000000000001" customHeight="1">
      <c r="A15" s="389"/>
      <c r="B15" s="391" t="s">
        <v>1209</v>
      </c>
      <c r="C15" s="111" t="s">
        <v>1210</v>
      </c>
      <c r="D15" s="112" t="s">
        <v>951</v>
      </c>
      <c r="E15" s="113" t="s">
        <v>1211</v>
      </c>
    </row>
    <row r="16" spans="1:6" ht="28.8">
      <c r="A16" s="389"/>
      <c r="B16" s="392"/>
      <c r="C16" s="123" t="s">
        <v>1200</v>
      </c>
      <c r="D16" s="102" t="s">
        <v>1201</v>
      </c>
      <c r="E16" s="221" t="s">
        <v>1204</v>
      </c>
    </row>
    <row r="17" spans="1:5" ht="28.8">
      <c r="A17" s="390"/>
      <c r="B17" s="396"/>
      <c r="C17" s="109" t="s">
        <v>1203</v>
      </c>
      <c r="D17" s="105" t="s">
        <v>951</v>
      </c>
      <c r="E17" s="221" t="s">
        <v>1212</v>
      </c>
    </row>
    <row r="18" spans="1:5" ht="17.100000000000001" customHeight="1">
      <c r="A18" s="386" t="s">
        <v>1213</v>
      </c>
      <c r="B18" s="397" t="s">
        <v>1214</v>
      </c>
      <c r="C18" s="118" t="s">
        <v>1215</v>
      </c>
      <c r="D18" s="94" t="s">
        <v>1216</v>
      </c>
      <c r="E18" s="94" t="s">
        <v>1217</v>
      </c>
    </row>
    <row r="19" spans="1:5" ht="17.100000000000001" customHeight="1">
      <c r="A19" s="387"/>
      <c r="B19" s="398"/>
      <c r="C19" s="119" t="s">
        <v>1218</v>
      </c>
      <c r="D19" s="105" t="s">
        <v>1219</v>
      </c>
      <c r="E19" s="105" t="s">
        <v>1217</v>
      </c>
    </row>
    <row r="20" spans="1:5" ht="14.1" customHeight="1"/>
    <row r="21" spans="1:5" ht="14.1" customHeight="1"/>
  </sheetData>
  <mergeCells count="11">
    <mergeCell ref="A1:C1"/>
    <mergeCell ref="A2:A3"/>
    <mergeCell ref="A4:A17"/>
    <mergeCell ref="A18:A19"/>
    <mergeCell ref="B9:B11"/>
    <mergeCell ref="B12:B14"/>
    <mergeCell ref="B15:B17"/>
    <mergeCell ref="B4:B6"/>
    <mergeCell ref="B2:B3"/>
    <mergeCell ref="B18:B19"/>
    <mergeCell ref="B7:B8"/>
  </mergeCells>
  <dataValidations count="1">
    <dataValidation type="list" allowBlank="1" showInputMessage="1" showErrorMessage="1" sqref="E1" xr:uid="{1402367C-5605-40A9-B49E-7E0E8D586D6E}"/>
  </dataValidations>
  <hyperlinks>
    <hyperlink ref="E3" r:id="rId1" xr:uid="{2F185EAA-E8C9-4530-B5BE-733290D5AEC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276D73D9-5655-491F-9F20-3E4AD92B467B}">
          <x14:formula1>
            <xm:f>LISTES!$A$2:$A$4</xm:f>
          </x14:formula1>
          <xm:sqref>D17 D14:D15 D11:D12 D2:D5 D7:D9</xm:sqref>
        </x14:dataValidation>
        <x14:dataValidation type="list" allowBlank="1" showInputMessage="1" showErrorMessage="1" xr:uid="{3BFADA90-0195-47BE-9911-783C4F73C34B}">
          <x14:formula1>
            <xm:f>LISTES!$A$36:$A$38</xm:f>
          </x14:formula1>
          <xm:sqref>D10 D13 D16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E520-869B-46A7-BD54-11B870D98D67}">
  <sheetPr>
    <tabColor theme="9" tint="0.79998168889431442"/>
  </sheetPr>
  <dimension ref="A1:S49"/>
  <sheetViews>
    <sheetView zoomScale="70" zoomScaleNormal="70" workbookViewId="0">
      <selection activeCell="Q14" sqref="Q14"/>
    </sheetView>
  </sheetViews>
  <sheetFormatPr baseColWidth="10" defaultColWidth="10.88671875" defaultRowHeight="14.4"/>
  <cols>
    <col min="1" max="1" width="28.6640625" style="223" customWidth="1"/>
    <col min="2" max="2" width="28.6640625" style="28" customWidth="1"/>
    <col min="3" max="13" width="16.44140625" style="28" customWidth="1"/>
    <col min="14" max="16" width="25.44140625" style="28" customWidth="1"/>
    <col min="17" max="17" width="27.6640625" style="28" customWidth="1"/>
    <col min="18" max="19" width="28.6640625" style="28" customWidth="1"/>
    <col min="20" max="16384" width="10.88671875" style="28"/>
  </cols>
  <sheetData>
    <row r="1" spans="1:19" ht="21">
      <c r="A1" s="402" t="s">
        <v>1220</v>
      </c>
      <c r="B1" s="402" t="s">
        <v>1221</v>
      </c>
      <c r="C1" s="402" t="s">
        <v>1222</v>
      </c>
      <c r="D1" s="402"/>
      <c r="E1" s="402"/>
      <c r="F1" s="402"/>
      <c r="G1" s="402"/>
      <c r="H1" s="402"/>
      <c r="I1" s="402"/>
      <c r="J1" s="402"/>
      <c r="K1" s="402"/>
      <c r="L1" s="402"/>
      <c r="M1" s="180"/>
      <c r="N1" s="402" t="s">
        <v>1223</v>
      </c>
      <c r="O1" s="401" t="s">
        <v>1224</v>
      </c>
      <c r="P1" s="401" t="s">
        <v>1225</v>
      </c>
      <c r="Q1" s="401" t="s">
        <v>1136</v>
      </c>
      <c r="R1" s="401" t="s">
        <v>1226</v>
      </c>
      <c r="S1" s="401" t="s">
        <v>1227</v>
      </c>
    </row>
    <row r="2" spans="1:19" ht="48.6" customHeight="1">
      <c r="A2" s="402"/>
      <c r="B2" s="402"/>
      <c r="C2" s="92" t="s">
        <v>1228</v>
      </c>
      <c r="D2" s="92" t="s">
        <v>1229</v>
      </c>
      <c r="E2" s="92" t="s">
        <v>1230</v>
      </c>
      <c r="F2" s="92" t="s">
        <v>1231</v>
      </c>
      <c r="G2" s="92" t="s">
        <v>1232</v>
      </c>
      <c r="H2" s="92" t="s">
        <v>1233</v>
      </c>
      <c r="I2" s="92" t="s">
        <v>1234</v>
      </c>
      <c r="J2" s="92" t="s">
        <v>696</v>
      </c>
      <c r="K2" s="92" t="s">
        <v>1235</v>
      </c>
      <c r="L2" s="92" t="s">
        <v>1236</v>
      </c>
      <c r="M2" s="92" t="s">
        <v>1237</v>
      </c>
      <c r="N2" s="402"/>
      <c r="O2" s="401"/>
      <c r="P2" s="401"/>
      <c r="Q2" s="401"/>
      <c r="R2" s="401"/>
      <c r="S2" s="401"/>
    </row>
    <row r="3" spans="1:19">
      <c r="A3" s="181" t="s">
        <v>1238</v>
      </c>
      <c r="B3" s="181"/>
      <c r="C3" s="181" t="s">
        <v>951</v>
      </c>
      <c r="D3" s="181" t="s">
        <v>951</v>
      </c>
      <c r="E3" s="181" t="s">
        <v>951</v>
      </c>
      <c r="F3" s="181" t="s">
        <v>951</v>
      </c>
      <c r="G3" s="181" t="s">
        <v>951</v>
      </c>
      <c r="H3" s="181" t="s">
        <v>951</v>
      </c>
      <c r="I3" s="181"/>
      <c r="J3" s="181" t="s">
        <v>951</v>
      </c>
      <c r="K3" s="181" t="s">
        <v>951</v>
      </c>
      <c r="L3" s="181"/>
      <c r="M3" s="181"/>
      <c r="N3" s="181"/>
      <c r="O3" s="181"/>
      <c r="P3" s="181"/>
      <c r="Q3" s="182" t="s">
        <v>1239</v>
      </c>
      <c r="R3" s="182"/>
      <c r="S3" s="182"/>
    </row>
    <row r="4" spans="1:19">
      <c r="A4" s="181" t="s">
        <v>1240</v>
      </c>
      <c r="B4" s="181"/>
      <c r="C4" s="181" t="s">
        <v>951</v>
      </c>
      <c r="D4" s="181" t="s">
        <v>951</v>
      </c>
      <c r="E4" s="181" t="s">
        <v>951</v>
      </c>
      <c r="F4" s="181" t="s">
        <v>951</v>
      </c>
      <c r="G4" s="181"/>
      <c r="H4" s="181" t="s">
        <v>951</v>
      </c>
      <c r="I4" s="181"/>
      <c r="J4" s="181"/>
      <c r="K4" s="181"/>
      <c r="L4" s="181"/>
      <c r="M4" s="181"/>
      <c r="N4" s="181" t="s">
        <v>1241</v>
      </c>
      <c r="O4" s="181"/>
      <c r="P4" s="181"/>
      <c r="Q4" s="182" t="s">
        <v>1239</v>
      </c>
      <c r="R4" s="182"/>
      <c r="S4" s="182"/>
    </row>
    <row r="5" spans="1:19">
      <c r="A5" s="181" t="s">
        <v>1242</v>
      </c>
      <c r="B5" s="182"/>
      <c r="C5" s="182"/>
      <c r="D5" s="182"/>
      <c r="E5" s="182"/>
      <c r="F5" s="182"/>
      <c r="G5" s="182" t="s">
        <v>951</v>
      </c>
      <c r="H5" s="182"/>
      <c r="I5" s="182" t="s">
        <v>951</v>
      </c>
      <c r="J5" s="182" t="s">
        <v>951</v>
      </c>
      <c r="K5" s="182" t="s">
        <v>951</v>
      </c>
      <c r="L5" s="182" t="s">
        <v>951</v>
      </c>
      <c r="M5" s="182"/>
      <c r="N5" s="181" t="s">
        <v>1241</v>
      </c>
      <c r="O5" s="182"/>
      <c r="P5" s="182"/>
      <c r="Q5" s="182" t="s">
        <v>1239</v>
      </c>
      <c r="R5" s="182"/>
      <c r="S5" s="182"/>
    </row>
    <row r="6" spans="1:19">
      <c r="A6" s="181" t="s">
        <v>1243</v>
      </c>
      <c r="B6" s="182"/>
      <c r="C6" s="182" t="s">
        <v>951</v>
      </c>
      <c r="D6" s="182" t="s">
        <v>951</v>
      </c>
      <c r="E6" s="182" t="s">
        <v>951</v>
      </c>
      <c r="F6" s="182" t="s">
        <v>951</v>
      </c>
      <c r="G6" s="182"/>
      <c r="H6" s="182"/>
      <c r="I6" s="182"/>
      <c r="J6" s="182" t="s">
        <v>951</v>
      </c>
      <c r="K6" s="182" t="s">
        <v>951</v>
      </c>
      <c r="L6" s="182"/>
      <c r="M6" s="182"/>
      <c r="N6" s="181" t="s">
        <v>1241</v>
      </c>
      <c r="O6" s="182"/>
      <c r="P6" s="182"/>
      <c r="Q6" s="182" t="s">
        <v>1239</v>
      </c>
      <c r="R6" s="182"/>
      <c r="S6" s="182"/>
    </row>
    <row r="7" spans="1:19" ht="57.6">
      <c r="A7" s="181" t="s">
        <v>1244</v>
      </c>
      <c r="B7" s="182"/>
      <c r="C7" s="182" t="s">
        <v>951</v>
      </c>
      <c r="D7" s="182" t="s">
        <v>1020</v>
      </c>
      <c r="E7" s="182" t="s">
        <v>951</v>
      </c>
      <c r="F7" s="182" t="s">
        <v>1020</v>
      </c>
      <c r="G7" s="182" t="s">
        <v>951</v>
      </c>
      <c r="H7" s="182" t="s">
        <v>951</v>
      </c>
      <c r="I7" s="182" t="s">
        <v>951</v>
      </c>
      <c r="J7" s="182" t="s">
        <v>1020</v>
      </c>
      <c r="K7" s="182" t="s">
        <v>1020</v>
      </c>
      <c r="L7" s="182" t="s">
        <v>1020</v>
      </c>
      <c r="M7" s="182"/>
      <c r="N7" s="181"/>
      <c r="O7" s="182"/>
      <c r="P7" s="182"/>
      <c r="Q7" s="224" t="s">
        <v>1245</v>
      </c>
      <c r="R7" s="182"/>
      <c r="S7" s="182"/>
    </row>
    <row r="8" spans="1:19" ht="72">
      <c r="A8" s="181" t="s">
        <v>1246</v>
      </c>
      <c r="B8" s="182"/>
      <c r="C8" s="182" t="s">
        <v>951</v>
      </c>
      <c r="D8" s="182" t="s">
        <v>951</v>
      </c>
      <c r="E8" s="182" t="s">
        <v>951</v>
      </c>
      <c r="F8" s="182" t="s">
        <v>951</v>
      </c>
      <c r="G8" s="182" t="s">
        <v>951</v>
      </c>
      <c r="H8" s="182" t="s">
        <v>951</v>
      </c>
      <c r="I8" s="182"/>
      <c r="J8" s="182" t="s">
        <v>951</v>
      </c>
      <c r="K8" s="182" t="s">
        <v>951</v>
      </c>
      <c r="L8" s="182" t="s">
        <v>951</v>
      </c>
      <c r="M8" s="182"/>
      <c r="N8" s="182"/>
      <c r="O8" s="182"/>
      <c r="P8" s="182"/>
      <c r="Q8" s="224" t="s">
        <v>1247</v>
      </c>
      <c r="R8" s="182"/>
      <c r="S8" s="182"/>
    </row>
    <row r="9" spans="1:19" ht="57.6">
      <c r="A9" s="181" t="s">
        <v>1248</v>
      </c>
      <c r="B9" s="182"/>
      <c r="C9" s="182" t="s">
        <v>951</v>
      </c>
      <c r="D9" s="182" t="s">
        <v>951</v>
      </c>
      <c r="E9" s="182" t="s">
        <v>951</v>
      </c>
      <c r="F9" s="182" t="s">
        <v>951</v>
      </c>
      <c r="G9" s="182" t="s">
        <v>951</v>
      </c>
      <c r="H9" s="182" t="s">
        <v>951</v>
      </c>
      <c r="I9" s="182" t="s">
        <v>951</v>
      </c>
      <c r="J9" s="182" t="s">
        <v>951</v>
      </c>
      <c r="K9" s="182" t="s">
        <v>951</v>
      </c>
      <c r="L9" s="182" t="s">
        <v>951</v>
      </c>
      <c r="M9" s="182"/>
      <c r="N9" s="182" t="s">
        <v>1249</v>
      </c>
      <c r="O9" s="182"/>
      <c r="P9" s="182"/>
      <c r="Q9" s="224" t="s">
        <v>1250</v>
      </c>
      <c r="R9" s="182"/>
      <c r="S9" s="182"/>
    </row>
    <row r="10" spans="1:19" ht="57.6">
      <c r="A10" s="181" t="s">
        <v>1251</v>
      </c>
      <c r="B10" s="182"/>
      <c r="C10" s="182" t="s">
        <v>951</v>
      </c>
      <c r="D10" s="182" t="s">
        <v>951</v>
      </c>
      <c r="E10" s="182" t="s">
        <v>951</v>
      </c>
      <c r="F10" s="182" t="s">
        <v>951</v>
      </c>
      <c r="G10" s="182" t="s">
        <v>951</v>
      </c>
      <c r="H10" s="182" t="s">
        <v>951</v>
      </c>
      <c r="I10" s="182" t="s">
        <v>951</v>
      </c>
      <c r="J10" s="182" t="s">
        <v>951</v>
      </c>
      <c r="K10" s="182" t="s">
        <v>951</v>
      </c>
      <c r="L10" s="182" t="s">
        <v>951</v>
      </c>
      <c r="M10" s="182"/>
      <c r="N10" s="182"/>
      <c r="O10" s="182"/>
      <c r="P10" s="182"/>
      <c r="Q10" s="224" t="s">
        <v>1252</v>
      </c>
      <c r="R10" s="182"/>
      <c r="S10" s="182"/>
    </row>
    <row r="11" spans="1:19" ht="72">
      <c r="A11" s="181" t="s">
        <v>1253</v>
      </c>
      <c r="B11" s="182"/>
      <c r="C11" s="182" t="s">
        <v>951</v>
      </c>
      <c r="D11" s="182" t="s">
        <v>951</v>
      </c>
      <c r="E11" s="182" t="s">
        <v>951</v>
      </c>
      <c r="F11" s="182" t="s">
        <v>951</v>
      </c>
      <c r="G11" s="182" t="s">
        <v>951</v>
      </c>
      <c r="H11" s="182" t="s">
        <v>951</v>
      </c>
      <c r="I11" s="182" t="s">
        <v>951</v>
      </c>
      <c r="J11" s="182" t="s">
        <v>951</v>
      </c>
      <c r="K11" s="182" t="s">
        <v>951</v>
      </c>
      <c r="L11" s="182" t="s">
        <v>951</v>
      </c>
      <c r="M11" s="182"/>
      <c r="N11" s="182"/>
      <c r="O11" s="182"/>
      <c r="P11" s="182"/>
      <c r="Q11" s="224" t="s">
        <v>1254</v>
      </c>
      <c r="R11" s="182"/>
      <c r="S11" s="182"/>
    </row>
    <row r="12" spans="1:19" ht="57.6">
      <c r="A12" s="181" t="s">
        <v>1255</v>
      </c>
      <c r="B12" s="182"/>
      <c r="C12" s="182" t="s">
        <v>951</v>
      </c>
      <c r="D12" s="182" t="s">
        <v>951</v>
      </c>
      <c r="E12" s="182" t="s">
        <v>951</v>
      </c>
      <c r="F12" s="182" t="s">
        <v>951</v>
      </c>
      <c r="G12" s="182" t="s">
        <v>951</v>
      </c>
      <c r="H12" s="182" t="s">
        <v>951</v>
      </c>
      <c r="I12" s="182" t="s">
        <v>951</v>
      </c>
      <c r="J12" s="182" t="s">
        <v>951</v>
      </c>
      <c r="K12" s="182" t="s">
        <v>951</v>
      </c>
      <c r="L12" s="182" t="s">
        <v>951</v>
      </c>
      <c r="M12" s="182"/>
      <c r="N12" s="182"/>
      <c r="O12" s="182"/>
      <c r="P12" s="182"/>
      <c r="Q12" s="224" t="s">
        <v>1256</v>
      </c>
      <c r="R12" s="182"/>
      <c r="S12" s="182"/>
    </row>
    <row r="13" spans="1:19" ht="57.6">
      <c r="A13" s="181" t="s">
        <v>1257</v>
      </c>
      <c r="B13" s="182"/>
      <c r="C13" s="182" t="s">
        <v>951</v>
      </c>
      <c r="D13" s="182" t="s">
        <v>951</v>
      </c>
      <c r="E13" s="182" t="s">
        <v>951</v>
      </c>
      <c r="F13" s="182" t="s">
        <v>951</v>
      </c>
      <c r="G13" s="182" t="s">
        <v>951</v>
      </c>
      <c r="H13" s="182" t="s">
        <v>951</v>
      </c>
      <c r="I13" s="182" t="s">
        <v>951</v>
      </c>
      <c r="J13" s="182" t="s">
        <v>951</v>
      </c>
      <c r="K13" s="182" t="s">
        <v>951</v>
      </c>
      <c r="L13" s="182" t="s">
        <v>951</v>
      </c>
      <c r="M13" s="182"/>
      <c r="N13" s="182"/>
      <c r="O13" s="182"/>
      <c r="P13" s="182"/>
      <c r="Q13" s="224" t="s">
        <v>1258</v>
      </c>
      <c r="R13" s="182"/>
      <c r="S13" s="182"/>
    </row>
    <row r="14" spans="1:19">
      <c r="A14" s="181"/>
      <c r="B14" s="182"/>
      <c r="C14" s="182"/>
      <c r="D14" s="182"/>
      <c r="E14" s="182"/>
      <c r="F14" s="182"/>
      <c r="G14" s="182"/>
      <c r="H14" s="182"/>
      <c r="I14" s="182"/>
      <c r="J14" s="182"/>
      <c r="K14" s="182"/>
      <c r="L14" s="182"/>
      <c r="M14" s="182"/>
      <c r="N14" s="182"/>
      <c r="O14" s="182"/>
      <c r="P14" s="182"/>
      <c r="Q14" s="182"/>
      <c r="R14" s="182"/>
      <c r="S14" s="182"/>
    </row>
    <row r="15" spans="1:19">
      <c r="A15" s="181"/>
      <c r="B15" s="182"/>
      <c r="C15" s="182"/>
      <c r="D15" s="182"/>
      <c r="E15" s="182"/>
      <c r="F15" s="182"/>
      <c r="G15" s="182"/>
      <c r="H15" s="182"/>
      <c r="I15" s="182"/>
      <c r="J15" s="182"/>
      <c r="K15" s="182"/>
      <c r="L15" s="182"/>
      <c r="M15" s="182"/>
      <c r="N15" s="182"/>
      <c r="O15" s="182"/>
      <c r="P15" s="182"/>
      <c r="Q15" s="182"/>
      <c r="R15" s="182"/>
      <c r="S15" s="182"/>
    </row>
    <row r="16" spans="1:19">
      <c r="A16" s="181"/>
      <c r="B16" s="182"/>
      <c r="C16" s="182"/>
      <c r="D16" s="182"/>
      <c r="E16" s="182"/>
      <c r="F16" s="182"/>
      <c r="G16" s="182"/>
      <c r="H16" s="182"/>
      <c r="I16" s="182"/>
      <c r="J16" s="182"/>
      <c r="K16" s="182"/>
      <c r="L16" s="182"/>
      <c r="M16" s="182"/>
      <c r="N16" s="182"/>
      <c r="O16" s="182"/>
      <c r="P16" s="182"/>
      <c r="Q16" s="182"/>
      <c r="R16" s="182"/>
      <c r="S16" s="182"/>
    </row>
    <row r="17" spans="1:19">
      <c r="A17" s="181"/>
      <c r="B17" s="182"/>
      <c r="C17" s="182"/>
      <c r="D17" s="182"/>
      <c r="E17" s="182"/>
      <c r="F17" s="182"/>
      <c r="G17" s="182"/>
      <c r="H17" s="182"/>
      <c r="I17" s="182"/>
      <c r="J17" s="182"/>
      <c r="K17" s="182"/>
      <c r="L17" s="182"/>
      <c r="M17" s="182"/>
      <c r="N17" s="182"/>
      <c r="O17" s="182"/>
      <c r="P17" s="182"/>
      <c r="Q17" s="182"/>
      <c r="R17" s="182"/>
      <c r="S17" s="182"/>
    </row>
    <row r="18" spans="1:19">
      <c r="A18" s="181"/>
      <c r="B18" s="182"/>
      <c r="C18" s="182"/>
      <c r="D18" s="182"/>
      <c r="E18" s="182"/>
      <c r="F18" s="182"/>
      <c r="G18" s="182"/>
      <c r="H18" s="182"/>
      <c r="I18" s="182"/>
      <c r="J18" s="182"/>
      <c r="K18" s="182"/>
      <c r="L18" s="182"/>
      <c r="M18" s="182"/>
      <c r="N18" s="182"/>
      <c r="O18" s="182"/>
      <c r="P18" s="182"/>
      <c r="Q18" s="182"/>
      <c r="R18" s="182"/>
      <c r="S18" s="182"/>
    </row>
    <row r="19" spans="1:19">
      <c r="A19" s="181"/>
      <c r="B19" s="182"/>
      <c r="C19" s="182"/>
      <c r="D19" s="182"/>
      <c r="E19" s="182"/>
      <c r="F19" s="182"/>
      <c r="G19" s="182"/>
      <c r="H19" s="182"/>
      <c r="I19" s="182"/>
      <c r="J19" s="182"/>
      <c r="K19" s="182"/>
      <c r="L19" s="182"/>
      <c r="M19" s="182"/>
      <c r="N19" s="182"/>
      <c r="O19" s="182"/>
      <c r="P19" s="182"/>
      <c r="Q19" s="182"/>
      <c r="R19" s="182"/>
      <c r="S19" s="182"/>
    </row>
    <row r="20" spans="1:19">
      <c r="A20" s="181"/>
      <c r="B20" s="182"/>
      <c r="C20" s="182"/>
      <c r="D20" s="182"/>
      <c r="E20" s="182"/>
      <c r="F20" s="182"/>
      <c r="G20" s="182"/>
      <c r="H20" s="182"/>
      <c r="I20" s="182"/>
      <c r="J20" s="182"/>
      <c r="K20" s="182"/>
      <c r="L20" s="182"/>
      <c r="M20" s="182"/>
      <c r="N20" s="182"/>
      <c r="O20" s="182"/>
      <c r="P20" s="182"/>
      <c r="Q20" s="182"/>
      <c r="R20" s="182"/>
      <c r="S20" s="182"/>
    </row>
    <row r="21" spans="1:19">
      <c r="A21" s="181"/>
      <c r="B21" s="182"/>
      <c r="C21" s="182"/>
      <c r="D21" s="182"/>
      <c r="E21" s="182"/>
      <c r="F21" s="182"/>
      <c r="G21" s="182"/>
      <c r="H21" s="182"/>
      <c r="I21" s="182"/>
      <c r="J21" s="182"/>
      <c r="K21" s="182"/>
      <c r="L21" s="182"/>
      <c r="M21" s="182"/>
      <c r="N21" s="182"/>
      <c r="O21" s="182"/>
      <c r="P21" s="182"/>
      <c r="Q21" s="182"/>
      <c r="R21" s="182"/>
      <c r="S21" s="182"/>
    </row>
    <row r="22" spans="1:19">
      <c r="A22" s="181"/>
      <c r="B22" s="182"/>
      <c r="C22" s="182"/>
      <c r="D22" s="182"/>
      <c r="E22" s="182"/>
      <c r="F22" s="182"/>
      <c r="G22" s="182"/>
      <c r="H22" s="182"/>
      <c r="I22" s="182"/>
      <c r="J22" s="182"/>
      <c r="K22" s="182"/>
      <c r="L22" s="182"/>
      <c r="M22" s="182"/>
      <c r="N22" s="182"/>
      <c r="O22" s="182"/>
      <c r="P22" s="182"/>
      <c r="Q22" s="182"/>
      <c r="R22" s="182"/>
      <c r="S22" s="182"/>
    </row>
    <row r="23" spans="1:19">
      <c r="A23" s="181"/>
      <c r="B23" s="182"/>
      <c r="C23" s="182"/>
      <c r="D23" s="182"/>
      <c r="E23" s="182"/>
      <c r="F23" s="182"/>
      <c r="G23" s="182"/>
      <c r="H23" s="182"/>
      <c r="I23" s="182"/>
      <c r="J23" s="182"/>
      <c r="K23" s="182"/>
      <c r="L23" s="182"/>
      <c r="M23" s="182"/>
      <c r="N23" s="182"/>
      <c r="O23" s="182"/>
      <c r="P23" s="182"/>
      <c r="Q23" s="182"/>
      <c r="R23" s="182"/>
      <c r="S23" s="182"/>
    </row>
    <row r="24" spans="1:19">
      <c r="A24" s="181"/>
      <c r="B24" s="182"/>
      <c r="C24" s="182"/>
      <c r="D24" s="182"/>
      <c r="E24" s="182"/>
      <c r="F24" s="182"/>
      <c r="G24" s="182"/>
      <c r="H24" s="182"/>
      <c r="I24" s="182"/>
      <c r="J24" s="182"/>
      <c r="K24" s="182"/>
      <c r="L24" s="182"/>
      <c r="M24" s="182"/>
      <c r="N24" s="182"/>
      <c r="O24" s="182"/>
      <c r="P24" s="182"/>
      <c r="Q24" s="182"/>
      <c r="R24" s="182"/>
      <c r="S24" s="182"/>
    </row>
    <row r="25" spans="1:19">
      <c r="A25" s="181"/>
      <c r="B25" s="182"/>
      <c r="C25" s="182"/>
      <c r="D25" s="182"/>
      <c r="E25" s="182"/>
      <c r="F25" s="182"/>
      <c r="G25" s="182"/>
      <c r="H25" s="182"/>
      <c r="I25" s="182"/>
      <c r="J25" s="182"/>
      <c r="K25" s="182"/>
      <c r="L25" s="182"/>
      <c r="M25" s="182"/>
      <c r="N25" s="182"/>
      <c r="O25" s="182"/>
      <c r="P25" s="182"/>
      <c r="Q25" s="182"/>
      <c r="R25" s="182"/>
      <c r="S25" s="182"/>
    </row>
    <row r="26" spans="1:19">
      <c r="A26" s="181"/>
      <c r="B26" s="182"/>
      <c r="C26" s="182"/>
      <c r="D26" s="182"/>
      <c r="E26" s="182"/>
      <c r="F26" s="182"/>
      <c r="G26" s="182"/>
      <c r="H26" s="182"/>
      <c r="I26" s="182"/>
      <c r="J26" s="182"/>
      <c r="K26" s="182"/>
      <c r="L26" s="182"/>
      <c r="M26" s="182"/>
      <c r="N26" s="182"/>
      <c r="O26" s="182"/>
      <c r="P26" s="182"/>
      <c r="Q26" s="182"/>
      <c r="R26" s="182"/>
      <c r="S26" s="182"/>
    </row>
    <row r="27" spans="1:19">
      <c r="A27" s="181"/>
      <c r="B27" s="182"/>
      <c r="C27" s="182"/>
      <c r="D27" s="182"/>
      <c r="E27" s="182"/>
      <c r="F27" s="182"/>
      <c r="G27" s="182"/>
      <c r="H27" s="182"/>
      <c r="I27" s="182"/>
      <c r="J27" s="182"/>
      <c r="K27" s="182"/>
      <c r="L27" s="182"/>
      <c r="M27" s="182"/>
      <c r="N27" s="182"/>
      <c r="O27" s="182"/>
      <c r="P27" s="182"/>
      <c r="Q27" s="182"/>
      <c r="R27" s="182"/>
      <c r="S27" s="182"/>
    </row>
    <row r="28" spans="1:19">
      <c r="A28" s="181"/>
      <c r="B28" s="182"/>
      <c r="C28" s="182"/>
      <c r="D28" s="182"/>
      <c r="E28" s="182"/>
      <c r="F28" s="182"/>
      <c r="G28" s="182"/>
      <c r="H28" s="182"/>
      <c r="I28" s="182"/>
      <c r="J28" s="182"/>
      <c r="K28" s="182"/>
      <c r="L28" s="182"/>
      <c r="M28" s="182"/>
      <c r="N28" s="182"/>
      <c r="O28" s="182"/>
      <c r="P28" s="182"/>
      <c r="Q28" s="182"/>
      <c r="R28" s="182"/>
      <c r="S28" s="182"/>
    </row>
    <row r="29" spans="1:19">
      <c r="A29" s="181"/>
      <c r="B29" s="182"/>
      <c r="C29" s="182"/>
      <c r="D29" s="182"/>
      <c r="E29" s="182"/>
      <c r="F29" s="182"/>
      <c r="G29" s="182"/>
      <c r="H29" s="182"/>
      <c r="I29" s="182"/>
      <c r="J29" s="182"/>
      <c r="K29" s="182"/>
      <c r="L29" s="182"/>
      <c r="M29" s="182"/>
      <c r="N29" s="182"/>
      <c r="O29" s="182"/>
      <c r="P29" s="182"/>
      <c r="Q29" s="182"/>
      <c r="R29" s="182"/>
      <c r="S29" s="182"/>
    </row>
    <row r="30" spans="1:19">
      <c r="A30" s="181"/>
      <c r="B30" s="182"/>
      <c r="C30" s="182"/>
      <c r="D30" s="182"/>
      <c r="E30" s="182"/>
      <c r="F30" s="182"/>
      <c r="G30" s="182"/>
      <c r="H30" s="182"/>
      <c r="I30" s="182"/>
      <c r="J30" s="182"/>
      <c r="K30" s="182"/>
      <c r="L30" s="182"/>
      <c r="M30" s="182"/>
      <c r="N30" s="182"/>
      <c r="O30" s="182"/>
      <c r="P30" s="182"/>
      <c r="Q30" s="182"/>
      <c r="R30" s="182"/>
      <c r="S30" s="182"/>
    </row>
    <row r="31" spans="1:19">
      <c r="A31" s="181"/>
      <c r="B31" s="182"/>
      <c r="C31" s="182"/>
      <c r="D31" s="182"/>
      <c r="E31" s="182"/>
      <c r="F31" s="182"/>
      <c r="G31" s="182"/>
      <c r="H31" s="182"/>
      <c r="I31" s="182"/>
      <c r="J31" s="182"/>
      <c r="K31" s="182"/>
      <c r="L31" s="182"/>
      <c r="M31" s="182"/>
      <c r="N31" s="182"/>
      <c r="O31" s="182"/>
      <c r="P31" s="182"/>
      <c r="Q31" s="182"/>
      <c r="R31" s="182"/>
      <c r="S31" s="182"/>
    </row>
    <row r="32" spans="1:19">
      <c r="A32" s="181"/>
      <c r="B32" s="182"/>
      <c r="C32" s="182"/>
      <c r="D32" s="182"/>
      <c r="E32" s="182"/>
      <c r="F32" s="182"/>
      <c r="G32" s="182"/>
      <c r="H32" s="182"/>
      <c r="I32" s="182"/>
      <c r="J32" s="182"/>
      <c r="K32" s="182"/>
      <c r="L32" s="182"/>
      <c r="M32" s="182"/>
      <c r="N32" s="182"/>
      <c r="O32" s="182"/>
      <c r="P32" s="182"/>
      <c r="Q32" s="182"/>
      <c r="R32" s="182"/>
      <c r="S32" s="182"/>
    </row>
    <row r="33" spans="1:19">
      <c r="A33" s="181"/>
      <c r="B33" s="182"/>
      <c r="C33" s="182"/>
      <c r="D33" s="182"/>
      <c r="E33" s="182"/>
      <c r="F33" s="182"/>
      <c r="G33" s="182"/>
      <c r="H33" s="182"/>
      <c r="I33" s="182"/>
      <c r="J33" s="182"/>
      <c r="K33" s="182"/>
      <c r="L33" s="182"/>
      <c r="M33" s="182"/>
      <c r="N33" s="182"/>
      <c r="O33" s="182"/>
      <c r="P33" s="182"/>
      <c r="Q33" s="182"/>
      <c r="R33" s="182"/>
      <c r="S33" s="182"/>
    </row>
    <row r="34" spans="1:19">
      <c r="A34" s="181"/>
      <c r="B34" s="182"/>
      <c r="C34" s="182"/>
      <c r="D34" s="182"/>
      <c r="E34" s="182"/>
      <c r="F34" s="182"/>
      <c r="G34" s="182"/>
      <c r="H34" s="182"/>
      <c r="I34" s="182"/>
      <c r="J34" s="182"/>
      <c r="K34" s="182"/>
      <c r="L34" s="182"/>
      <c r="M34" s="182"/>
      <c r="N34" s="182"/>
      <c r="O34" s="182"/>
      <c r="P34" s="182"/>
      <c r="Q34" s="182"/>
      <c r="R34" s="182"/>
      <c r="S34" s="182"/>
    </row>
    <row r="35" spans="1:19">
      <c r="A35" s="181"/>
      <c r="B35" s="182"/>
      <c r="C35" s="182"/>
      <c r="D35" s="182"/>
      <c r="E35" s="182"/>
      <c r="F35" s="182"/>
      <c r="G35" s="182"/>
      <c r="H35" s="182"/>
      <c r="I35" s="182"/>
      <c r="J35" s="182"/>
      <c r="K35" s="182"/>
      <c r="L35" s="182"/>
      <c r="M35" s="182"/>
      <c r="N35" s="182"/>
      <c r="O35" s="182"/>
      <c r="P35" s="182"/>
      <c r="Q35" s="182"/>
      <c r="R35" s="182"/>
      <c r="S35" s="182"/>
    </row>
    <row r="36" spans="1:19">
      <c r="A36" s="181"/>
      <c r="B36" s="182"/>
      <c r="C36" s="182"/>
      <c r="D36" s="182"/>
      <c r="E36" s="182"/>
      <c r="F36" s="182"/>
      <c r="G36" s="182"/>
      <c r="H36" s="182"/>
      <c r="I36" s="182"/>
      <c r="J36" s="182"/>
      <c r="K36" s="182"/>
      <c r="L36" s="182"/>
      <c r="M36" s="182"/>
      <c r="N36" s="182"/>
      <c r="O36" s="182"/>
      <c r="P36" s="182"/>
      <c r="Q36" s="182"/>
      <c r="R36" s="182"/>
      <c r="S36" s="182"/>
    </row>
    <row r="37" spans="1:19">
      <c r="A37" s="181"/>
      <c r="B37" s="182"/>
      <c r="C37" s="182"/>
      <c r="D37" s="182"/>
      <c r="E37" s="182"/>
      <c r="F37" s="182"/>
      <c r="G37" s="182"/>
      <c r="H37" s="182"/>
      <c r="I37" s="182"/>
      <c r="J37" s="182"/>
      <c r="K37" s="182"/>
      <c r="L37" s="182"/>
      <c r="M37" s="182"/>
      <c r="N37" s="182"/>
      <c r="O37" s="182"/>
      <c r="P37" s="182"/>
      <c r="Q37" s="182"/>
      <c r="R37" s="182"/>
      <c r="S37" s="182"/>
    </row>
    <row r="38" spans="1:19">
      <c r="A38" s="181"/>
      <c r="B38" s="182"/>
      <c r="C38" s="182"/>
      <c r="D38" s="182"/>
      <c r="E38" s="182"/>
      <c r="F38" s="182"/>
      <c r="G38" s="182"/>
      <c r="H38" s="182"/>
      <c r="I38" s="182"/>
      <c r="J38" s="182"/>
      <c r="K38" s="182"/>
      <c r="L38" s="182"/>
      <c r="M38" s="182"/>
      <c r="N38" s="182"/>
      <c r="O38" s="182"/>
      <c r="P38" s="182"/>
      <c r="Q38" s="182"/>
      <c r="R38" s="182"/>
      <c r="S38" s="182"/>
    </row>
    <row r="39" spans="1:19">
      <c r="A39" s="181"/>
      <c r="B39" s="182"/>
      <c r="C39" s="182"/>
      <c r="D39" s="182"/>
      <c r="E39" s="182"/>
      <c r="F39" s="182"/>
      <c r="G39" s="182"/>
      <c r="H39" s="182"/>
      <c r="I39" s="182"/>
      <c r="J39" s="182"/>
      <c r="K39" s="182"/>
      <c r="L39" s="182"/>
      <c r="M39" s="182"/>
      <c r="N39" s="182"/>
      <c r="O39" s="182"/>
      <c r="P39" s="182"/>
      <c r="Q39" s="182"/>
      <c r="R39" s="182"/>
      <c r="S39" s="182"/>
    </row>
    <row r="40" spans="1:19">
      <c r="A40" s="181"/>
      <c r="B40" s="182"/>
      <c r="C40" s="182"/>
      <c r="D40" s="182"/>
      <c r="E40" s="182"/>
      <c r="F40" s="182"/>
      <c r="G40" s="182"/>
      <c r="H40" s="182"/>
      <c r="I40" s="182"/>
      <c r="J40" s="182"/>
      <c r="K40" s="182"/>
      <c r="L40" s="182"/>
      <c r="M40" s="182"/>
      <c r="N40" s="182"/>
      <c r="O40" s="182"/>
      <c r="P40" s="182"/>
      <c r="Q40" s="182"/>
      <c r="R40" s="182"/>
      <c r="S40" s="182"/>
    </row>
    <row r="41" spans="1:19">
      <c r="A41" s="181"/>
      <c r="B41" s="182"/>
      <c r="C41" s="182"/>
      <c r="D41" s="182"/>
      <c r="E41" s="182"/>
      <c r="F41" s="182"/>
      <c r="G41" s="182"/>
      <c r="H41" s="182"/>
      <c r="I41" s="182"/>
      <c r="J41" s="182"/>
      <c r="K41" s="182"/>
      <c r="L41" s="182"/>
      <c r="M41" s="182"/>
      <c r="N41" s="182"/>
      <c r="O41" s="182"/>
      <c r="P41" s="182"/>
      <c r="Q41" s="182"/>
      <c r="R41" s="182"/>
      <c r="S41" s="182"/>
    </row>
    <row r="42" spans="1:19">
      <c r="A42" s="181"/>
      <c r="B42" s="182"/>
      <c r="C42" s="182"/>
      <c r="D42" s="182"/>
      <c r="E42" s="182"/>
      <c r="F42" s="182"/>
      <c r="G42" s="182"/>
      <c r="H42" s="182"/>
      <c r="I42" s="182"/>
      <c r="J42" s="182"/>
      <c r="K42" s="182"/>
      <c r="L42" s="182"/>
      <c r="M42" s="182"/>
      <c r="N42" s="182"/>
      <c r="O42" s="182"/>
      <c r="P42" s="182"/>
      <c r="Q42" s="182"/>
      <c r="R42" s="182"/>
      <c r="S42" s="182"/>
    </row>
    <row r="43" spans="1:19">
      <c r="A43" s="181"/>
      <c r="B43" s="182"/>
      <c r="C43" s="182"/>
      <c r="D43" s="182"/>
      <c r="E43" s="182"/>
      <c r="F43" s="182"/>
      <c r="G43" s="182"/>
      <c r="H43" s="182"/>
      <c r="I43" s="182"/>
      <c r="J43" s="182"/>
      <c r="K43" s="182"/>
      <c r="L43" s="182"/>
      <c r="M43" s="182"/>
      <c r="N43" s="182"/>
      <c r="O43" s="182"/>
      <c r="P43" s="182"/>
      <c r="Q43" s="182"/>
      <c r="R43" s="182"/>
      <c r="S43" s="182"/>
    </row>
    <row r="44" spans="1:19">
      <c r="A44" s="181"/>
      <c r="B44" s="182"/>
      <c r="C44" s="182"/>
      <c r="D44" s="182"/>
      <c r="E44" s="182"/>
      <c r="F44" s="182"/>
      <c r="G44" s="182"/>
      <c r="H44" s="182"/>
      <c r="I44" s="182"/>
      <c r="J44" s="182"/>
      <c r="K44" s="182"/>
      <c r="L44" s="182"/>
      <c r="M44" s="182"/>
      <c r="N44" s="182"/>
      <c r="O44" s="182"/>
      <c r="P44" s="182"/>
      <c r="Q44" s="182"/>
      <c r="R44" s="182"/>
      <c r="S44" s="182"/>
    </row>
    <row r="45" spans="1:19">
      <c r="A45" s="181"/>
      <c r="B45" s="182"/>
      <c r="C45" s="182"/>
      <c r="D45" s="182"/>
      <c r="E45" s="182"/>
      <c r="F45" s="182"/>
      <c r="G45" s="182"/>
      <c r="H45" s="182"/>
      <c r="I45" s="182"/>
      <c r="J45" s="182"/>
      <c r="K45" s="182"/>
      <c r="L45" s="182"/>
      <c r="M45" s="182"/>
      <c r="N45" s="182"/>
      <c r="O45" s="182"/>
      <c r="P45" s="182"/>
      <c r="Q45" s="182"/>
      <c r="R45" s="182"/>
      <c r="S45" s="182"/>
    </row>
    <row r="46" spans="1:19">
      <c r="A46" s="181"/>
      <c r="B46" s="182"/>
      <c r="C46" s="182"/>
      <c r="D46" s="182"/>
      <c r="E46" s="182"/>
      <c r="F46" s="182"/>
      <c r="G46" s="182"/>
      <c r="H46" s="182"/>
      <c r="I46" s="182"/>
      <c r="J46" s="182"/>
      <c r="K46" s="182"/>
      <c r="L46" s="182"/>
      <c r="M46" s="182"/>
      <c r="N46" s="182"/>
      <c r="O46" s="182"/>
      <c r="P46" s="182"/>
      <c r="Q46" s="182"/>
      <c r="R46" s="182"/>
      <c r="S46" s="182"/>
    </row>
    <row r="47" spans="1:19">
      <c r="A47" s="181"/>
      <c r="B47" s="182"/>
      <c r="C47" s="182"/>
      <c r="D47" s="182"/>
      <c r="E47" s="182"/>
      <c r="F47" s="182"/>
      <c r="G47" s="182"/>
      <c r="H47" s="182"/>
      <c r="I47" s="182"/>
      <c r="J47" s="182"/>
      <c r="K47" s="182"/>
      <c r="L47" s="182"/>
      <c r="M47" s="182"/>
      <c r="N47" s="182"/>
      <c r="O47" s="182"/>
      <c r="P47" s="182"/>
      <c r="Q47" s="182"/>
      <c r="R47" s="182"/>
      <c r="S47" s="182"/>
    </row>
    <row r="48" spans="1:19">
      <c r="A48" s="181"/>
      <c r="B48" s="182"/>
      <c r="C48" s="182"/>
      <c r="D48" s="182"/>
      <c r="E48" s="182"/>
      <c r="F48" s="182"/>
      <c r="G48" s="182"/>
      <c r="H48" s="182"/>
      <c r="I48" s="182"/>
      <c r="J48" s="182"/>
      <c r="K48" s="182"/>
      <c r="L48" s="182"/>
      <c r="M48" s="182"/>
      <c r="N48" s="182"/>
      <c r="O48" s="182"/>
      <c r="P48" s="182"/>
      <c r="Q48" s="182"/>
      <c r="R48" s="182"/>
      <c r="S48" s="182"/>
    </row>
    <row r="49" spans="1:19">
      <c r="A49" s="181"/>
      <c r="B49" s="182"/>
      <c r="C49" s="182"/>
      <c r="D49" s="182"/>
      <c r="E49" s="182"/>
      <c r="F49" s="182"/>
      <c r="G49" s="182"/>
      <c r="H49" s="182"/>
      <c r="I49" s="182"/>
      <c r="J49" s="182"/>
      <c r="K49" s="182"/>
      <c r="L49" s="182"/>
      <c r="M49" s="182"/>
      <c r="N49" s="182"/>
      <c r="O49" s="182"/>
      <c r="P49" s="182"/>
      <c r="Q49" s="182"/>
      <c r="R49" s="182"/>
      <c r="S49" s="182"/>
    </row>
  </sheetData>
  <mergeCells count="9">
    <mergeCell ref="S1:S2"/>
    <mergeCell ref="A1:A2"/>
    <mergeCell ref="C1:L1"/>
    <mergeCell ref="N1:N2"/>
    <mergeCell ref="Q1:Q2"/>
    <mergeCell ref="R1:R2"/>
    <mergeCell ref="O1:O2"/>
    <mergeCell ref="P1:P2"/>
    <mergeCell ref="B1:B2"/>
  </mergeCells>
  <hyperlinks>
    <hyperlink ref="Q8" r:id="rId1" location="project-details-section" xr:uid="{99FE9B86-010D-438C-9EDC-1425CEAB3B50}"/>
    <hyperlink ref="Q9" r:id="rId2" xr:uid="{82D3AB8A-10A0-4F10-B08C-9F93188C179C}"/>
    <hyperlink ref="Q10" r:id="rId3" xr:uid="{37EAFBB2-3AAE-4662-94F8-DD2642644A42}"/>
    <hyperlink ref="Q11" r:id="rId4" location="project-details-section" xr:uid="{F7670A59-413F-46E8-A407-CC99F75013F0}"/>
    <hyperlink ref="Q7" r:id="rId5" xr:uid="{ED3F3218-82AB-417B-85A8-A75D1C440B42}"/>
    <hyperlink ref="Q12" r:id="rId6" location="project-details-section" xr:uid="{92186983-8253-423D-9E2D-3728EDF516CD}"/>
    <hyperlink ref="Q13" r:id="rId7" xr:uid="{E839904F-1CCA-40C6-8225-A0E92B66B9A6}"/>
  </hyperlinks>
  <pageMargins left="0.7" right="0.7" top="0.75" bottom="0.75" header="0.3" footer="0.3"/>
  <pageSetup orientation="portrait" r:id="rId8"/>
  <extLst>
    <ext xmlns:x14="http://schemas.microsoft.com/office/spreadsheetml/2009/9/main" uri="{CCE6A557-97BC-4b89-ADB6-D9C93CAAB3DF}">
      <x14:dataValidations xmlns:xm="http://schemas.microsoft.com/office/excel/2006/main" count="1">
        <x14:dataValidation type="list" allowBlank="1" showInputMessage="1" showErrorMessage="1" xr:uid="{F6E63E7E-4C64-46CB-A50B-E1199996DE96}">
          <x14:formula1>
            <xm:f>LISTES!$A$2:$A$4</xm:f>
          </x14:formula1>
          <xm:sqref>R3:R49 C3:L49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CAC5-4629-4A2D-90E2-6E008F7B1AF8}">
  <sheetPr>
    <tabColor theme="9" tint="0.79998168889431442"/>
  </sheetPr>
  <dimension ref="A1:D12"/>
  <sheetViews>
    <sheetView zoomScale="70" zoomScaleNormal="70" workbookViewId="0">
      <selection activeCell="D15" sqref="D15"/>
    </sheetView>
  </sheetViews>
  <sheetFormatPr baseColWidth="10" defaultColWidth="10.88671875" defaultRowHeight="14.4"/>
  <cols>
    <col min="1" max="1" width="34.33203125" style="27" customWidth="1"/>
    <col min="2" max="2" width="122.33203125" style="27" bestFit="1" customWidth="1"/>
    <col min="3" max="3" width="49.109375" style="27" customWidth="1"/>
    <col min="4" max="4" width="49.88671875" style="28" customWidth="1"/>
    <col min="5" max="16384" width="10.88671875" style="27"/>
  </cols>
  <sheetData>
    <row r="1" spans="1:4" ht="21">
      <c r="A1" s="403" t="s">
        <v>1259</v>
      </c>
      <c r="B1" s="403"/>
      <c r="C1" s="156" t="s">
        <v>23</v>
      </c>
      <c r="D1" s="217" t="s">
        <v>1136</v>
      </c>
    </row>
    <row r="2" spans="1:4" ht="29.1" customHeight="1">
      <c r="A2" s="406" t="s">
        <v>1260</v>
      </c>
      <c r="B2" s="98" t="s">
        <v>1261</v>
      </c>
      <c r="C2" s="226" t="s">
        <v>1262</v>
      </c>
      <c r="D2" s="218" t="s">
        <v>1263</v>
      </c>
    </row>
    <row r="3" spans="1:4" ht="29.1" customHeight="1">
      <c r="A3" s="406"/>
      <c r="B3" s="98" t="s">
        <v>1264</v>
      </c>
      <c r="C3" s="226" t="s">
        <v>1002</v>
      </c>
      <c r="D3" s="218"/>
    </row>
    <row r="4" spans="1:4" ht="29.1" customHeight="1">
      <c r="A4" s="406"/>
      <c r="B4" s="101" t="s">
        <v>1265</v>
      </c>
      <c r="C4" s="225">
        <v>14</v>
      </c>
      <c r="D4" s="215"/>
    </row>
    <row r="5" spans="1:4" ht="29.1" customHeight="1">
      <c r="A5" s="406"/>
      <c r="B5" s="54" t="s">
        <v>1266</v>
      </c>
      <c r="C5" s="225">
        <v>7</v>
      </c>
      <c r="D5" s="215" t="s">
        <v>1267</v>
      </c>
    </row>
    <row r="6" spans="1:4" ht="29.1" customHeight="1">
      <c r="A6" s="406"/>
      <c r="B6" s="54" t="s">
        <v>1268</v>
      </c>
      <c r="C6" s="225">
        <v>215</v>
      </c>
      <c r="D6" s="215"/>
    </row>
    <row r="7" spans="1:4" ht="29.1" customHeight="1">
      <c r="A7" s="406"/>
      <c r="B7" s="98" t="s">
        <v>1269</v>
      </c>
      <c r="C7" s="226">
        <v>70</v>
      </c>
      <c r="D7" s="218"/>
    </row>
    <row r="8" spans="1:4" ht="29.1" customHeight="1">
      <c r="A8" s="406"/>
      <c r="B8" s="98" t="s">
        <v>1270</v>
      </c>
      <c r="C8" s="226" t="s">
        <v>1271</v>
      </c>
      <c r="D8" s="218"/>
    </row>
    <row r="9" spans="1:4" ht="29.1" customHeight="1" thickBot="1">
      <c r="A9" s="405"/>
      <c r="B9" s="154" t="s">
        <v>1272</v>
      </c>
      <c r="C9" s="227">
        <v>2600</v>
      </c>
      <c r="D9" s="219"/>
    </row>
    <row r="10" spans="1:4" ht="144" customHeight="1">
      <c r="A10" s="404" t="s">
        <v>1273</v>
      </c>
      <c r="B10" s="124" t="s">
        <v>1274</v>
      </c>
      <c r="C10" s="94" t="s">
        <v>1275</v>
      </c>
      <c r="D10" s="220" t="s">
        <v>1276</v>
      </c>
    </row>
    <row r="11" spans="1:4" ht="29.1" customHeight="1" thickBot="1">
      <c r="A11" s="405"/>
      <c r="B11" s="154" t="s">
        <v>1277</v>
      </c>
      <c r="C11" s="117" t="s">
        <v>1275</v>
      </c>
      <c r="D11" s="219" t="s">
        <v>1278</v>
      </c>
    </row>
    <row r="12" spans="1:4" ht="34.5" customHeight="1">
      <c r="B12" s="29"/>
    </row>
  </sheetData>
  <mergeCells count="3">
    <mergeCell ref="A1:B1"/>
    <mergeCell ref="A10:A11"/>
    <mergeCell ref="A2:A9"/>
  </mergeCells>
  <dataValidations count="2">
    <dataValidation type="list" allowBlank="1" showInputMessage="1" showErrorMessage="1" sqref="D1" xr:uid="{E5FE8FE9-7D8D-4A78-BA99-A340ACBD7209}"/>
    <dataValidation type="list" allowBlank="1" showInputMessage="1" showErrorMessage="1" sqref="C10:C11" xr:uid="{F2F4E19B-7A1A-426B-8066-352F9BE8F6A7}">
      <formula1>"possible , systématique , non"</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CE1BD-E2F9-4885-BC5E-6820FD77A810}">
  <sheetPr>
    <tabColor theme="9" tint="0.79998168889431442"/>
  </sheetPr>
  <dimension ref="A1:J34"/>
  <sheetViews>
    <sheetView tabSelected="1" zoomScale="85" zoomScaleNormal="85" workbookViewId="0">
      <selection activeCell="F11" sqref="F11"/>
    </sheetView>
  </sheetViews>
  <sheetFormatPr baseColWidth="10" defaultColWidth="10.88671875" defaultRowHeight="14.4"/>
  <cols>
    <col min="1" max="1" width="36.33203125" style="27" bestFit="1" customWidth="1"/>
    <col min="2" max="2" width="104.5546875" style="27" customWidth="1"/>
    <col min="3" max="3" width="29.109375" style="27" customWidth="1"/>
    <col min="4" max="4" width="58.5546875" style="27" customWidth="1"/>
    <col min="5" max="5" width="12.88671875" style="27" bestFit="1" customWidth="1"/>
    <col min="6" max="6" width="14.33203125" style="27" bestFit="1" customWidth="1"/>
    <col min="7" max="16384" width="10.88671875" style="27"/>
  </cols>
  <sheetData>
    <row r="1" spans="1:10" s="170" customFormat="1" ht="14.4" customHeight="1" thickBot="1">
      <c r="A1" s="409" t="s">
        <v>1279</v>
      </c>
      <c r="B1" s="410"/>
      <c r="C1" s="169" t="s">
        <v>1280</v>
      </c>
      <c r="D1" s="176" t="s">
        <v>44</v>
      </c>
      <c r="I1" s="27"/>
      <c r="J1" s="27"/>
    </row>
    <row r="2" spans="1:10" s="39" customFormat="1" ht="16.2" thickBot="1">
      <c r="A2" s="174" t="s">
        <v>1281</v>
      </c>
      <c r="B2" s="172"/>
      <c r="C2" s="172"/>
      <c r="D2" s="172"/>
      <c r="E2" s="175"/>
      <c r="F2" s="175"/>
      <c r="G2" s="175"/>
      <c r="H2" s="175"/>
      <c r="I2" s="27"/>
      <c r="J2" s="27"/>
    </row>
    <row r="3" spans="1:10">
      <c r="A3" s="414" t="s">
        <v>1282</v>
      </c>
      <c r="B3" s="158" t="s">
        <v>1283</v>
      </c>
      <c r="C3" s="159">
        <f>SUM(C4:C8)</f>
        <v>2879000</v>
      </c>
      <c r="D3" s="160" t="s">
        <v>1284</v>
      </c>
    </row>
    <row r="4" spans="1:10" ht="72">
      <c r="A4" s="415"/>
      <c r="B4" s="157" t="s">
        <v>1285</v>
      </c>
      <c r="C4" s="162">
        <v>1900000</v>
      </c>
      <c r="D4" s="83" t="s">
        <v>1286</v>
      </c>
    </row>
    <row r="5" spans="1:10" ht="28.8">
      <c r="A5" s="415"/>
      <c r="B5" s="157" t="s">
        <v>1287</v>
      </c>
      <c r="C5" s="162">
        <v>0</v>
      </c>
      <c r="D5" s="83"/>
    </row>
    <row r="6" spans="1:10" ht="28.8">
      <c r="A6" s="415"/>
      <c r="B6" s="157" t="s">
        <v>1288</v>
      </c>
      <c r="C6" s="162">
        <v>0</v>
      </c>
      <c r="D6" s="83"/>
    </row>
    <row r="7" spans="1:10">
      <c r="A7" s="415"/>
      <c r="B7" s="125" t="s">
        <v>1289</v>
      </c>
      <c r="C7" s="162">
        <v>979000</v>
      </c>
      <c r="D7" s="83" t="s">
        <v>1290</v>
      </c>
    </row>
    <row r="8" spans="1:10" ht="15" thickBot="1">
      <c r="A8" s="416"/>
      <c r="B8" s="126" t="s">
        <v>1291</v>
      </c>
      <c r="C8" s="168">
        <v>0</v>
      </c>
      <c r="D8" s="84"/>
    </row>
    <row r="9" spans="1:10" ht="15" thickBot="1">
      <c r="A9" s="26"/>
      <c r="B9" s="26"/>
      <c r="C9" s="28"/>
      <c r="D9" s="26"/>
    </row>
    <row r="10" spans="1:10" s="175" customFormat="1" ht="16.2" thickBot="1">
      <c r="A10" s="407" t="s">
        <v>1292</v>
      </c>
      <c r="B10" s="408"/>
      <c r="C10" s="408"/>
      <c r="D10" s="408"/>
      <c r="E10" s="27"/>
      <c r="F10" s="27"/>
      <c r="G10" s="27"/>
      <c r="H10" s="27"/>
    </row>
    <row r="11" spans="1:10">
      <c r="A11" s="414" t="s">
        <v>1293</v>
      </c>
      <c r="B11" s="158" t="s">
        <v>1294</v>
      </c>
      <c r="C11" s="159">
        <f>SUM(C12:C15)</f>
        <v>1120000</v>
      </c>
      <c r="D11" s="160" t="s">
        <v>1284</v>
      </c>
      <c r="E11" s="417">
        <f>C11*30%</f>
        <v>336000</v>
      </c>
      <c r="F11" s="417">
        <f>E11+C11</f>
        <v>1456000</v>
      </c>
    </row>
    <row r="12" spans="1:10" ht="28.8">
      <c r="A12" s="415"/>
      <c r="B12" s="157" t="s">
        <v>1295</v>
      </c>
      <c r="C12" s="162">
        <v>1030000</v>
      </c>
      <c r="D12" s="83"/>
      <c r="E12" s="417"/>
      <c r="F12" s="417"/>
    </row>
    <row r="13" spans="1:10" ht="56.25" customHeight="1">
      <c r="A13" s="415"/>
      <c r="B13" s="157" t="s">
        <v>1296</v>
      </c>
      <c r="C13" s="162">
        <v>90000</v>
      </c>
      <c r="D13" s="222" t="s">
        <v>1297</v>
      </c>
    </row>
    <row r="14" spans="1:10">
      <c r="A14" s="415"/>
      <c r="B14" s="157" t="s">
        <v>1298</v>
      </c>
      <c r="C14" s="162">
        <v>0</v>
      </c>
      <c r="D14" s="83"/>
    </row>
    <row r="15" spans="1:10" ht="15" thickBot="1">
      <c r="A15" s="416"/>
      <c r="B15" s="126" t="s">
        <v>1299</v>
      </c>
      <c r="C15" s="168">
        <v>0</v>
      </c>
      <c r="D15" s="84"/>
    </row>
    <row r="16" spans="1:10">
      <c r="A16" s="26"/>
      <c r="B16" s="26"/>
      <c r="C16" s="28"/>
      <c r="D16" s="26"/>
    </row>
    <row r="17" spans="1:10" ht="15" thickBot="1">
      <c r="A17" s="5"/>
      <c r="B17" s="177"/>
      <c r="C17" s="177"/>
      <c r="D17" s="178"/>
    </row>
    <row r="18" spans="1:10" s="170" customFormat="1" ht="14.4" customHeight="1" thickBot="1">
      <c r="A18" s="409" t="s">
        <v>1300</v>
      </c>
      <c r="B18" s="410"/>
      <c r="C18" s="169" t="s">
        <v>23</v>
      </c>
      <c r="D18" s="176" t="s">
        <v>44</v>
      </c>
      <c r="I18" s="27"/>
      <c r="J18" s="27"/>
    </row>
    <row r="19" spans="1:10" ht="16.2" thickBot="1">
      <c r="A19" s="174" t="s">
        <v>1301</v>
      </c>
      <c r="B19" s="172"/>
      <c r="C19" s="172"/>
      <c r="D19" s="173"/>
    </row>
    <row r="20" spans="1:10">
      <c r="A20" s="414" t="s">
        <v>1302</v>
      </c>
      <c r="B20" s="164" t="s">
        <v>1303</v>
      </c>
      <c r="C20" s="165" t="s">
        <v>1002</v>
      </c>
      <c r="D20" s="161" t="s">
        <v>1304</v>
      </c>
    </row>
    <row r="21" spans="1:10">
      <c r="A21" s="415"/>
      <c r="B21" s="157" t="s">
        <v>1305</v>
      </c>
      <c r="C21" s="166" t="s">
        <v>1002</v>
      </c>
      <c r="D21" s="83" t="s">
        <v>1306</v>
      </c>
    </row>
    <row r="22" spans="1:10">
      <c r="A22" s="415"/>
      <c r="B22" s="157" t="s">
        <v>1307</v>
      </c>
      <c r="C22" s="166" t="s">
        <v>1002</v>
      </c>
      <c r="D22" s="83" t="s">
        <v>1308</v>
      </c>
    </row>
    <row r="23" spans="1:10" ht="28.8">
      <c r="A23" s="416"/>
      <c r="B23" s="163" t="s">
        <v>1309</v>
      </c>
      <c r="C23" s="167" t="s">
        <v>1002</v>
      </c>
      <c r="D23" s="84"/>
    </row>
    <row r="24" spans="1:10" ht="15" thickBot="1">
      <c r="A24" s="26"/>
      <c r="B24" s="26"/>
      <c r="C24" s="28"/>
      <c r="D24" s="26"/>
    </row>
    <row r="25" spans="1:10" ht="16.2" thickBot="1">
      <c r="A25" s="174" t="s">
        <v>1310</v>
      </c>
      <c r="B25" s="172"/>
      <c r="C25" s="172"/>
      <c r="D25" s="173"/>
    </row>
    <row r="26" spans="1:10">
      <c r="A26" s="411" t="s">
        <v>1311</v>
      </c>
      <c r="B26" s="164" t="s">
        <v>1312</v>
      </c>
      <c r="C26" s="165" t="s">
        <v>1002</v>
      </c>
      <c r="D26" s="161" t="s">
        <v>1313</v>
      </c>
    </row>
    <row r="27" spans="1:10">
      <c r="A27" s="412"/>
      <c r="B27" s="157" t="s">
        <v>1314</v>
      </c>
      <c r="C27" s="166"/>
      <c r="D27" s="83"/>
    </row>
    <row r="28" spans="1:10" ht="15" thickBot="1">
      <c r="A28" s="413"/>
      <c r="B28" s="163" t="s">
        <v>1315</v>
      </c>
      <c r="C28" s="167" t="s">
        <v>1020</v>
      </c>
      <c r="D28" s="84" t="s">
        <v>1316</v>
      </c>
    </row>
    <row r="29" spans="1:10">
      <c r="A29" s="26"/>
      <c r="B29" s="26"/>
      <c r="C29" s="28"/>
      <c r="D29" s="26"/>
    </row>
    <row r="30" spans="1:10">
      <c r="A30" s="26"/>
      <c r="B30" s="26"/>
      <c r="C30" s="28"/>
      <c r="D30" s="26"/>
    </row>
    <row r="31" spans="1:10">
      <c r="A31" s="26"/>
      <c r="B31" s="28"/>
      <c r="C31" s="28"/>
      <c r="D31" s="28"/>
    </row>
    <row r="32" spans="1:10">
      <c r="A32" s="28"/>
      <c r="B32" s="28"/>
      <c r="C32" s="28"/>
      <c r="D32" s="28"/>
    </row>
    <row r="33" spans="1:4">
      <c r="A33" s="28"/>
      <c r="B33" s="28"/>
      <c r="C33" s="28"/>
      <c r="D33" s="28"/>
    </row>
    <row r="34" spans="1:4">
      <c r="A34" s="28"/>
      <c r="B34" s="28"/>
      <c r="C34" s="28"/>
      <c r="D34" s="28"/>
    </row>
  </sheetData>
  <mergeCells count="7">
    <mergeCell ref="A10:D10"/>
    <mergeCell ref="A18:B18"/>
    <mergeCell ref="A26:A28"/>
    <mergeCell ref="A20:A23"/>
    <mergeCell ref="A1:B1"/>
    <mergeCell ref="A3:A8"/>
    <mergeCell ref="A11:A15"/>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D993-CABD-4CA0-829F-917CB8EB4686}">
  <dimension ref="A1:A37"/>
  <sheetViews>
    <sheetView workbookViewId="0">
      <selection activeCell="A33" sqref="A33:XFD33"/>
    </sheetView>
  </sheetViews>
  <sheetFormatPr baseColWidth="10" defaultColWidth="11.44140625" defaultRowHeight="14.4"/>
  <cols>
    <col min="1" max="1" width="57.44140625" bestFit="1" customWidth="1"/>
  </cols>
  <sheetData>
    <row r="1" spans="1:1">
      <c r="A1" s="67" t="s">
        <v>1317</v>
      </c>
    </row>
    <row r="2" spans="1:1">
      <c r="A2" s="25" t="s">
        <v>951</v>
      </c>
    </row>
    <row r="3" spans="1:1">
      <c r="A3" s="25" t="s">
        <v>1020</v>
      </c>
    </row>
    <row r="6" spans="1:1">
      <c r="A6" s="67" t="s">
        <v>1318</v>
      </c>
    </row>
    <row r="7" spans="1:1">
      <c r="A7" s="25" t="s">
        <v>1319</v>
      </c>
    </row>
    <row r="8" spans="1:1">
      <c r="A8" s="25" t="s">
        <v>1320</v>
      </c>
    </row>
    <row r="9" spans="1:1">
      <c r="A9" s="25" t="s">
        <v>1321</v>
      </c>
    </row>
    <row r="10" spans="1:1">
      <c r="A10" s="25" t="s">
        <v>1322</v>
      </c>
    </row>
    <row r="13" spans="1:1">
      <c r="A13" s="67" t="s">
        <v>5</v>
      </c>
    </row>
    <row r="14" spans="1:1">
      <c r="A14" s="68" t="s">
        <v>49</v>
      </c>
    </row>
    <row r="15" spans="1:1">
      <c r="A15" s="68" t="s">
        <v>66</v>
      </c>
    </row>
    <row r="16" spans="1:1">
      <c r="A16" s="68" t="s">
        <v>237</v>
      </c>
    </row>
    <row r="17" spans="1:1">
      <c r="A17" s="68" t="s">
        <v>865</v>
      </c>
    </row>
    <row r="18" spans="1:1">
      <c r="A18" s="68" t="s">
        <v>1323</v>
      </c>
    </row>
    <row r="19" spans="1:1">
      <c r="A19" s="68" t="s">
        <v>731</v>
      </c>
    </row>
    <row r="20" spans="1:1">
      <c r="A20" s="21"/>
    </row>
    <row r="22" spans="1:1">
      <c r="A22" s="67" t="s">
        <v>7</v>
      </c>
    </row>
    <row r="23" spans="1:1">
      <c r="A23" s="68" t="s">
        <v>1324</v>
      </c>
    </row>
    <row r="24" spans="1:1">
      <c r="A24" s="68" t="s">
        <v>1325</v>
      </c>
    </row>
    <row r="25" spans="1:1">
      <c r="A25" s="68" t="s">
        <v>1018</v>
      </c>
    </row>
    <row r="26" spans="1:1">
      <c r="A26" s="68" t="s">
        <v>731</v>
      </c>
    </row>
    <row r="29" spans="1:1">
      <c r="A29" s="67" t="s">
        <v>1326</v>
      </c>
    </row>
    <row r="30" spans="1:1">
      <c r="A30" s="68" t="s">
        <v>1081</v>
      </c>
    </row>
    <row r="31" spans="1:1">
      <c r="A31" s="68" t="s">
        <v>1327</v>
      </c>
    </row>
    <row r="32" spans="1:1">
      <c r="A32" s="68" t="s">
        <v>1328</v>
      </c>
    </row>
    <row r="35" spans="1:1">
      <c r="A35" s="67" t="s">
        <v>1329</v>
      </c>
    </row>
    <row r="36" spans="1:1">
      <c r="A36" s="68" t="s">
        <v>1201</v>
      </c>
    </row>
    <row r="37" spans="1:1">
      <c r="A37" s="68" t="s">
        <v>1330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717DD25454FB4695523AD6FA678BBB" ma:contentTypeVersion="3" ma:contentTypeDescription="Crée un document." ma:contentTypeScope="" ma:versionID="5bcb89fef6812fe6719aed61a50240c2">
  <xsd:schema xmlns:xsd="http://www.w3.org/2001/XMLSchema" xmlns:xs="http://www.w3.org/2001/XMLSchema" xmlns:p="http://schemas.microsoft.com/office/2006/metadata/properties" xmlns:ns2="b152b8e2-9a73-4d1a-bc18-96b00c72b20e" targetNamespace="http://schemas.microsoft.com/office/2006/metadata/properties" ma:root="true" ma:fieldsID="4eba6ec78bc86a3a6262e0cef8282375" ns2:_="">
    <xsd:import namespace="b152b8e2-9a73-4d1a-bc18-96b00c72b20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2b8e2-9a73-4d1a-bc18-96b00c72b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AAEE41-EF1E-4D2C-9967-8867B7C4CD3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F364C8E-D4ED-4624-8B1F-2F04F523047F}">
  <ds:schemaRefs>
    <ds:schemaRef ds:uri="http://schemas.microsoft.com/sharepoint/v3/contenttype/forms"/>
  </ds:schemaRefs>
</ds:datastoreItem>
</file>

<file path=customXml/itemProps3.xml><?xml version="1.0" encoding="utf-8"?>
<ds:datastoreItem xmlns:ds="http://schemas.openxmlformats.org/officeDocument/2006/customXml" ds:itemID="{B1CCAE32-ABD3-4751-9BD7-83AF7E052ADC}"/>
</file>

<file path=docMetadata/LabelInfo.xml><?xml version="1.0" encoding="utf-8"?>
<clbl:labelList xmlns:clbl="http://schemas.microsoft.com/office/2020/mipLabelMetadata">
  <clbl:label id="{5fae8262-b78e-4366-8929-a5d6aac95320}" enabled="1" method="Standard" siteId="{cf36141c-ddd7-45a7-b073-111f66d0b30c}" removed="0"/>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Introduction et instructions</vt:lpstr>
      <vt:lpstr>0. Informations générales</vt:lpstr>
      <vt:lpstr>1. Besoins fonctionnels </vt:lpstr>
      <vt:lpstr>2. Interfaces </vt:lpstr>
      <vt:lpstr>3. Architecture et sécurité</vt:lpstr>
      <vt:lpstr>4. Volumétrie</vt:lpstr>
      <vt:lpstr>5. Support et disponibilité</vt:lpstr>
      <vt:lpstr>6. Références clients</vt:lpstr>
      <vt:lpstr>7. Partenaires et écosystème</vt:lpstr>
      <vt:lpstr>8. Estimations budgétaires</vt:lpstr>
      <vt:lpstr>LISTES</vt:lpstr>
    </vt:vector>
  </TitlesOfParts>
  <Manager/>
  <Company>VISEO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Arthur Lambert</dc:creator>
  <cp:keywords/>
  <dc:description/>
  <cp:lastModifiedBy>Frederic Bochereau 1796</cp:lastModifiedBy>
  <cp:revision/>
  <dcterms:created xsi:type="dcterms:W3CDTF">2025-04-29T07:36:35Z</dcterms:created>
  <dcterms:modified xsi:type="dcterms:W3CDTF">2025-07-30T15:48:00Z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0x01010036717DD25454FB4695523AD6FA678BBB</vt:lpwstr>
  </property>
  <property fmtid="{D5CDD505-2E9C-101B-9397-08002B2CF9AE}" pid="3" name="Order">
    <vt:r8>28600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